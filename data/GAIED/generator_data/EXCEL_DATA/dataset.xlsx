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uryaanshjain/Desktop/NUS_intern/research/llm-benchmarking/manual_annotations/"/>
    </mc:Choice>
  </mc:AlternateContent>
  <xr:revisionPtr revIDLastSave="0" documentId="13_ncr:1_{A0E2BA69-436B-7A4E-891C-1C94473B488F}" xr6:coauthVersionLast="47" xr6:coauthVersionMax="47" xr10:uidLastSave="{00000000-0000-0000-0000-000000000000}"/>
  <bookViews>
    <workbookView xWindow="0" yWindow="760" windowWidth="30240" windowHeight="18880" activeTab="5" xr2:uid="{00000000-000D-0000-FFFF-FFFF00000000}"/>
  </bookViews>
  <sheets>
    <sheet name="summary" sheetId="1" r:id="rId1"/>
    <sheet name="problems" sheetId="2" r:id="rId2"/>
    <sheet name="testcases" sheetId="3" r:id="rId3"/>
    <sheet name="buggy_submissions" sheetId="4" r:id="rId4"/>
    <sheet name="correct_submissions" sheetId="5" r:id="rId5"/>
    <sheet name="gpt4_1" sheetId="6" r:id="rId6"/>
    <sheet name="gpt4_N" sheetId="7" r:id="rId7"/>
    <sheet name="gpt4_N_refined"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 r="F26" i="1"/>
  <c r="E26" i="1"/>
  <c r="D26" i="1"/>
  <c r="C26" i="1"/>
  <c r="B26" i="1"/>
  <c r="G25" i="1"/>
  <c r="F25" i="1"/>
  <c r="E25" i="1"/>
  <c r="D25" i="1"/>
  <c r="C25" i="1"/>
  <c r="B25" i="1"/>
  <c r="C19" i="1"/>
  <c r="D18" i="1"/>
  <c r="C18" i="1"/>
  <c r="B13" i="1"/>
  <c r="B4" i="1"/>
  <c r="B12" i="1" s="1"/>
  <c r="B3" i="1"/>
  <c r="B9" i="1" l="1"/>
  <c r="B10" i="1"/>
  <c r="B11" i="1"/>
</calcChain>
</file>

<file path=xl/sharedStrings.xml><?xml version="1.0" encoding="utf-8"?>
<sst xmlns="http://schemas.openxmlformats.org/spreadsheetml/2006/main" count="11127" uniqueCount="7419">
  <si>
    <t>Dataset Size</t>
  </si>
  <si>
    <t>Count</t>
  </si>
  <si>
    <t># Problems</t>
  </si>
  <si>
    <t># Buggy Submissions</t>
  </si>
  <si>
    <t>Repair Coverage</t>
  </si>
  <si>
    <t>Num Iterations</t>
  </si>
  <si>
    <t>GPT-4</t>
  </si>
  <si>
    <t>Success</t>
  </si>
  <si>
    <t>Feedback Confusion Matrix @ 1</t>
  </si>
  <si>
    <t>Positive</t>
  </si>
  <si>
    <t>Negative</t>
  </si>
  <si>
    <t>Actual</t>
  </si>
  <si>
    <t>Postive</t>
  </si>
  <si>
    <t>Feedback Quality</t>
  </si>
  <si>
    <t>Recall</t>
  </si>
  <si>
    <t>FNR</t>
  </si>
  <si>
    <t>Precision</t>
  </si>
  <si>
    <t>FPR-E</t>
  </si>
  <si>
    <t>FPR-I</t>
  </si>
  <si>
    <t>FPR-H</t>
  </si>
  <si>
    <t>Single</t>
  </si>
  <si>
    <t>Multiple</t>
  </si>
  <si>
    <t>pid</t>
  </si>
  <si>
    <t>description</t>
  </si>
  <si>
    <t>prefix</t>
  </si>
  <si>
    <t>suffix</t>
  </si>
  <si>
    <t>Create a Python program that performs the following operations. First, it should prompt the user to input a temperature in Fahrenheit. Then, it should calculate the equivalent temperature in Celsius and store this value in a variable named 'result'. Finally, the program should print out the calculated Celsius temperature. The formula to convert Fahrenheit to Celsius is given by: T(C) = (T(F) - 32) * 5/9.</t>
  </si>
  <si>
    <t xml:space="preserve">globcount = 0
def overriden_input(x):
    global globcount
    if(globcount == 0):
        globcount +=1
        return 854
def overriden_eval(x):
    return x
import __future__
input = overriden_input
eval = overriden_eval
</t>
  </si>
  <si>
    <t xml:space="preserve">
no_code = False
if(globcount == 0):
    no_code = True
ans = (854 - 32) * 5 / 9
</t>
  </si>
  <si>
    <t>Create a Python program that accomplishes the following tasks: First, it should prompt the user to input their name. Secondly, it should ask the user to input their age. After collecting these inputs, the program should store a message in the format "My friend &lt;name&gt; is &lt;age&gt; years old." in a variable named 'result'. Finally, the program should print out this message.</t>
  </si>
  <si>
    <t xml:space="preserve">globcount = 0
# append the required inputs to the list below
return_val = ["Jane", "15"]
def overriden_input(x):
    global globcount
    globcount += 1
    return return_val[globcount - 1]
def overriden_eval(x):
    return x
import __future__
input = overriden_input
eval = overriden_eval
</t>
  </si>
  <si>
    <t xml:space="preserve">
no_code = False
if(globcount == 0):
    no_code = True
ans = "My friend Jane is 15 years old."
</t>
  </si>
  <si>
    <t>Create a program that carries out the following operations: It first prompts the user to input the radius of a cylinder. Then, it asks the user to provide the height of the cylinder. The program should then calculate the volume of the cylinder using the formula (πr²h) and store the result in a variable named 'result'. Finally, the program should print out the calculated volume. For this task, use the value of π as 3.14159.</t>
  </si>
  <si>
    <t xml:space="preserve">globcount = 0
# append the required inputs to the list below
return_val = [8.9, 17]
def overriden_input(x):
    global globcount
    globcount += 1
    return return_val[globcount - 1]
def overriden_eval(x):
    return x
import __future__
input = overriden_input
eval = overriden_eval
</t>
  </si>
  <si>
    <t xml:space="preserve">
no_code = False
if(globcount == 0):
    no_code = True
ans = 3.14159 * 8.9 ** 2 * 17
</t>
  </si>
  <si>
    <t>Your task is to create a function named 'count_substring' that calculates the number of substrings within a given string that start with the character 'A' and end with the character 'X'. For instance, if the input string is "CAXAAYXZA", the function should identify four substrings that start with 'A' and end with 'X'. These are: "AX", "AXAAYX", "AAYX", and "AYX". You should accomplish this task using only one loop. The input string will only consist of uppercase English letters.</t>
  </si>
  <si>
    <t>Your task is to create a program that calculates the factorial of a number using a loop. The factorial of a number is the product of all positive integers up to that number. For instance, the factorial of 5 is 1*2*3*4*5 = 120. You can assume that the input will always be a valid positive integer. You should use a 'for' loop to solve this problem.</t>
  </si>
  <si>
    <t xml:space="preserve">
def big():
    x = 1
    for i in range(1, 10001):
        x *= i
    return x
</t>
  </si>
  <si>
    <t>Your task is to create a program that performs the following operations. First, it should prompt the user to input an integer within the range of 0 to 999. Next, the program should add all the digits in the input integer and store the sum in a variable named 'result'. Finally, the program should display the sum of the digits. For instance, if the input integer is 932, the sum of all its digits is 14. To accomplish this, you can use the '%' operator to extract the digits and the '//' operator to remove the extracted digit. Here's an example of how the program should run:
Enter a number in range [0,999]: 999
The sum of the digits is 27</t>
  </si>
  <si>
    <t xml:space="preserve">globcount = 0
# append the required inputs to the list below
return_val = [259]
def overriden_input(x):
    global globcount
    globcount += 1
    return return_val[globcount - 1]
def overriden_eval(x):
    return x
import __future__
input = overriden_input
eval = overriden_eval
</t>
  </si>
  <si>
    <t xml:space="preserve">
no_code = False
if(globcount == 0):
    no_code = True
ans = 16
</t>
  </si>
  <si>
    <t>Create a program that carries out the following operations: First, it should prompt the user to input an integer. Next, the program should determine whether the entered integer is odd or even, and store the outcome in a variable named 'result'. Finally, the program should display the result, where 'True' indicates that the number is even, and 'False' signifies that it's odd. Remember, you can accomplish this task without using an if-else statement.</t>
  </si>
  <si>
    <t xml:space="preserve">globcount = 0
def overriden_input(x):
    global globcount
    if(globcount == 0):
        globcount +=1
        return 561
def overriden_eval(x):
    return x
import __future__
input = overriden_input
eval = overriden_eval
</t>
  </si>
  <si>
    <t xml:space="preserve">
no_code = False
if(globcount == 0):
    no_code = True
ans = False
</t>
  </si>
  <si>
    <t>You have two variables, x and y, each containing a random integer value. Your task is to write a piece of code that will exchange the values of these two variables. This means that the value initially held by x should be in y and vice versa.</t>
  </si>
  <si>
    <t xml:space="preserve">x = 872
y = 23
</t>
  </si>
  <si>
    <t xml:space="preserve">
newy = 872
newx = 23
</t>
  </si>
  <si>
    <t>Your task is to predict the output of the following Python statements without running them. You will need to understand how Python evaluates expressions and how it handles different data types. Here are the statements you need to evaluate:
a) print(3 * 6 == 6.0 * 3.0)
b) print(2 &gt; 5 or (1 &lt; 2 and 9 &gt;= 11))
c) print(3 &gt; 4 or (2 &lt; 3 and 9 &gt; 10))
d) print( not (11 % 3 == 2))
e) print("2" + "3" == "23")
Write down what you think will be printed for each of these statements.</t>
  </si>
  <si>
    <t xml:space="preserve">
a_ans = True
b_ans = False
c_ans = False
d_ans = False
e_ans = True
</t>
  </si>
  <si>
    <t>Your task is to translate a given algebraic expression into a Python expression. The algebraic expression is as follows: 
(3 + 4x)/5 - (10(y - 5)(a + b + c))/x + 9((4/x) + ((9 + x)/y))
You need to write a Python program that will represent this algebraic expression. Remember to use the correct Python syntax for mathematical operations.</t>
  </si>
  <si>
    <t xml:space="preserve">x = 98
y = -91
a = 11
b = 276
c = 124
</t>
  </si>
  <si>
    <t xml:space="preserve">
ans = (3 + 4 * x) / 5 - 10 * (y - 5) * (a + b + c) / x + 9 * (4 / x + (9 + x) / y)
</t>
  </si>
  <si>
    <t>The Chinese zodiac is a repeating cycle of 12 years, with each year being represented by an animal sign: monkey, rooster, dog, pig, rat, ox, tiger, rabbit, dragon, snake, horse, and sheep. Your task is to complete a Python function that determines the zodiac sign based on the input year. The function should update the variable 'zodiacYear' with the correct animal sign corresponding to the input 'year'. For instance, if the input year is 1900, the zodiacYear should be "rat", and if the year is 2015, the zodiacYear should be "sheep".</t>
  </si>
  <si>
    <t>You have two numbers, referred to as 'num1' and 'num2'. Your task is to figure out which of these two numbers is smaller. Once you've determined which number is smaller, assign that number to a variable called 'result'.</t>
  </si>
  <si>
    <t>A leap year is a special year that contains an extra day. In the Gregorian calendar, which is the most commonly used solar calendar, February in a leap year has 29 days instead of the usual 28, making the year 366 days long instead of the usual 365. A year is considered a leap year if it is divisible by 4 and not a century year, or if it is a century year that is divisible by 400. For instance, the year 1600 is a leap year because it is evenly divisible by 400. Likewise, the year 1988 is a leap year because it is evenly divisible by 4 but not by 100. Your task is to complete the code below so that the correct value will be assigned to the variable 'isLeapYear' based on the input 'year'. For instance, 'isLeapYear' should be True if 'year' is 1988 and False if 'year' is 2015.</t>
  </si>
  <si>
    <t>A triangle can be classified into several types based on the lengths of its sides. The types are as follows: 
1. Not a triangle: If the length of any side is longer or equal to the sum of the other two sides, it's not a triangle.
2. Equilateral: If all sides of a triangle have the same length, it's an equilateral triangle.
3. Isosceles: If two sides are equal in length and it's not an equilateral triangle, it's an isosceles triangle.
4. Scalene: If all sides are unequal and it's a triangle, it's a scalene triangle.
Your task is to complete the code such that the correct value will be updated to the variable 'triangleType' based on the input sides 's1", 's2", and 's3'. 
For example:
- Given sides 5, 5, 5, the 'triangleType' should be "Equilateral".
- Given sides 100, 3, 4, the 'triangleType' should be "Not a triangle".</t>
  </si>
  <si>
    <t>In this task, you need to calculate the gradient of a straight line given the coordinates of two points on the line. You are required to complete a code that will update the variable 'gradientType' based on the two input points (x1, y1) and (x2, y2). For instance, if the two points are (2,2) and (1,4), the 'gradientType' should be "Negative". Similarly, if the two points are (2,2) and (4,3), the 'gradientType' should be "Positive".</t>
  </si>
  <si>
    <t>Your task is to create a Python function that checks whether a given point (x, y) is located within a circle. The circle is centered at the origin (0, 0) and has a radius of 10. Based on your check, update a variable named 'inCircle'. If the point is within the circle, 'inCircle' should be True. If the point is outside the circle, 'inCircle' should be False. For instance, the point (4, 5) is inside the circle, so 'inCircle' would be True. However, the point (9, 9) is outside the circle, making 'inCircle' False.</t>
  </si>
  <si>
    <t xml:space="preserve">import math
</t>
  </si>
  <si>
    <t>Your task is to create a program that can convert a positive integer given in binary format into its equivalent decimal representation. However, there's a catch! You are not permitted to use the built-in 'int' function. For guidance on the input format, please refer to the example test cases provided.</t>
  </si>
  <si>
    <t xml:space="preserve">
factorial = lambda x: 1 if x &lt;= 1 else x*factorial(x-1)
</t>
  </si>
  <si>
    <t>This task is centered around the Fibonacci sequence, a popular concept in mathematics. The Fibonacci sequence is defined as follows: The first and second terms are 1. The nth term is the sum of the (n-1)th term and the (n-2)th term. For example, the third term is the sum of the first and second terms, the fourth term is the sum of the third and second terms, and so on. The sequence begins as follows: "1", 1, 2, 3, 5, 8, 13, 21, ... Your task is to write a program that, given a positive integer n, computes the nth term in the Fibonacci sequence.</t>
  </si>
  <si>
    <t>Your task is to create a function that takes a positive integer as an input and returns the number with its digits in reverse order. For instance, if the input is 12345, your function should return 54321. Please note that you are not permitted to use the built-in 'str' and 'int' functions in Python. Your function should be able to perform this task without converting the integer to a string or vice versa.</t>
  </si>
  <si>
    <t xml:space="preserve">
def factorial(n):
    a = 1
    for i in range(1, n+1):
        a *= i
    return a
</t>
  </si>
  <si>
    <t>You are given two positive integers, 'a' and 'b", where 'a' is not greater than 'b'. Your task is to determine how many integers between 'a' and 'b", inclusive, are palindromes. A number is considered a palindrome if it remains the same when its digits are reversed. In other words, a number 'n' is a palindrome if 'n' equals the reverse of 'n'. You can use the 'reverse_number' function from a previous problem as if it is already defined.</t>
  </si>
  <si>
    <t xml:space="preserve">def reverse_number(num):
    n = 0
    while num:
        n*=10
        n += num%10
        num //= 10
    return n
</t>
  </si>
  <si>
    <t>Think of a function as a mysterious box. You only need to be aware of the inputs it requires and the output it produces. One method to calculate the area of a triangle is by using the formula: area = 1/2 * base * height. Your task is to define a function named 'area' that uses this formula to calculate and return the area of any given triangle. You need to determine what inputs it needs and what it should return as output.</t>
  </si>
  <si>
    <t>A different approach to calculate the area of a triangle with sides A, B, C involves the use of the trigonometric ratio sine. The formula to calculate the area is 1/2 * A * B * sin(AB), where AB is the angle included between sides A and B. In Python, the 'sin' function is available in the 'math' package. To use it, you need to include the line 'from math import *' at the top of your Python file. Your task is to define a function named 'area2' that calculates and returns the area of any given triangle using this formula. You need to decide what arguments it should take as input and what its return value should be. Once you have both functions, consider if they can be directly substituted for each other and explain why.</t>
  </si>
  <si>
    <t>In this task, you will be implementing a function that calculates the area of a triangle using Heron's Formula. The formula for calculating the area of a triangle using Heron's formula is area = sqrt[s*(s - a)*(s - b)*(s - c)], where s = (a+b+c)/2. You need to define a function named 'area3' that takes the lengths of the three sides of a triangle as arguments and returns the area of the triangle calculated using Heron's formula. You need to decide what the arguments of the function should be and what its return value should be.</t>
  </si>
  <si>
    <t>It's time to put your knowledge into practice! Your task is to use a 'for' loop to calculate the sum of the first 1337 natural numbers. In other words, you need to add all numbers from 1 to 1337. The result should be stored in the variable 'ans' which has already been defined for you.</t>
  </si>
  <si>
    <t>A function named 'mystery' has been defined. This function takes in a single integer as an input and returns False if the input matches a specific integer Z, and True otherwise. It's known that Z lies between 1 and 1000, both inclusive. For instance, if Z equals 201, the function 'mystery(201)' would return False, while other inputs like 'mystery(101)", 'mystery(400)", and 'mystery(2)' would return True. Your task is to use a 'while' loop to identify the value of Z. Start with z equals 1, and continue testing 'mystery(z)' until it returns False. At this point, you have discovered the value of Z.</t>
  </si>
  <si>
    <t xml:space="preserve">mystery = lambda x: not (x == 689)
</t>
  </si>
  <si>
    <t>Python comes with several built-in functions that can be used with lists. For instance, the 'len' function can be used to return the number of elements in a list, the 'max'/'min' functions can be used to return the elements with the highest and lowest values in the list, and the 'sum' function can return the sum of all elements in the list. Given a list of random numbers named 'myList", your task is to use these functions to determine the length of 'myList", the smallest number in 'myList", the largest number in 'myList", and the sum of all the numbers within 'myList'.</t>
  </si>
  <si>
    <t xml:space="preserve">from random import randint
myList = []
for i in range(randint(10, 50)):
    myList.append(randint(0, 100))
</t>
  </si>
  <si>
    <t>You are tasked with calculating the area of a regular pentagon. The formula to calculate the area of a regular pentagon is given by ((3 * sqrt(3))/2) * (2*r* sin(pi/5))^2, where r is the radius of the pentagon. You need to store the calculated area in a variable named 'result'. The area should be formatted to 2 decimal places. For instance, if the radius of the pentagon is 5.5, the calculated area should be stored as '51.53' in the 'result' variable.</t>
  </si>
  <si>
    <t xml:space="preserve">
if r &lt; 0:  # Fail if r is negative
    result = 0
s = 2*r*math.sin(math.pi/5)
area = ((3*math.sqrt(3))/2)*s**2
answer = format(area, ".2f")
</t>
  </si>
  <si>
    <t>You are required to calculate a certain value and store it in a variable named 'result'. The calculation involves a mathematical formula that uses the number of sides (n) of a regular polygon and the length of each side (s). The formula is: (n*s*s)/(4 * tan(pi/n)). For this task, consider n as 5 and s as 6.5. Once you have calculated the value, format it to 4 decimal places.</t>
  </si>
  <si>
    <t xml:space="preserve">
if (n &lt; 0 or s &lt; 0):
    result = 0
area = (n*(s**2))/(4*(math.tan(math.pi/n)))
answer = format(area, ".4f")
</t>
  </si>
  <si>
    <t>Your task is to create a Python program that generates a random uppercase letter. To accomplish this, you'll need to store the randomly generated uppercase letter in a variable named 'result'. Please remember to keep the letter in uppercase.</t>
  </si>
  <si>
    <t xml:space="preserve">
r = range(65, 91)
if ord(result) in r:
    answer = chr(ord(result))
else:
    answer = ""    
</t>
  </si>
  <si>
    <t>Your task is to create a Python program that generates a random string of 5 lowercase letters. You should store the final string in a variable named 'result'.</t>
  </si>
  <si>
    <t xml:space="preserve">
r = range(97,123)
answer = ""
for i in range(5):
    if ord(result[i]) in r:
        answer += result[i]
        #print(i)
    else:
        answer = ""
</t>
  </si>
  <si>
    <t>Your task is to create a Python program that generates a random string composed of both characters and numbers. The string should adhere to the following format: CCNNNc. In this format, 'C' represents uppercase letters, 'c' represents lowercase letters, and 'N' represents numbers from 0 to 9. It's important to remember to store the result of your program in a variable named 'result'.</t>
  </si>
  <si>
    <t xml:space="preserve">
r1 = range(97, 123)
r2 = range(65, 91)
r3 = range(48, 58)
answer = ""
for i in range(6):
    if (i &lt; 2 and ord(result[i]) in r2):
        answer += result[i]
    elif ((i&gt;= 2 and i&lt;5) and ord(result[i]) in r3):
        answer += result[i]
    elif ((i == 5) and ord(result[i]) in r1):
        answer += result[i]
    else:
        answer = ""
</t>
  </si>
  <si>
    <t>Your task is to create a string variable named 's'. When this string is printed, it should display the following message: "He said, 'This is nested\annoying'", Steve recalled. Remember to correctly use escape characters to handle quotes and backslashes within the string.</t>
  </si>
  <si>
    <t>Your task is to create a string variable named 's'. This string should consist of 1000 'a' characters followed by 1000 'b' characters. In other words, your string should look like this: 'aaaaa...aaaabbbbb...bbbb", where there are 1000 'a's and 1000 'b's.</t>
  </si>
  <si>
    <t>John has noticed that many of his tweets on Twitter are less than 140 characters long. He wants to make the most of the available space by filling any remaining space with the string 'lolololol' until he reaches 140 characters. For instance, if his message is "What a wonderful day!", he wants to tweet "What a wonderful day!lololololololololololololololololololololololololololololololololololololololololololololololololololololololololololololol". Note that the 'lololol...' part should always end with an 'l'. To achieve this, you may need to leave a space between the message and the start of the 'lolololol...' part. For example, 'Odd' will become 'Oddlololololololololololololololololololololololololololololololololololololololololololololololololololololololololololololololololololol' (without space), and 'Even' will become 'Even lolololololololololololololololololololololololololololololololololololololololololololololololololololololololololololololololololololol' (with space). Your task is to help John create a function that will take in the string of his message without the 'lololol' part and return a string containing a tweet according to John's specifications.</t>
  </si>
  <si>
    <t xml:space="preserve">
"""
def pad_answer(s):
	space = 140-len(s)
	if space == 0:
		return s
	if space%2==0:
		return s+" "+"lo"*((space-2)//2) + "l"
	else:
		return s+"lo"*(space//2) + "l"
"""
</t>
  </si>
  <si>
    <t>Create a function that accepts a single word as input and transforms it into pig latin. The rules for this simplified pig latin conversion are as follows: Move the first letter of the word to the end and then append the string 'ay' to it. For instance, if the input is 'python", the output should be 'ythonpay'.</t>
  </si>
  <si>
    <t xml:space="preserve">"""
def pig_latin(word):
	return word[1:]+word[0]+'ay'
"""
</t>
  </si>
  <si>
    <t>Create a function that accepts a string as an input. The function should convert all the uppercase characters in the string to lowercase and all the lowercase characters to uppercase. For instance, if the input string is "This is a Test", the function should return "tHIS IS A tEST".</t>
  </si>
  <si>
    <t xml:space="preserve">
"""
def swap(s):
	res = ""
	for c in s:
		if c in "ABCDEFGHIJKLMNOPQRSTUVWXYZ":
			res+=c.lower()
		elif c in "abcdefghijklmnopqrstuvwxyz":
			res+=c.upper()
		else:
			res+=c
	return res
 """
</t>
  </si>
  <si>
    <t>In this task, you are required to convert a sentence into pig latin. Pig latin is a secret language formed by altering the letters in the words. The Python function 'split()' can be used to break down a sentence into individual words. For instance, "Hello World".split() will return ["Hello","World"]. You need to write a function that takes a sentence as input and converts it into pig latin. To keep things simple, the input sentences will not contain any punctuation.</t>
  </si>
  <si>
    <t xml:space="preserve">def pig_latin(word):
	return word[1:]+word[0]+'ay'
</t>
  </si>
  <si>
    <t xml:space="preserve">
"""
def pig_latin_sentence(sentence):
	res = ""
	for word in sentence.split():
		res+=pig_latin(word)+" "
	res = res[:-1]
	return res
"""    
</t>
  </si>
  <si>
    <t>Create a function named 'at_least_n'. This function should accept two parameters: a list of integers and an integer 'n'. The function should return a new list that contains only the integers from the original list that are greater than or equal to 'n'. All the integers smaller than 'n' should be removed from the list.</t>
  </si>
  <si>
    <t xml:space="preserve">
list1 = list(range(15))
list2 = list(range(100))
</t>
  </si>
  <si>
    <t>In the world of computers, understanding binary numbers is essential. This task will test your knowledge of binary numbers and your ability to convert them into decimal numbers. You will be given a list of binary numbers, where each element of the list represents a digit of the binary number. For instance, the binary number 110101 will be represented as [1, 1, 0, 1, 0, 1]. Your task is to write a Python function that converts this binary number into its decimal equivalent. For example, the binary number 110101 is equivalent to 53 in decimal. Please note that there won't be any negative numbers in the input, and you should not hard-code the solution as it will fail for larger test cases.</t>
  </si>
  <si>
    <t>Create a function that accepts three parameters: a string, a substring, and an integer. The function should return a new string where the substring is inserted into the original string at the position defined by the integer. For instance, if the function is called as follows: insert("statics","tis",3), it should return "statistics". You can assume that the integer will always be between 0 and the length of the string (inclusive).</t>
  </si>
  <si>
    <t xml:space="preserve">
"""
def insert(s,ss,i):
	return s[0:i]+ss+s[i:]
"""
</t>
  </si>
  <si>
    <t>Your eccentric cousin has created a website where all the text is separated by vertical bars. He believes it enhances readability, but you strongly disagree. Your task is to write a function that will remove these vertical bars from the text. For instance, if the function receives '|H|e|l|l|o| |W|o|r|l|d|' as input, it should return 'Hello World'.</t>
  </si>
  <si>
    <t xml:space="preserve">def remove_bars(string):
    #insert code here
    pass
</t>
  </si>
  <si>
    <t xml:space="preserve">
"""
def remove_bars(s):
	return s[1::2]
"""
</t>
  </si>
  <si>
    <t>Your task is to write a Python program that checks if a given number is a palindrome or not. A number is considered a palindrome if it reads the same from right to left as it does from left to right. However, there's a catch! The number must be between 0 and 999, inclusive. Any number that is less than 0 or more than 999 will not pass the test. Your program should return a boolean value - True if the number is a palindrome and False if it's not.</t>
  </si>
  <si>
    <t xml:space="preserve">
''' `SOLUTION
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
'''
</t>
  </si>
  <si>
    <t>Your task is to write a Python function that determines the relationship between two rectangles. The function should take eight parameters, representing the center x and y coordinates, width, and height of both rectangles. The function should return one of the following strings based on the relationship between the two rectangles: "r2 is inside r1", "r2 overlaps r1", "r2 does not overlap r1", "r2 intersect r1 exactly", or "Not a valid rectangle". A rectangle is considered valid if both its width and height are greater than 0. 
Consider the following examples:
CASE 1: If the center x and y coordinates, width, and height of the first rectangle (r1) are 2.5, 4, 2.5, 43 respectively, and those of the second rectangle (r2) are 1.5, 5, 0.5, 3 respectively, then r2 is inside r1.
CASE 2: If the center x and y coordinates, width, and height of r1 are 1, 2, 3, 5.5 respectively, and those of r2 are 3, 4, 4.5, 5 respectively, then r2 overlaps r1.
CASE 3: If the center x and y coordinates, width, and height of r1 are 1, 2, 3, 3 respectively, and those of r2 are 40, 45, 3, 2 respectively, then r2 does not overlap r1.
CASE 4: If the center x and y coordinates, width, and height of both r1 and r2 are 1, 2, 3, 3 respectively, then r2 intersect r1 exactly.</t>
  </si>
  <si>
    <t xml:space="preserve">
''' SOLUTION
def rectangles(x1, y1, w1, h1, x2, y2, w2, h2):
    xDistance = x1 - x2 if x1 - x2 &gt;= 0 else x2 - x1
    yDistance = y1 - y2 if y1 - y2 &gt;= 0 else y2 - y1
    if xDistance == 0 and yDistance == 0:
        message = "r2 intersect r1 exactly"
    elif xDistance &lt;= (w1 - w2) / 2 and yDistance &lt;= (h1 - h2) / 2:
        message = "r2 is inside r1"
    elif xDistance &lt;= (w1 + w2) / 2 and yDistance &lt;= (h1 + h2) / 2:
        message = "r2 overlaps r1"
    else:
        message = "r2 does not overlap r1"
    return message
print(rectangles(2.5, 4, 2.5, 43, 1.5, 5, 0.5, 3))
print(rectangles(1, 2, 3, 5.5, 3, 4, 4.5, 5))
print(rectangles(1, 2, 3, 3, 40, 45, 3, 2))
print(rectangles(1, 2, 3, 3, 1, 2, 3, 3))
'''
</t>
  </si>
  <si>
    <t>Imagine a school with two turnstiles at its back gate. Unfortunately, these turnstiles are not always functional. They operate for a certain number of minutes, then break down for a while, but the pattern of operation and breakdown is predictable. 
For instance, one turnstile works for A minutes, then breaks down for B minutes. The other turnstile operates for C minutes, and then breaks down for D minutes. Both turnstiles follow this pattern throughout the day, starting with a working period, followed by a breakdown period, and so on.
Your friend Sean is a student at this school. Given the time of his arrival, your task is to write a program to determine how many turnstiles (none, one, or both) are operational when he arrives.
The input to your program will be the integers A, B, C, D, and X, where X is the minute of the day that Sean arrives at the back gate. For example, if X is 3, it means "Sean arrived sometime during the third minute of the day". All numbers in the input will range between 1 and 999.
The output of your program should be the number of turnstiles that are operational when Sean arrives (0, 1, or 2).
For example, if the input is 2 2 3 3 1, the output should be 2. This means that both turnstiles are working when Sean arrives.</t>
  </si>
  <si>
    <t xml:space="preserve">
'''solution
def turnstiles(A, B, C, D, X):
    ans =  f(A,B,X)+f(C,D,X)
    return ans
def f(A, B, X):
    return ((X-1) % (A +B)) &lt; A
'''
</t>
  </si>
  <si>
    <t>Imagine a snail at the base of a wooden pole. The pole has a height of H meters. The snail is determined to reach the top of the pole. During the day, the snail is able to climb up A meters. However, at night while it sleeps, it slides down B meters. Your task is to calculate the number of days it will take for the snail to reach the top of the pole. 
You will be given three integers A, B, and H, where A represents the distance the snail can climb in a day, B represents the distance the snail slides down at night, and H represents the height of the pole. The constraints are such that 1 ≤ B &lt; A ≤ H ≤ 10^9.
You need to output the number of days it will take for the snail to reach the top of the pole. This should be stored in a variable named 'ans'.
For instance, if the input is 2, 1, 5 (A=2, B=1, H=5), the output should be 4, meaning it will take the snail 4 days to reach the top of the pole.</t>
  </si>
  <si>
    <t xml:space="preserve">
'''solution
def snail(A, B, H):
    ans = (H-B-1)//(A-B) + 1 
    return ans
'''
</t>
  </si>
  <si>
    <t>Your task is to create a function that can identify if a given positive integer is a prime number or not. A prime number is a positive integer that has exactly two factors: 1 and itself. For instance, numbers like 3, 13, and 17 are prime numbers because they can only be divided evenly by 1 and themselves. On the other hand, 21 is not a prime number because it has additional factors, 3 and 7. It's important to note that 1 is not considered a prime number since it only has one factor, which is itself. Your function should return True if the input number is a prime number and False otherwise.</t>
  </si>
  <si>
    <t>A perfect number is a positive integer that is equal to the sum of its proper divisors. A proper divisor is a positive integer other than the number itself that divides the number evenly, leaving no remainder. For instance, 6 is the smallest perfect number, because the sum of its proper divisors 1, 2, and 3 is equal to 6. On the other hand, 8 is not a perfect number because the sum of its proper divisors, 1, 2, and 4, does not equal 8. Your task is to write a program that takes a positive integer n as input and determines if it is a perfect number. The program should return True if n is a perfect number and False otherwise.</t>
  </si>
  <si>
    <t>This programming task is about the 'hailstone sequence", but it's not about freezing time. Here's how the sequence works: You start with a given positive integer, n. You continue the process until n becomes 1. If n is even, you divide it by 2. If n is odd, you triple it and add 1 (3n+1). For instance, if you start with n = 6, the sequence will be 6, 3, 10, 5, 16, 8, 4, 2, 1, requiring a total of 8 operations. Your task is to determine, given the starting n, how many of these operations are needed to reach 1? This is known as the 'total stopping time' of n. Rest assured, the result is finite and exists. If you encounter an input that does not reach 1, you might have found a counterexample to the 'Collatz conjecture", and you should contact your local math or computer science teacher.</t>
  </si>
  <si>
    <t>Your task is to create a Python function that calculates the sum of consecutive integers within a given range. The range is defined by two integers, a and b, both inclusive. You should use a 'for' loop to solve this problem. For example, if a is 3 and b is 5, your function should return the sum of 3, 4, and 5, which is 12.</t>
  </si>
  <si>
    <t>Your task is to write a Python program that calculates the sum of consecutive even numbers within a given range. The range is defined by two numbers, 'a' and 'b", both of which are included in the range. If 'a' is an odd number, your program should start the sum from the next even number greater than 'a'. Similarly, if 'b' is an odd number, the sum should stop at the last even number less than 'b'. Your solution should use a 'for' loop to accomplish this task.</t>
  </si>
  <si>
    <t xml:space="preserve">''' solution
def consecutiveSumEven(a, b):
    #add your code below
    if a%2 != 0: #odd a
        a += 1
    if b%2 != 0: #odd b
        b -= 1
    ans = 0
    for i in range(a, b+1, 2):
        ans = ans + i
    return ans
'''
</t>
  </si>
  <si>
    <t>Your task is to utilize a 'while' loop to determine the smallest integer 'n' such that the square of 'n' is greater than a given positive integer 'K'.</t>
  </si>
  <si>
    <t xml:space="preserve">'''
def smallestNsq(K):
    n = 1
    while n**2 &lt; K+1:
        n += 1
    return n
'''
</t>
  </si>
  <si>
    <t>Your task is to design a function named 'pattern' that uses nested for loops. This function should take an integer 'n' as an argument and return a string that follows a specific pattern. The pattern is such that for each number from 1 to 'n", the number is repeated as many times as its value. For instance, if the function is called with the argument 8 (i.e., pattern(8)), it should return the string "122333444455555666666777777788888888".</t>
  </si>
  <si>
    <t xml:space="preserve">"""def pattern(n):
    s = ""
    for i in range(n+1):
        for j in range(i):
            s += str(i)
    return s
print(pattern(8))
"""
</t>
  </si>
  <si>
    <t>Create a function named 'triangle1' that uses nested for loops to generate a pattern of asterisks. The function should take an integer as an argument, which will determine the size of the triangle. For instance, if you call triangle1(6), the function should return the following pattern:
*
**
***
****
*****
******
Each line of the pattern has one more asterisk than the line before it. The function should return the entire pattern as a single string.</t>
  </si>
  <si>
    <t xml:space="preserve">"""
def triangle1(n):
    s = ""
    for i in range(1,n+1):
        for j in range(i):
            s += "*"
        if i!= n:
            s += "\n"
    return s
"""
</t>
  </si>
  <si>
    <t>Your task is to write a function named 'patternPyramid'. This function will take an integer as an input and return a string that forms a pattern. The pattern should be created using nested for loops. The pattern will be a series of numbers, starting from 1 and incrementing by 1 for each line, up to the number equivalent to the input dimension. For instance, if the function 'patternPyramid' is passed the number 6, it should return the following pattern as a string:
1
12
123
1234
12345
123456</t>
  </si>
  <si>
    <t xml:space="preserve">"""
def triangle2(n):
    s = ""
    for i in range(1,n+1):
        for j in range(1,i+1):
            s += str(j)
        if i!= n:
            s += "\n"
    return s
"""
</t>
  </si>
  <si>
    <t>Your task is to write a Python function named 'triangle3'. This function should take an integer as an input, which represents the dimension of a pattern. The function should use nested for loops to create and return a string that represents a specific pattern. The pattern is a right-angled triangle composed of numbers. Each row of the triangle starts with spaces and ends with numbers. The number of spaces decreases by one in each subsequent row, while the numbers increase by one. For instance, if the function 'triangle3' is called with the argument 6, it should return a right-angled triangle pattern with 6 rows. Please note that the pattern should not end with a newline character.</t>
  </si>
  <si>
    <t xml:space="preserve">"""
def triangle3(n):
    s = ""
    for i in range(n):
        for k in range(n - i - 1):
            s += " " # Generate leading spaces.
        for j in range(1, i + 2): # Generate 1 through peak value.
            s += str(j)
        if i != n-1:
            s += "\n"
    return s
"""
</t>
  </si>
  <si>
    <t>EAN-13 barcodes are commonly used on products. These barcodes contain a check digit that allows for error checking by the barcode reader. The check digit is the rightmost digit of the barcode and these barcodes consist of 13 digits. To determine the correct check digit, the following method is applied: 
1. Sum up all the even positioned digits in the barcode (counting from the left, with the leftmost digit being odd, excluding the check digit).
2. Multiply the sum of all even positioned digits by 3.
3. Add up all the odd positioned digits with the result from the previous step.
4. The number you need to add to the total sum of digits to get a total divisible by 10 is the check digit.
Your task is to complete a function named check_validity. This function should return True if the EAN-13 barcode is valid and False otherwise. The barcodes will be given in the form of a list, with each element being a digit.</t>
  </si>
  <si>
    <t xml:space="preserve">'''
Adapted and corrected from the old Lab 7
def check_validity(lst):
    if len(lst) == 13 and (sum(lst[:-1:2]) + sum(lst[1::2]) * 3 + lst[-1]) % 10 == 0:
        return True
    return False
'''
</t>
  </si>
  <si>
    <t>Welcome to the annual Rock-paper-scissors Championship! Contestants are competing in a thrilling game of rock-paper-scissors. The ultimate champion will even get the chance to represent on a national level! Your task is to compute the winners of each match. You will be given a list of all the outcomes of each individual round of rock-paper-scissors within each match. You can be sure that the list will not be empty. Here is an example list: ['A", 'B", 'T", 'T", 'B", 'A", 'A", 'A", 'T", 'A", 'B']. 
In any given match, the two contestants will be labelled as either 'A' or 'B'. Ties are represented by 'T'. The order of the outcomes within the list follows the order of the individual rounds. Each time a player wins a round, their score increases by 1. If they are on a winning streak (meaning they won the previous round as well as the current round), their score increases by 2 instead. A player wins the match when their score reaches a threshold limit n (n &gt;= 1). Once that happens, you should return the alphabet corresponding to the winning player. 
Please note that it is possible that more rounds than needed were played due to the excitement of the players and the oversight of the score-keepers (which is why they need your help). If neither player's scores reach the threshold limit, your function should return None.</t>
  </si>
  <si>
    <t xml:space="preserve">'''
def calculate_winner(lst, n):
    a_count = 0
    b_count = 0
    last_char = lst[0]
    if last_char == 'A':
        a_count += 1
    elif last_char == 'B':
        b_count += 1
    for i in lst[1:]:
        if i == 'A':
            a_count += 1
            if last_char == i:
                a_count += 1
        elif i == 'B':
            b_count += 1
            if last_char == i:
                b_count += 1
        last_char = i
        if a_count &gt;= n:
            return 'A'
        elif b_count &gt;= n:
            return 'B'
    return None
'''
</t>
  </si>
  <si>
    <t xml:space="preserve">
example_list1 = ['A", 'B", 'T", 'T", 'B", 'A", 'A", 'A", 'T", 'A", 'B']
example_list2 = ['A", 'B", 'T", 'T", 'B", 'A", 'A", 'A", 'T", 'A", 'B']
example_list3 = ['A", 'B", 'T", 'T", 'B", 'A", 'A", 'A", 'T", 'A", 'B']
list2 = ['A", 'B", 'B", 'A']
list3 = ['T']
</t>
  </si>
  <si>
    <t>Your task is to write a Python function named 'createList'. This function should accept an integer input 's'. The function should then generate a list of 's' size, filled with random integers ranging from 0 to 50. The function should return this list as the output. For example, if the input is 5, the function might return a list like [12, 45, 7, 30, 1].</t>
  </si>
  <si>
    <t xml:space="preserve">
size = 25
anslist = createList(size)
count=0
for i in range(size):
    if(anslist[i] &gt;=0 and anslist[i] &lt;=50):
        count+=1
correct_ans = (count == size) and (len(anslist) == size)
</t>
  </si>
  <si>
    <t>Develop a function named 'calculateSumAndAverage'. This function should accept a list as an argument and return two values. The first value should be the total sum of all elements in the list, and the second value should be the average of all elements in the list. For instance, if the list is [1, 2, 3, 4, 5], the function should return (15, 3.0), where 15 is the sum of all elements and 3.0 is the average.</t>
  </si>
  <si>
    <t xml:space="preserve">
list1 = [1,2,3,4,5,6,7,8,9,10]
list2 = [45, 21, 54, -9, -23324, 56464, 76756]
def SumAndAverageAns(mylist):
    sum = 0
    avg = 0
    for i in range(len(mylist)):
        sum += mylist[i]
    avg = sum / len(mylist)
    return sum, avg
a,  b  = SumAndAverageAns(list1)
a1, b1 = SumAndAverage(list1)
c , d  = SumAndAverageAns(list2)
c1, d1 = SumAndAverage(list2)
ans1 = a == a1 and b == b1
ans2 = c == c1 and d == d1
</t>
  </si>
  <si>
    <t>Create a function called 'numOccurrence' that accepts two parameters: 'mylist' and 'data'. The function should count and return the number of times 'data' appears in 'mylist'. For instance, if 'mylist' is [1,2,1,2,3,5,6,1,4,6,1] and 'data' is 1, then 'numOccurrence(mylist, 1)' should return 4.</t>
  </si>
  <si>
    <t>Your task is to write a Python function called 'subset()' that accepts two lists as parameters. The function should determine whether one list is a subset of the other. The function should return one of the following three statements: "List 1 is a subset of List 2", "List 2 is a subset of List 1", or "The two lists are not subsets of each other". For instance, if we have four lists: lista = [1,2,3], listb = [3,4,6,2,1], listc = [3,2,1], and listd = [3,4,6,2], the function subset(lista, listb) should return "List 1 is a subset of List 2", subset(listb, lista) should return "List 2 is a subset of List 1", and subset(lista, listd) should return "The two lists are not subsets of each other". Please note that in a set, there are no duplicate elements.</t>
  </si>
  <si>
    <t xml:space="preserve">
lista = [1,2,3]
listb = [3,4,6,2,1]
listc = [3,2,1]
listd = [3,4,6,2]
</t>
  </si>
  <si>
    <t>Consider the following Python code snippet. Your task is to determine the output of this code. Be sure to carefully trace the code, perhaps even on a piece of paper, to understand how it works. Once you've figured out the output, store it in a variable named 'ans'. Here is the code you need to analyze:
list = [5, 7, 1, 6, 2, -4, 0, -5]
var = 0
for i in range(5):
    var = list[var]
print(var)</t>
  </si>
  <si>
    <t>Imagine you have a list of numbers, specifically list1 = [6, 0, 2, 2, 1, 4, 0, 8, 5, 7]. You are asked to perform some operations on this list. First, you need to remove the last item from the list using the pop() method. Next, you need to remove the first occurrence of the number 0 from the list using the remove() method. Lastly, you need to remove the item at index 2 from the list using the pop() method with an argument. Your task is to write down the content of list1 after these operations have been executed. For example, if you start with list1 = [6, 2, 1, 4, 0, 8, 5], the elements inside the list after the operations would be what you need to write down.</t>
  </si>
  <si>
    <t xml:space="preserve">
ans = [6, 2, 1, 4, 0, 8, 5]
</t>
  </si>
  <si>
    <t>Imagine you have a string of numbers separated by periods, like this: "12.65.23.1.65.2.8". Your task is to write a Python program that splits this string into individual items. After the program is executed, you should be able to list down the individual items that have been separated from the original string. For example, if your original string is "12.65.23.1.65.2.8", after executing the program, you should have a list of items like this: ["12","65","23","1",'65",'2",'8'].</t>
  </si>
  <si>
    <t xml:space="preserve">
ans = ['12", '65", '23", '1", '65", '2", '8']
</t>
  </si>
  <si>
    <t>Your task is to understand and predict the values of two variables, x and y, after a specific piece of code is executed. The code consists of two functions, m1 and m2. The function m1 initializes x with a value of 10 and y with a list of integers [1, 2, 3]. It then calls the function m2, passing x and y as arguments. The function m2 modifies the values of the arguments it receives. It changes the value of the number to 1001 and the first element of the list to -999. After the execution of this code, you need to determine the final values of x and y. Here's the code for your reference:
def m1():
    x = 10
    y = [1, 2, 3]
    m2(x, y)
def m2(number, numbers):
    number = 1001
    numbers[0] = -999
m1()</t>
  </si>
  <si>
    <t xml:space="preserve">
ansx = 10
ansy = [-999, 2, 3]
</t>
  </si>
  <si>
    <t>Your task is to write a Python program that generates a list of numbers. The numbers in the list should all be multiples of 5 and should fall within the range of 0 to 100. You can refer to the section on List Comprehensions in your course notes to help you with this task. For instance, your list should start like this: [0, 5, 10, 15, 20, ...] and so on, up to 100.</t>
  </si>
  <si>
    <t xml:space="preserve">
ans = [0, 5, 10, 15, 20, 25, 30, 35, 40, 45, 50, 55, 60, 65, 70, 75, 80, 85, 90, 95,100]
</t>
  </si>
  <si>
    <t>Create a function called 'shiftRight()' that accepts a list as an input. The function should return the list with all its elements moved one position to the right. The last element of the list should become the first element after the shift. For example, if the input list is [1, 2, 3, 4], the output should be [4, 1, 2, 3].</t>
  </si>
  <si>
    <t xml:space="preserve">''
def shiftRight(lst):
    temp = lst[len(lst)-1] # Retain the last element, temp is a dummy variable
    # Shift elements right
    print('hi", lst)
    for i in range(len(lst)-2, -1, -1):
        lst[i + 1] = lst[i]
    # Move the last element to fill in the first position
    lst[0] = temp
    return lst
print('shiftright", shiftRight(list1))
'''
</t>
  </si>
  <si>
    <t>A traditional telephone keypad assigns each of the digits 2 through 9 to a group of three letters. For instance, the digit 2 is associated with the letters A, B, and C, 3 with D, E, and F, and so on. This system allows us to convert phone numbers into words. Some companies use this method to create memorable phone numbers for their customers. For example, 1800-MEDICARE translates to 1800-63342273. Your task is to write a function named 'translate' that takes a string as input and translates all the letters within the string to their equivalent digits as described above. The function should be case insensitive and return the translated string. A hint to solve this problem is to use a list to store the associated digit for each of the 26 alphabets.</t>
  </si>
  <si>
    <t xml:space="preserve">'''
mapping = [2, 2, 2, 3, 3, 3, 4, 4, 4, 5, 5, 5, 6, 6, 6, 7, 7, 7, 7, 8, 8, 8, 9, 9, 9, 9]
def translate(tele_str):
    translated_str = ""
    for c in tele_str:
        if c.isalpha():
            translated_str += str(mapping[ord(c.upper()) - 65])
        else:
            translated_str += c
    return translated_str
'''
</t>
  </si>
  <si>
    <t>Create a function named 'convert16Bit'. This function should take an integer as an input and convert it into a 16-bit binary number. It's safe to assume that the input integer will always be within the range that can be represented by 16 bits.</t>
  </si>
  <si>
    <t>tid</t>
  </si>
  <si>
    <t>input</t>
  </si>
  <si>
    <t>output</t>
  </si>
  <si>
    <t>result</t>
  </si>
  <si>
    <t>ans</t>
  </si>
  <si>
    <t>no_code</t>
  </si>
  <si>
    <t>False</t>
  </si>
  <si>
    <t>factorial(5)</t>
  </si>
  <si>
    <t>120</t>
  </si>
  <si>
    <t>factorial(0)</t>
  </si>
  <si>
    <t>1</t>
  </si>
  <si>
    <t>factorial(1)</t>
  </si>
  <si>
    <t>factorial(3)</t>
  </si>
  <si>
    <t>6</t>
  </si>
  <si>
    <t>factorial(120)</t>
  </si>
  <si>
    <t>6689502913449127057588118054090372586752746333138029810295671352301633557244962989366874165271984981308157637893214090552534408589408121859898481114389650005964960521256960000000000000000000000000000</t>
  </si>
  <si>
    <t>factorial(2)</t>
  </si>
  <si>
    <t>2</t>
  </si>
  <si>
    <t>factorial(121)</t>
  </si>
  <si>
    <t>809429852527344373968162284544935082997082306309701607045776233628497660426640521713391773997910182738287074185078904956856663439318382745047716214841147650721760223072092160000000000000000000000000000</t>
  </si>
  <si>
    <t>x</t>
  </si>
  <si>
    <t>newx</t>
  </si>
  <si>
    <t>y</t>
  </si>
  <si>
    <t>newy</t>
  </si>
  <si>
    <t>chineseZodiac(1900)</t>
  </si>
  <si>
    <t>"rat"</t>
  </si>
  <si>
    <t>chineseZodiac(2015)</t>
  </si>
  <si>
    <t>"sheep"</t>
  </si>
  <si>
    <t>chineseZodiac(2016)</t>
  </si>
  <si>
    <t>"monkey"</t>
  </si>
  <si>
    <t>smaller(1,2)</t>
  </si>
  <si>
    <t>smaller(30,20)</t>
  </si>
  <si>
    <t>20</t>
  </si>
  <si>
    <t>smaller(-5,-2)</t>
  </si>
  <si>
    <t>-5</t>
  </si>
  <si>
    <t>gradientOfLine(2,2,1,4)</t>
  </si>
  <si>
    <t>"Negative"</t>
  </si>
  <si>
    <t>gradientOfLine(2,2,4,3)</t>
  </si>
  <si>
    <t>"Positive"</t>
  </si>
  <si>
    <t>decimal(0)</t>
  </si>
  <si>
    <t>0</t>
  </si>
  <si>
    <t>decimal(10)</t>
  </si>
  <si>
    <t>decimal(101)</t>
  </si>
  <si>
    <t>5</t>
  </si>
  <si>
    <t>decimal(1111111111111111111111111111111)</t>
  </si>
  <si>
    <t>2147483647</t>
  </si>
  <si>
    <t>decimal(1011001011111011000111000000010101001110110010001010111110000110101100010010011010100111001101111000001000101101000111011011110011011010111111101110110010000000100111010010111101000010111111111111101111100010101101110111110110001100100101110011011101011110001011110111000111010110010110000100010000110001101000111000001101110001110100001001111110010010111011010111100111010101010100101111110111000000111111000101110111000011111011011000100111011100011010011010111001011011110111001101011011000000010100100100000001110010001101001100001101110111100000000000000000000000000000000000000000000000000000000000000000000000000000000000000000000000000000000000000000000)</t>
  </si>
  <si>
    <t>palindrome_count(1, 1)</t>
  </si>
  <si>
    <t>palindrome_count(10, 11)</t>
  </si>
  <si>
    <t>palindrome_count(1000, 10000)</t>
  </si>
  <si>
    <t>90</t>
  </si>
  <si>
    <t>palindrome_count(12345, 54321)</t>
  </si>
  <si>
    <t>419</t>
  </si>
  <si>
    <t>palindrome_count(100000, 1000000)</t>
  </si>
  <si>
    <t>900</t>
  </si>
  <si>
    <t>palindrome_count(121, 12321)</t>
  </si>
  <si>
    <t>202</t>
  </si>
  <si>
    <t>palindrome_count(111, 111000)</t>
  </si>
  <si>
    <t>1090</t>
  </si>
  <si>
    <t>area(2,3)</t>
  </si>
  <si>
    <t>3.0</t>
  </si>
  <si>
    <t>area(3,7)</t>
  </si>
  <si>
    <t>10.5</t>
  </si>
  <si>
    <t>area(1,1)</t>
  </si>
  <si>
    <t>0.5</t>
  </si>
  <si>
    <t>area2(1,4,1.2)</t>
  </si>
  <si>
    <t>1.8640781719344526</t>
  </si>
  <si>
    <t>area2(2,3,0.7)</t>
  </si>
  <si>
    <t>1.932653061713073</t>
  </si>
  <si>
    <t>894453</t>
  </si>
  <si>
    <t>z</t>
  </si>
  <si>
    <t>689</t>
  </si>
  <si>
    <t>answer</t>
  </si>
  <si>
    <t>s</t>
  </si>
  <si>
    <t>'\"He said, \'This is nested\\annoying\'\", Steve recalled.'</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</si>
  <si>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t>
  </si>
  <si>
    <t>pig_latin('pig')</t>
  </si>
  <si>
    <t>'igpay'</t>
  </si>
  <si>
    <t>pig_latin('latin')</t>
  </si>
  <si>
    <t>'atinlay'</t>
  </si>
  <si>
    <t>pig_latin('word')</t>
  </si>
  <si>
    <t>'ordway'</t>
  </si>
  <si>
    <t>pig_latin('run')</t>
  </si>
  <si>
    <t>'unray'</t>
  </si>
  <si>
    <t>pig_latin_sentence("pig latin")</t>
  </si>
  <si>
    <t>'igpay atinlay'</t>
  </si>
  <si>
    <t>pig_latin_sentence("code to run")</t>
  </si>
  <si>
    <t>'odecay otay unray'</t>
  </si>
  <si>
    <t>pig_latin_sentence("code")</t>
  </si>
  <si>
    <t>'odecay'</t>
  </si>
  <si>
    <t>binary_to_decimal([1, 1, 0, 1, 0, 1])</t>
  </si>
  <si>
    <t>53</t>
  </si>
  <si>
    <t>binary_to_decimal([1, 0, 0, 1, 0, 1, 1, 1, 0, 1, 0])</t>
  </si>
  <si>
    <t>1210</t>
  </si>
  <si>
    <t>binary_to_decimal([1, 0, 1, 1, 1, 0, 1, 1, 1, 1, 1, 1, 1, 0, 0, 0, 0, 1, 1, 0 ,1, 0, 1, 0, 1, 0, 1, 0, 1, 0, 1, 1, 0, 0, 0, 1])</t>
  </si>
  <si>
    <t>50457914033</t>
  </si>
  <si>
    <t>binary_to_decimal([0])</t>
  </si>
  <si>
    <t>binary_to_decimal([1])</t>
  </si>
  <si>
    <t>binary_to_decimal([1, 1, 1, 0, 1, 0, 1, 1, 0, 1, 1, 1, 1, 0, 0, 1, 1, 0, 1, 0, 0, 0, 1, 0, 1, 0, 1])</t>
  </si>
  <si>
    <t>123456789</t>
  </si>
  <si>
    <t>binary_to_decimal([1, 1, 1, 1, 1, 1, 1, 1, 1, 1, 1, 1, 1, 1, 1, 1, 1, 1, 1, 1, 1, 1, 1, 1, 1, 1, 1, 1, 1, 1, 1, 1, 1, 1, 1, 1, 1, 1, 1, 1, 1, 1, 1, 1, 1, 1, 1, 1, 1, 1, 1, 1, 1, 1, 1, 1, 1, 1, 1, 1, 1, 1, 1, 1, 1, 1, 1, 1, 1, 1, 1, 1, 1, 1, 1, 1, 1, 1, 1, 1, 1, 1, 1, 1, 1, 1, 1, 1, 1, 1, 1, 1, 1, 1, 1, 1, 1, 1, 1, 1])</t>
  </si>
  <si>
    <t>1267650600228229401496703205375</t>
  </si>
  <si>
    <t>insert("statics","tis",3)</t>
  </si>
  <si>
    <t>"statistics"</t>
  </si>
  <si>
    <t>insert("physics","meta",0)</t>
  </si>
  <si>
    <t>"metaphysics"</t>
  </si>
  <si>
    <t>insert("math","ematics",5)</t>
  </si>
  <si>
    <t>"mathematics"</t>
  </si>
  <si>
    <t>insert("math","matics",5)</t>
  </si>
  <si>
    <t>"mathmatics"</t>
  </si>
  <si>
    <t>palindromeNumber(-1)</t>
  </si>
  <si>
    <t>palindromeNumber(8)</t>
  </si>
  <si>
    <t>True</t>
  </si>
  <si>
    <t>palindromeNumber(121)</t>
  </si>
  <si>
    <t>palindromeNumber(36)</t>
  </si>
  <si>
    <t>palindromeNumber(99)</t>
  </si>
  <si>
    <t>palindromeNumber(1000)</t>
  </si>
  <si>
    <t>palindromeNumber(456)</t>
  </si>
  <si>
    <t>rectangles(2.5, 4, 2.5, 43, 1.5, 5, 0.5, 3)</t>
  </si>
  <si>
    <t>"r2 is inside r1"</t>
  </si>
  <si>
    <t>rectangles(1, 2, 3, 5.5, 3, 4, 4.5, 5)</t>
  </si>
  <si>
    <t>"r2 overlaps r1"</t>
  </si>
  <si>
    <t>rectangles(1, 2, 3, 3, 40, 45, 3, 2)</t>
  </si>
  <si>
    <t>"r2 does not overlap r1"</t>
  </si>
  <si>
    <t>rectangles(1, 2, 3, 3, 1, 2, 3, 3)</t>
  </si>
  <si>
    <t>"r2 intersect r1 exactly"</t>
  </si>
  <si>
    <t>rectangles(1, 2, 3, 0, 1, 2, 0, 3)</t>
  </si>
  <si>
    <t>"Not a valid rectangle"</t>
  </si>
  <si>
    <t>rectangles(0, 0, 2, 2, 2, 2, 2, 2)</t>
  </si>
  <si>
    <t>rectangles(0, 0, 2, 2, -2, 2, 2, 2)</t>
  </si>
  <si>
    <t>rectangles(0, 0, 2, 2, 2, -2, 2, 2)</t>
  </si>
  <si>
    <t>rectangles(0, 0, 2, 2, -2, -2, 2, 2)</t>
  </si>
  <si>
    <t>rectangles(0, 0, 2, 2, 2, 2.1, 2, 2)</t>
  </si>
  <si>
    <t>rectangles(0, 0, 2, 2, 2, 1.9, 2, 2)</t>
  </si>
  <si>
    <t>turnstiles(2,2,3,3,1)</t>
  </si>
  <si>
    <t>turnstiles(2,2,3,3,3)</t>
  </si>
  <si>
    <t>turnstiles(2,2,3,3,4)</t>
  </si>
  <si>
    <t>turnstiles(5,5,5,5,4)</t>
  </si>
  <si>
    <t>turnstiles(5,5,5,5,5)</t>
  </si>
  <si>
    <t>turnstiles(5,5,5,5,6)</t>
  </si>
  <si>
    <t>turnstiles(4,3,3,4,18)</t>
  </si>
  <si>
    <t>turnstiles(4,3,3,4,20)</t>
  </si>
  <si>
    <t>turnstiles(4,3,3,4,22)</t>
  </si>
  <si>
    <t>turnstiles(13,17,11,7,51)</t>
  </si>
  <si>
    <t>turnstiles(13,17,11,7,78)</t>
  </si>
  <si>
    <t>turnstiles(13,17,11,7,91)</t>
  </si>
  <si>
    <t>turnstiles(1,3,3,1,3)</t>
  </si>
  <si>
    <t>turnstiles(1,3,3,1,1)</t>
  </si>
  <si>
    <t>turnstiles(1,3,3,1,2)</t>
  </si>
  <si>
    <t>turnstiles(1,3,3,1,4)</t>
  </si>
  <si>
    <t>turnstiles(991,978,986,993,911)</t>
  </si>
  <si>
    <t>turnstiles(991,978,986,993,995)</t>
  </si>
  <si>
    <t>turnstiles(991,978,986,993,992)</t>
  </si>
  <si>
    <t>snail(2,1,5)</t>
  </si>
  <si>
    <t>4</t>
  </si>
  <si>
    <t>snail(5,1,6)</t>
  </si>
  <si>
    <t>snail(100,99,1000000000)</t>
  </si>
  <si>
    <t>999999901</t>
  </si>
  <si>
    <t>snail(18,5,1310)</t>
  </si>
  <si>
    <t>101</t>
  </si>
  <si>
    <t>snail(18,7,30)</t>
  </si>
  <si>
    <t>3</t>
  </si>
  <si>
    <t>snail(20,5,80)</t>
  </si>
  <si>
    <t>snail(20,5,81)</t>
  </si>
  <si>
    <t>snail(20,5,79)</t>
  </si>
  <si>
    <t>snail(2000,1000,10000)</t>
  </si>
  <si>
    <t>9</t>
  </si>
  <si>
    <t>snail(236,229,12406082)</t>
  </si>
  <si>
    <t>1772265</t>
  </si>
  <si>
    <t>snail(4,2,1000000000)</t>
  </si>
  <si>
    <t>499999999</t>
  </si>
  <si>
    <t>snail(31,30,991234162)</t>
  </si>
  <si>
    <t>991234132</t>
  </si>
  <si>
    <t>perfect(6)</t>
  </si>
  <si>
    <t>perfect(8)</t>
  </si>
  <si>
    <t>perfect(28)</t>
  </si>
  <si>
    <t>perfect(496)</t>
  </si>
  <si>
    <t>perfect(12345678)</t>
  </si>
  <si>
    <t>perfect(1)</t>
  </si>
  <si>
    <t>perfect(1024)</t>
  </si>
  <si>
    <t>perfect(8128)</t>
  </si>
  <si>
    <t>consecutiveSum(1,10)</t>
  </si>
  <si>
    <t>55</t>
  </si>
  <si>
    <t>consecutiveSum(-20,10)</t>
  </si>
  <si>
    <t>-155</t>
  </si>
  <si>
    <t>consecutiveSum(3,1000)</t>
  </si>
  <si>
    <t>500497</t>
  </si>
  <si>
    <t>consecutiveSum(1,1)</t>
  </si>
  <si>
    <t>consecutiveSumEven(3,5)</t>
  </si>
  <si>
    <t>consecutiveSumEven(2,10)</t>
  </si>
  <si>
    <t>30</t>
  </si>
  <si>
    <t>consecutiveSumEven(1,10)</t>
  </si>
  <si>
    <t>consecutiveSumEven(2,11)</t>
  </si>
  <si>
    <t>triangle1(6)</t>
  </si>
  <si>
    <t>"*\n**\n***\n****\n*****\n******"</t>
  </si>
  <si>
    <t>triangle1(1)</t>
  </si>
  <si>
    <t>"*"</t>
  </si>
  <si>
    <t>triangle1(9)</t>
  </si>
  <si>
    <t>"*\n**\n***\n****\n*****\n******\n*******\n********\n*********"</t>
  </si>
  <si>
    <t>triangle2(6)</t>
  </si>
  <si>
    <t>"1\n12\n123\n1234\n12345\n123456"</t>
  </si>
  <si>
    <t>triangle2(1)</t>
  </si>
  <si>
    <t>"1"</t>
  </si>
  <si>
    <t>triangle2(9)</t>
  </si>
  <si>
    <t>"1\n12\n123\n1234\n12345\n123456\n1234567\n12345678\n123456789"</t>
  </si>
  <si>
    <t>check_validity([4, 9, 0, 2, 5, 0, 5, 1, 6, 9, 6, 1, 8])</t>
  </si>
  <si>
    <t>check_validity([1, 2, 5])</t>
  </si>
  <si>
    <t>check_validity([9, 8, 7, 6, 7, 1, 8, 1, 7, 8, 1, 8, 2])</t>
  </si>
  <si>
    <t>check_validity([0, 0, 0, 0, 0, 0, 0, 0, 0, 0, 0, 0, 0])</t>
  </si>
  <si>
    <t>check_validity([1, 2, 3, 4, 5, 6, 7, 8, 9, 1, 2, 3, 1])</t>
  </si>
  <si>
    <t>check_validity([1, 2, 3, 4, 5, 6, 7, 8, 9, 1, 2, 3, 0])</t>
  </si>
  <si>
    <t>check_validity([1, 2, 3, 4, 5, 6, 7, 8, 9, 1, 2, 3, 2])</t>
  </si>
  <si>
    <t>check_validity([1, 2, 3, 4, 5, 6, 7, 8, 9, 1, 2, 3, 3])</t>
  </si>
  <si>
    <t>check_validity([1, 2, 3, 4, 5, 6, 7, 8, 9, 1, 2, 3, 4])</t>
  </si>
  <si>
    <t>check_validity([1, 2, 3, 4, 5, 6, 7, 8, 9, 1, 2, 3, 5])</t>
  </si>
  <si>
    <t>check_validity([1, 2, 3, 4, 5, 6, 7, 8, 9, 1, 2, 3, 6])</t>
  </si>
  <si>
    <t>check_validity([1, 2, 3, 4, 5, 6, 7, 8, 9, 1, 2, 3, 7])</t>
  </si>
  <si>
    <t>check_validity([1, 2, 3, 4, 5, 6, 7, 8, 9, 1, 2, 3, 8])</t>
  </si>
  <si>
    <t>check_validity([1, 2, 3, 4, 5, 6, 7, 8, 9, 1, 2, 3, 9])</t>
  </si>
  <si>
    <t>check_validity([5, 5, 0])</t>
  </si>
  <si>
    <t>calculate_winner(example_list1, 6)</t>
  </si>
  <si>
    <t>'A'</t>
  </si>
  <si>
    <t>calculate_winner(example_list2, 2)</t>
  </si>
  <si>
    <t>'B'</t>
  </si>
  <si>
    <t>calculate_winner(example_list3, 10)</t>
  </si>
  <si>
    <t>None</t>
  </si>
  <si>
    <t>calculate_winner(list2, 3)</t>
  </si>
  <si>
    <t>calculate_winner(list3, 1)</t>
  </si>
  <si>
    <t>ans1</t>
  </si>
  <si>
    <t>ans2</t>
  </si>
  <si>
    <t>numOcurrence([1,2,1,2,3,5,6,1,4,6,1], 1)</t>
  </si>
  <si>
    <t>numOcurrence([1,2,1,2,3,5,6,1,4,6,1], 6)</t>
  </si>
  <si>
    <t>numOcurrence([1,2,1,2,3,5,6,1,4,6,1], 99)</t>
  </si>
  <si>
    <t>7</t>
  </si>
  <si>
    <t>list1</t>
  </si>
  <si>
    <t>items</t>
  </si>
  <si>
    <t>ansx</t>
  </si>
  <si>
    <t>ansy</t>
  </si>
  <si>
    <t>frequencyCount([0,0,1,2,1,2,0,4,3,1,0,2,3,4,5,9,1])</t>
  </si>
  <si>
    <t>[0, 1, 2, 3, 4, 5, 9],[4, 4, 3, 2, 2, 1, 1]</t>
  </si>
  <si>
    <t>frequencyCount([-9, 0, 33, -9, 33, 33, -9, -9, -9, -9, 123, 5])</t>
  </si>
  <si>
    <t>[-9, 0, 5, 33, 123], [6, 1, 1, 3, 1]</t>
  </si>
  <si>
    <t>translate("1800-MEDICARE")</t>
  </si>
  <si>
    <t>"1800-63342273"</t>
  </si>
  <si>
    <t>translate("1800-CALL LTA")</t>
  </si>
  <si>
    <t>"1800-2255 582"</t>
  </si>
  <si>
    <t>translate("Hello World")</t>
  </si>
  <si>
    <t>"43556 96753"</t>
  </si>
  <si>
    <t>translate("The quick brown fox jumps over the lazy dog")</t>
  </si>
  <si>
    <t>"843 78425 27696 369 58677 6837 843 5299 364"</t>
  </si>
  <si>
    <t>translate("Hello Mrs Lee")</t>
  </si>
  <si>
    <t>"43556 677 533"</t>
  </si>
  <si>
    <t>translate("!@#$%^&amp;*()")</t>
  </si>
  <si>
    <t>"!@#$%^&amp;*()"</t>
  </si>
  <si>
    <t>translate("ABCDEFGHIJKLMNOPQRSTUVWXYZ")</t>
  </si>
  <si>
    <t>"22233344455566677778889999"</t>
  </si>
  <si>
    <t>count_substring('CAXAAYXZA')</t>
  </si>
  <si>
    <t>count_substring('AAXOXXA')</t>
  </si>
  <si>
    <t>count_substring('AXAXAXAXAX')</t>
  </si>
  <si>
    <t>15</t>
  </si>
  <si>
    <t>count_substring('')</t>
  </si>
  <si>
    <t>count_substring('A')</t>
  </si>
  <si>
    <t>count_substring('X')</t>
  </si>
  <si>
    <t>count_substring('AX')</t>
  </si>
  <si>
    <t>count_substring('AXA')</t>
  </si>
  <si>
    <t>count_substring('AXAX')</t>
  </si>
  <si>
    <t>count_substring('AXYAX')</t>
  </si>
  <si>
    <t>count_substring('AXAAX')</t>
  </si>
  <si>
    <t>count_substring(5000*"A"+5000*"X")</t>
  </si>
  <si>
    <t>25000000</t>
  </si>
  <si>
    <t>count_substring(5000*"AX")</t>
  </si>
  <si>
    <t>12502500</t>
  </si>
  <si>
    <t>count_substring(500000*"A"+500000*"X")</t>
  </si>
  <si>
    <t>250000000000</t>
  </si>
  <si>
    <t>count_substring(500000*"AX")</t>
  </si>
  <si>
    <t>125000250000</t>
  </si>
  <si>
    <t>count_substring(500000*"AAX")</t>
  </si>
  <si>
    <t>250000500000</t>
  </si>
  <si>
    <t>count_substring(500000*"AAXXAXAX")</t>
  </si>
  <si>
    <t>2000001500000</t>
  </si>
  <si>
    <t>a</t>
  </si>
  <si>
    <t xml:space="preserve">a_ans </t>
  </si>
  <si>
    <t>b</t>
  </si>
  <si>
    <t xml:space="preserve">b_ans </t>
  </si>
  <si>
    <t>c</t>
  </si>
  <si>
    <t xml:space="preserve">c_ans </t>
  </si>
  <si>
    <t>d</t>
  </si>
  <si>
    <t xml:space="preserve">d_ans </t>
  </si>
  <si>
    <t>e</t>
  </si>
  <si>
    <t>e_ans</t>
  </si>
  <si>
    <t>leapYear(1988)</t>
  </si>
  <si>
    <t>leapYear(2015)</t>
  </si>
  <si>
    <t>leapYear(49200)</t>
  </si>
  <si>
    <t>leapYear(2104)</t>
  </si>
  <si>
    <t>leapYear(2100)</t>
  </si>
  <si>
    <t>leapYear(2014)</t>
  </si>
  <si>
    <t>leapYear(2000)</t>
  </si>
  <si>
    <t>triangle(100, 3, 4)</t>
  </si>
  <si>
    <t>"Not a triangle"</t>
  </si>
  <si>
    <t>triangle(5, 5, 5)</t>
  </si>
  <si>
    <t>"Equilateral"</t>
  </si>
  <si>
    <t>triangle(5, 3, 3)</t>
  </si>
  <si>
    <t>"Isosceles"</t>
  </si>
  <si>
    <t>triangle(4, 3, 5)</t>
  </si>
  <si>
    <t>"Scalene"</t>
  </si>
  <si>
    <t>pointInCircle(4,5)</t>
  </si>
  <si>
    <t>pointInCircle(9,9)</t>
  </si>
  <si>
    <t>correct_ans</t>
  </si>
  <si>
    <t>fibo(1)</t>
  </si>
  <si>
    <t>fibo(2)</t>
  </si>
  <si>
    <t>fibo(3)</t>
  </si>
  <si>
    <t>fibo(4)</t>
  </si>
  <si>
    <t>fibo(5)</t>
  </si>
  <si>
    <t>fibo(6)</t>
  </si>
  <si>
    <t>8</t>
  </si>
  <si>
    <t>fibo(30)</t>
  </si>
  <si>
    <t>832040</t>
  </si>
  <si>
    <t>fibo(420)</t>
  </si>
  <si>
    <t>2662710205480735617346452022100755074809023407208374441801919604845563638678145849451440</t>
  </si>
  <si>
    <t>fibo(1000)</t>
  </si>
  <si>
    <t>43466557686937456435688527675040625802564660517371780402481729089536555417949051890403879840079255169295922593080322634775209689623239873322471161642996440906533187938298969649928516003704476137795166849228875</t>
  </si>
  <si>
    <t>fibo(10000)</t>
  </si>
  <si>
    <t>33644764876431783266621612005107543310302148460680063906564769974680081442166662368155595513633734025582065332680836159373734790483865268263040892463056431887354544369559827491606602099884183933864652731300088830269235673613135117579297437854413752130520504347701602264758318906527890855154366159582987279682987510631200575428783453215515103870818298969791613127856265033195487140214287532698187962046936097879900350962302291026368131493195275630227837628441540360584402572114334961180023091208287046088923962328835461505776583271252546093591128203925285393434620904245248929403901706233888991085841065183173360437470737908552631764325733993712871937587746897479926305837065742830161637408969178426378624212835258112820516370298089332099905707920064367426202389783111470054074998459250360633560933883831923386783056136435351892133279732908133732642652633989763922723407882928177953580570993691049175470808931841056146322338217465637321248226383092103297701648054726243842374862411453093812206564914032751086643394517512161526545361333111314042436854805106765843493523836959653428071768775328348234345557366719731392746273629108210679280784718035329131176778924659089938635459327894523777674406192240337638674004021330343297496902028328145933418826817683893072003634795623117103101291953169794607632737589253530772552375943788434504067715555779056450443016640119462580972216729758615026968443146952034614932291105970676243268515992834709891284706740862008587135016260312071903172086094081298321581077282076353186624611278245537208532365305775956430072517744315051539600905168603220349163222640885248852433158051534849622434848299380905070483482449327453732624567755879089187190803662058009594743150052402532709746995318770724376825907419939632265984147498193609285223945039707165443156421328157688908058783183404917434556270520223564846495196112460268313970975069382648706613264507665074611512677522748621598642530711298441182622661057163515069260029861704945425047491378115154139941550671256271197133252763631939606902895650288268608362241082050562430701794976171121233066073310059947366875</t>
  </si>
  <si>
    <t>fibo(120)</t>
  </si>
  <si>
    <t>5358359254990966640871840</t>
  </si>
  <si>
    <t>reverse_number(12345)</t>
  </si>
  <si>
    <t>54321</t>
  </si>
  <si>
    <t>reverse_number(12321)</t>
  </si>
  <si>
    <t>12321</t>
  </si>
  <si>
    <t>reverse_number(12345676545654321)</t>
  </si>
  <si>
    <t>12345654567654321</t>
  </si>
  <si>
    <t>reverse_number(reverse_number(12345))</t>
  </si>
  <si>
    <t>12345</t>
  </si>
  <si>
    <t>reverse_number(factorial(60))</t>
  </si>
  <si>
    <t>69046967729442595421636062714570834633223811436724410931472117890238</t>
  </si>
  <si>
    <t>reverse_number(7136249843)</t>
  </si>
  <si>
    <t>3489426317</t>
  </si>
  <si>
    <t>reverse_number(1111100000)</t>
  </si>
  <si>
    <t>11111</t>
  </si>
  <si>
    <t>area3(3,3,3)</t>
  </si>
  <si>
    <t>3.897114317029974</t>
  </si>
  <si>
    <t>area3(3,6,7)</t>
  </si>
  <si>
    <t>8.94427190999916</t>
  </si>
  <si>
    <t>format_sum('1+2+3+4')</t>
  </si>
  <si>
    <t>10</t>
  </si>
  <si>
    <t>format_sum('-10+10+-10+10')</t>
  </si>
  <si>
    <t>format_sum('100+10+1+0')</t>
  </si>
  <si>
    <t>111</t>
  </si>
  <si>
    <t>test1</t>
  </si>
  <si>
    <t>test2</t>
  </si>
  <si>
    <t>(length_of_list == len(myList))</t>
  </si>
  <si>
    <t>(smallest_number == min(myList))</t>
  </si>
  <si>
    <t>(greatest_number == max(myList))</t>
  </si>
  <si>
    <t>(sum_of_numbers == sum(myList))</t>
  </si>
  <si>
    <t>pad('Even')</t>
  </si>
  <si>
    <t>'Even lololololololololololololololololololololololololololololololololololololololololololololololololololololololololololololololololololol'</t>
  </si>
  <si>
    <t>pad('Odd')</t>
  </si>
  <si>
    <t>'Oddlolololololololololololololololololololololololololololololololololololololololololololololololololololololololololololololololololololol'</t>
  </si>
  <si>
    <t>pad("I love the new CS module")</t>
  </si>
  <si>
    <t>'I love the new CS module lololololololololololololololololololololololololololololololololololololololololololololololololololololololololol'</t>
  </si>
  <si>
    <t>pad("Lorem ipsum dolor sit amet, consectetur adipiscing elit. Vivamus dolor purus, finibus eget magna vel, suscipit semper nibh. Quisque posuere.")</t>
  </si>
  <si>
    <t>"Lorem ipsum dolor sit amet, consectetur adipiscing elit. Vivamus dolor purus, finibus eget magna vel, suscipit semper nibh. Quisque posuere."</t>
  </si>
  <si>
    <t>swap("ABCabc")</t>
  </si>
  <si>
    <t>'abcABC'</t>
  </si>
  <si>
    <t>swap("//sd--0123")</t>
  </si>
  <si>
    <t>"//SD--0123"</t>
  </si>
  <si>
    <t>swap("Test lOL")</t>
  </si>
  <si>
    <t>'tEST Lol'</t>
  </si>
  <si>
    <t>at_least_n(list1, 10)</t>
  </si>
  <si>
    <t>[10, 11, 12, 13, 14]</t>
  </si>
  <si>
    <t>at_least_n(list2, 99)</t>
  </si>
  <si>
    <t>[99]</t>
  </si>
  <si>
    <t>at_least_n(list2, 0)</t>
  </si>
  <si>
    <t>list(range(100))</t>
  </si>
  <si>
    <t>at_least_n(list2, 100)</t>
  </si>
  <si>
    <t>[]</t>
  </si>
  <si>
    <t>remove_bars('|H|e|l|l|o| |W|o|r|l|d|')</t>
  </si>
  <si>
    <t>'Hello World'</t>
  </si>
  <si>
    <t>remove_bars('|W|e|l|c|o|m|e| |T|o| |M|y| |W|e|b|s|i|t|e|')</t>
  </si>
  <si>
    <t>'Welcome To My Website'</t>
  </si>
  <si>
    <t>remove_bars('|T|e|s|t|')</t>
  </si>
  <si>
    <t>'Test'</t>
  </si>
  <si>
    <t>is_prime(1)</t>
  </si>
  <si>
    <t>is_prime(2)</t>
  </si>
  <si>
    <t>is_prime(7)</t>
  </si>
  <si>
    <t>is_prime(9)</t>
  </si>
  <si>
    <t>is_prime(1000000001)</t>
  </si>
  <si>
    <t>is_prime(2147483647)</t>
  </si>
  <si>
    <t>is_prime(3)</t>
  </si>
  <si>
    <t>is_prime(4)</t>
  </si>
  <si>
    <t>is_prime(257)</t>
  </si>
  <si>
    <t>is_prime(1023)</t>
  </si>
  <si>
    <t>stop_time(6)</t>
  </si>
  <si>
    <t>stop_time(1)</t>
  </si>
  <si>
    <t>stop_time(26)</t>
  </si>
  <si>
    <t>stop_time(27)</t>
  </si>
  <si>
    <t>stop_time(factorial(120))</t>
  </si>
  <si>
    <t>stop_time(81)</t>
  </si>
  <si>
    <t>22</t>
  </si>
  <si>
    <t>stop_time(15)</t>
  </si>
  <si>
    <t>17</t>
  </si>
  <si>
    <t>stop_time(665215)</t>
  </si>
  <si>
    <t>441</t>
  </si>
  <si>
    <t>smallestNsq(50)</t>
  </si>
  <si>
    <t>smallestNsq(12000)</t>
  </si>
  <si>
    <t>110</t>
  </si>
  <si>
    <t>smallestNsq(1)</t>
  </si>
  <si>
    <t>smallestNsq(10000)</t>
  </si>
  <si>
    <t>pattern(1)</t>
  </si>
  <si>
    <t>pattern(2)</t>
  </si>
  <si>
    <t>"122"</t>
  </si>
  <si>
    <t>pattern(8)</t>
  </si>
  <si>
    <t>"122333444455555666666777777788888888"</t>
  </si>
  <si>
    <t>pattern(20)</t>
  </si>
  <si>
    <t>"122333444455555666666777777788888888999999999101010101010101010101111111111111111111111121212121212121212121212131313131313131313131313131414141414141414141414141414151515151515151515151515151515161616161616161616161616161616161717171717171717171717171717171717181818181818181818181818181818181818191919191919191919191919191919191919192020202020202020202020202020202020202020"</t>
  </si>
  <si>
    <t>triangle3(6)</t>
  </si>
  <si>
    <t>"     1\n    12\n   123\n  1234\n 12345\n123456"</t>
  </si>
  <si>
    <t>triangle3(1)</t>
  </si>
  <si>
    <t>triangle3(9)</t>
  </si>
  <si>
    <t>"        1\n       12\n      123\n     1234\n    12345\n   123456\n  1234567\n 12345678\n123456789"</t>
  </si>
  <si>
    <t>subset(lista, listb)</t>
  </si>
  <si>
    <t>"List 1 is a subset of List 2"</t>
  </si>
  <si>
    <t>subset(listb, lista)</t>
  </si>
  <si>
    <t>"List 2 is a subset of List 1"</t>
  </si>
  <si>
    <t>subset(lista, listd)</t>
  </si>
  <si>
    <t>"The two list are not subsets of each other"</t>
  </si>
  <si>
    <t>subset(lista, listc)</t>
  </si>
  <si>
    <t>subset(listd, listb)</t>
  </si>
  <si>
    <t>subset(listb, listd)</t>
  </si>
  <si>
    <t>shiftRight([1,2,3,4,5])</t>
  </si>
  <si>
    <t>[5, 1, 2, 3, 4]</t>
  </si>
  <si>
    <t>shiftRight([0, 5, 10, 15, 20, 25, 30, 35, 40, 45, 50, 55, 60, 65, 70, 75, 80, 85, 90, 95, 100])</t>
  </si>
  <si>
    <t>[100, 0, 5, 10, 15, 20, 25, 30, 35, 40, 45, 50, 55, 60, 65, 70, 75, 80, 85, 90, 95]</t>
  </si>
  <si>
    <t>convert16Bit(92)</t>
  </si>
  <si>
    <t>"0000000001011100"</t>
  </si>
  <si>
    <t>convert16Bit(256)</t>
  </si>
  <si>
    <t>"0000000100000000"</t>
  </si>
  <si>
    <t>convert16Bit(1256)</t>
  </si>
  <si>
    <t>"0000010011101000"</t>
  </si>
  <si>
    <t>sid</t>
  </si>
  <si>
    <t>code</t>
  </si>
  <si>
    <t>failing_testcases</t>
  </si>
  <si>
    <t>passing_testcases</t>
  </si>
  <si>
    <t>""" store the final answer in a variable named result """
fahre = eval(input(enter the temperatur in fahrenheit))
result = ( fahre - 32 ) * 5 / 9</t>
  </si>
  <si>
    <t>['106584", '106585']</t>
  </si>
  <si>
    <t>""" store the final answer in a variable named result """
name = input("Enter your name:")
age = input("Enter your age:")
str.(name)
str.(age)
result = "My friend " + name + " is " + age + " years old."
print(result)</t>
  </si>
  <si>
    <t>['106586", '106587']</t>
  </si>
  <si>
    <t>""" store the final answer in a variable named result """
name = int(input("enter name:"))
age = int(input("enter age:"))
result = "My friend" + (name) + " is " + (age) + "years old."
print(result)</t>
  </si>
  <si>
    <t xml:space="preserve">x=eval(input("Enter your age:"))
y=str(input("Enter your name:"))
result=("My friend",y,"is",x,"years old.")
</t>
  </si>
  <si>
    <t>['106586']</t>
  </si>
  <si>
    <t>['106587']</t>
  </si>
  <si>
    <t xml:space="preserve">n = str(input("Enter your name:"))
a = str(input("Enter your age:"))
result = "My friend " + str(n) " is " + str(a) " years old."
print(result)        
</t>
  </si>
  <si>
    <t xml:space="preserve">""" store your answer in a variable named result """
name=eval(input('enter your name'))
age=eval(input('enter your age'))
result=("My friend", name, "is", age "years old.")
print(result)
          </t>
  </si>
  <si>
    <t>name = input("Enter your name: ")
age = eval(input("Enter your age: ")
result = "My friend "+name+" is "+age+" years old
print(result)</t>
  </si>
  <si>
    <t>""" store your answer in a variable named result """
name = input()
age = input()
result = "My friend "+ name+" is "+age+" years old."</t>
  </si>
  <si>
    <t>""" store your answer in a variable named result """
a = input("hi")
print(a)</t>
  </si>
  <si>
    <t>['106588']</t>
  </si>
  <si>
    <t>['106589']</t>
  </si>
  <si>
    <t xml:space="preserve">def count_substring(string):
    ans = 0
    positionA = -1
    for count in range(string.count('A')):
        positionA = string.find('A", positionA + 1)
        ans += string.count('X", positionA + 1)
    return ans
</t>
  </si>
  <si>
    <t>['106603", '106604", '106605", '106606']</t>
  </si>
  <si>
    <t>['106590", '106591", '106592", '106593", '106594", '106595", '106596", '106597", '106598", '106599", '106600", '106601", '106602']</t>
  </si>
  <si>
    <t xml:space="preserve">def count_substring(string):
    lst = list(string)
    ans = 0
    for i in range(len(lst)):
        if lst[i] == 'A':
            ans += lst[i:].count('X')
        if lst[i:].count('A') == 0:
            return ans
    return ans
            </t>
  </si>
  <si>
    <t>['106601", '106603", '106604", '106605", '106606']</t>
  </si>
  <si>
    <t>['106590", '106591", '106592", '106593", '106594", '106595", '106596", '106597", '106598", '106599", '106600", '106602']</t>
  </si>
  <si>
    <t xml:space="preserve">def count_substring(string):
    k = string.split("A")
    l = ""
    a = l.join(k)
    numA = len(string) - len(a)
    s = -1
    ans = 0
    while s &gt; -(len(string)):
        if string[s] == "X":
            ans += numA
        elif string[s] == "A":
            numA -= 1
        else:
            ans = ans
        s -= 1
    return ans
</t>
  </si>
  <si>
    <t>['106606']</t>
  </si>
  <si>
    <t>['106590", '106591", '106592", '106593", '106594", '106595", '106596", '106597", '106598", '106599", '106600", '106601", '106602", '106603", '106604", '106605']</t>
  </si>
  <si>
    <t>def count_substring(s):
    ans = 0
    for i in range (0, len(s)):
        ca = 0
        cx = 0
        n = 0
        if s[i] == 'A':
            ca = 1
            if i == (len(s)-1):
                if s[i] == 'X':
                    cx = 1
            else:
                for x in s[i+1:len(s)]:
                    if x == 'X':
                        cx +=1
            n = ca * cx
            ans += n
    return ans</t>
  </si>
  <si>
    <t>['106601", '106602", '106603", '106604", '106605", '106606']</t>
  </si>
  <si>
    <t>['106590", '106591", '106592", '106593", '106594", '106595", '106596", '106597", '106598", '106599", '106600']</t>
  </si>
  <si>
    <t>def count_substring(string):
    numbera=0
    count=0
    for i in range(len(string)):
        if string[i]=="A":
            count+=1
        if string[i]=="X":
            count+=1</t>
  </si>
  <si>
    <t>['106590", '106591", '106592", '106593", '106594", '106595", '106596", '106597", '106598", '106599", '106600", '106601", '106602", '106603", '106604", '106605", '106606']</t>
  </si>
  <si>
    <t xml:space="preserve">
def count_substring(string):
    ans = 0
    for i in range(len(string)):
        if string[i] == 'A':
            rightstr = string[i+1:]
            x = rightstr.count('X')
            ans = ans + x
    return ans
</t>
  </si>
  <si>
    <t xml:space="preserve">def count_substring(string):
    count=0
    for i in range(0,len(string)):
        n=i
        while n&lt;len(string):
            if string[i]=='A' and string[n]=='X':
                count=count+1
                n=n+1
            else:
                count=count
                n=n+1
    return count
</t>
  </si>
  <si>
    <t>def factorial(n):
    ans = 0
    for ans in range(0, n+1, 1)
    ans = n * ans
    return ans</t>
  </si>
  <si>
    <t>['106607", '106608", '106609", '106610", '106611", '106612", '106613']</t>
  </si>
  <si>
    <t>def factorial(n):
    ans=1
    while n&gt;0:
        ans*=n
        n-1
    return ans</t>
  </si>
  <si>
    <t>['106607", '106609", '106610", '106611", '106612", '106613']</t>
  </si>
  <si>
    <t>['106608']</t>
  </si>
  <si>
    <t>def factorial(n):
    a = 0
    while n != 1:
        if n % 2 == 0:
            n = n // 2
        else:
            n = (3 * n) + 1
        a += 1
    return a</t>
  </si>
  <si>
    <t>def factorial(n):
    if n &lt; 0: 
        ans = "Invalid Input! "
    elif n == 0: 
        ans = 1
    else: 
        for i in range(1, n + 1): 
            ans *= i
    return ans</t>
  </si>
  <si>
    <t>def factorial(n):
    if n==0:
        ans=1
    else:
        a=1
        while a&lt;n+1:
            ans=1
            ans=ans*a
            a+=1
    return ans</t>
  </si>
  <si>
    <t>['106607", '106610", '106611", '106613']</t>
  </si>
  <si>
    <t>['106608", '106609", '106612']</t>
  </si>
  <si>
    <t>""" store your answer in a variable named result """
""" store your answer in a variable named result """
digit = eval(input("Enter int: "))
ones = digit % 10
tens = (digit // 10) % 10
hundred = (digit // 100) % 10
result = ones + tens 
print(sum)</t>
  </si>
  <si>
    <t>['106615']</t>
  </si>
  <si>
    <t>['106616']</t>
  </si>
  <si>
    <t xml:space="preserve">""" store your answer in a variable named result """
</t>
  </si>
  <si>
    <t>['106615", '106616']</t>
  </si>
  <si>
    <t xml:space="preserve">integer = str(input("Enter an integer range [0,999]: "))
result = str[0] + str[1] + str[2]
print(result)
</t>
  </si>
  <si>
    <t>""" store your answer in a variable named result """
ans = result % 10
result = result /10
ans += result % 10
result = result /10
ans += result</t>
  </si>
  <si>
    <t>""" store the final answer in a variable named result """
integar = int(input("Enter an integar:"))
result = integar%2
print(result == 0)</t>
  </si>
  <si>
    <t>['106617']</t>
  </si>
  <si>
    <t>['106618']</t>
  </si>
  <si>
    <t xml:space="preserve">x=1
y=2
x,y=y,x
</t>
  </si>
  <si>
    <t>['106619", '106620']</t>
  </si>
  <si>
    <t>x="newy"
y="newx"
x,y=x,y
print(x)
print(y)</t>
  </si>
  <si>
    <t>x = 5
y = 9
x, y = y , x
newx = x
newy = y</t>
  </si>
  <si>
    <t>x, y = 2*y, x</t>
  </si>
  <si>
    <t>['106619']</t>
  </si>
  <si>
    <t>['106620']</t>
  </si>
  <si>
    <t xml:space="preserve">a =
b =
c =
d = 
e = </t>
  </si>
  <si>
    <t>['106621", '106622", '106623", '106624", '106625']</t>
  </si>
  <si>
    <t>result =((3+4x)/5)-((10y-5)(a+b+c)/x)+9((4/x)+((9+x)/y))</t>
  </si>
  <si>
    <t>['106626']</t>
  </si>
  <si>
    <t>result = ( " ( ( 3 + 4x ) / 5 ) - ( ( 10 * ( y - 5 ) * ( a + b + c ) ) / x ) + ( 9 * ( ( 4 / x ) + ( ( 9 + x ) / y ) ) ) " )</t>
  </si>
  <si>
    <t>def chineseZodiac(year):
    if year % 12 == 0
        zodiacYear == monkey
    if year % 12 == 1
        zodiacYear == rooster
    if year % 12 == 2
        zodiacYear == dog
    if year % 12 == 3
        zodiacYear == pig
    if year % 12 == 4
        zodiacYear == rat
    if year % 12 == 5
        zodiacYear == ox
    if year % 12 == 6
        zodiacYear == tiger
    if year % 12 == 7
        zodiacYear == rabbit
    if year % 12 == 8
        zodiacYear == dragon
    if year % 12 == 9
        zodiacYear == snake
    if year % 12 == 10
        zodiacYear == horse
    if year % 12 == 11
        zodiacYear == sheep
    return zodiacYear</t>
  </si>
  <si>
    <t>['106628", '106629", '106630']</t>
  </si>
  <si>
    <t>def smaller(num1, num2):
    #write your code below
    result = num1
    return result#do not edit. This should be the last line</t>
  </si>
  <si>
    <t>['106632']</t>
  </si>
  <si>
    <t>['106631", '106633']</t>
  </si>
  <si>
    <t>def smaller(num1, num2):
    #write your code below
    if num1&lt;num2
    result=num1
    else
    result=num2
    return result#do not edit. This should be the last line</t>
  </si>
  <si>
    <t>['106631", '106632", '106633']</t>
  </si>
  <si>
    <t>def leapYear(year):
    #write your code below
    if year % 400 == 0 :
        isLeapYear = True
    else:
        isLeapYear = False
    return isLeapYear</t>
  </si>
  <si>
    <t>['106634", '106637']</t>
  </si>
  <si>
    <t>['106635", '106636", '106638", '106639", '106640']</t>
  </si>
  <si>
    <t>def leapYear(year):
    #write your code below
    if year % 4 == 0 and year %100 != 0 or year % 400 == 0:
        isLeapYear="True"
    else:
        isLeapYear="False"
    return isLeapYear
    return isLeapYear</t>
  </si>
  <si>
    <t>['106634", '106635", '106636", '106637", '106638", '106639", '106640']</t>
  </si>
  <si>
    <t>def triangle(s1, s2, s3):
    if s1==s2 or s1==s3 or s2==s3:
        triangleType="Isosceles"
    elif s1==s2==s3:
        triangleType="Equilateral"
    elif s1&gt;=s2+s3 or s2&gt;=s3+s1 or s3&gt;=s2+s1:
        triangleType="Not a triangle"
    else:
        triangleType="Scalene"
    return triangleType</t>
  </si>
  <si>
    <t>['106642']</t>
  </si>
  <si>
    <t>['106641", '106643", '106644']</t>
  </si>
  <si>
    <t>def gradientOfLine(x1, y1, x2, y2):
    #add your code below
    return gradientType</t>
  </si>
  <si>
    <t>['106645", '106646']</t>
  </si>
  <si>
    <t>import math
def pointInCircle(x, y):
    if math.sqrt(x**2+y**2)&gt;10:
        return False
    else:
        return Truedef pointInCircle(x, y):
    #write your code below
    return inCircle</t>
  </si>
  <si>
    <t>['106647", '106648']</t>
  </si>
  <si>
    <t xml:space="preserve">def decimal(b):
    pos=0
    while(b&gt;0):
        ans += (b%10)*2**pos
        b //= 10
        pos += 1
    return ans
</t>
  </si>
  <si>
    <t>['106650", '106651", '106652", '106653", '106654']</t>
  </si>
  <si>
    <t>def decimal(b):
    ans = int(b)
    return ans</t>
  </si>
  <si>
    <t>['106651", '106652", '106653", '106654']</t>
  </si>
  <si>
    <t>['106650']</t>
  </si>
  <si>
    <t xml:space="preserve">def decimal(n):
    ans = 0
    while n &gt; 0:
        ans += (n%10) 
        n //= 10
        ans *= 10
        print(ans)
    ans //= 10
    return ans
</t>
  </si>
  <si>
    <t>def decimal(b):
    ans=0
    pos=0
    if b&gt;=11:
        ans+=1
    else:
        ans=ans
    while b&gt;0:
        b//=10
        pos+=1
        if b%10==1:
             ans=ans+(2**pos)
        else:
            ans+=0
    return ans</t>
  </si>
  <si>
    <t>['106654']</t>
  </si>
  <si>
    <t>['106650", '106651", '106652", '106653']</t>
  </si>
  <si>
    <t>def decimal(b):
    ans = '{0: b}'.format(b)
    return ans</t>
  </si>
  <si>
    <t xml:space="preserve">def fibo(n):
    ans=1
    for count in range(3,n+1):
        ans=ans+count
    return ans
    </t>
  </si>
  <si>
    <t>['106657", '106658", '106659", '106660", '106661", '106662", '106663", '106664", '106666']</t>
  </si>
  <si>
    <t>['106655", '106656']</t>
  </si>
  <si>
    <t>def fibo(n):
    count = 0
    a = 1
    b = 1
    while count&lt;=n-1:
        a, b = b, a+b
        count += 1
    return b
    pass</t>
  </si>
  <si>
    <t>['106655", '106656", '106657", '106658", '106659", '106660", '106661", '106662", '106663", '106664", '106666']</t>
  </si>
  <si>
    <t>def fibo(n):
    a , b = 1 , 1
    i = 1
    while i &lt; n:
        a,b = b , a + b
        i += 1
    if n % 2 == 0:
        return b
    else:
        return a</t>
  </si>
  <si>
    <t>['106656", '106658", '106660", '106661", '106662", '106663", '106664", '106666']</t>
  </si>
  <si>
    <t>['106655", '106657", '106659']</t>
  </si>
  <si>
    <t>def fibo(n):
    a = 0
    b = 1
    m=n
    for i in range(1,m+1):
        n = a + b
        a = b
        b = n
        i+=1
    return n</t>
  </si>
  <si>
    <t>['106656", '106657", '106658", '106659", '106660", '106661", '106662", '106663", '106664", '106666']</t>
  </si>
  <si>
    <t>['106655']</t>
  </si>
  <si>
    <t>def fibo(n):
    if n == 1 or n == 2:
        return 1</t>
  </si>
  <si>
    <t xml:space="preserve">def fibo(n): 
    a=0
    b=1
    for x in range (n-1):
        a,b=b,a+b
    return a
    </t>
  </si>
  <si>
    <t>['106655", '106657", '106658", '106659", '106660", '106661", '106662", '106663", '106664", '106666']</t>
  </si>
  <si>
    <t>['106656']</t>
  </si>
  <si>
    <t>import math
def fibo(n):
    return ((1+sqrt(5))**n-(1-sqrt(5))**n)/(2**n*sqrt(5))
    pass</t>
  </si>
  <si>
    <t xml:space="preserve">def fibo(n):
    if n == 0:
        return 0
    elif n == 1:
        return 1
    else:
        return fibo(n-1) + fibo(n-2)
</t>
  </si>
  <si>
    <t>['106662", '106663", '106664", '106666']</t>
  </si>
  <si>
    <t>['106655", '106656", '106657", '106658", '106659", '106660", '106661']</t>
  </si>
  <si>
    <t>def fibo(n):
    x = 1
    for lol in range(1, n+1):
        x += x
    return x</t>
  </si>
  <si>
    <t>def fibo(n):
    a = 0
    b = 1
    if n == 1:
        ans = 1
    else:
        while n &gt; 0:
            ans = a + b
            n -= 1
            a = b
            b = ans
    return ans</t>
  </si>
  <si>
    <t>from math import sqrt
def fibo(n):
    a,b = 0,1
    for i in range(n)
        a,b = b,a+b
    return a</t>
  </si>
  <si>
    <t>def fibo(n):
    ans=((1+5**(1/2))**n-(1-5**(1/2))**n)/(2**n*5**(1/2)
    return ans
    pass</t>
  </si>
  <si>
    <t>def fibo(n):
    pass</t>
  </si>
  <si>
    <t>def fibo(n):
    a = 1
    b = 0
    x = 0
    while x&lt;n:
        a, b = a+b, a
        x += 1
    return a</t>
  </si>
  <si>
    <t>def fibo(n):
    a = 1
    green = 0
    red = 0
    blue = 1
    while a &lt; n:
        magenta = red + blue
        green += magenta
        red = blue
        blue = magenta
        a += 1
    ans = green
    if ans == 0:
        ans = 1
    return ans</t>
  </si>
  <si>
    <t xml:space="preserve">def fibo(n):
 if n==1 or n==2:
  return 1
 return fibo(n-1)+fibo(n-2)
</t>
  </si>
  <si>
    <t>def reverse_number(n):
    num = 0
    while n &gt; 0:
        digit = n % 10
        n //= 10
        num = (num + digit) * 10
    return num</t>
  </si>
  <si>
    <t>['106668", '106669", '106670", '106671", '106672", '106673", '106674']</t>
  </si>
  <si>
    <t>def palindrome_count(a, b):
    number = a
    count = 0
    while number != b:
        if number == reverse_number(number) and reverse_number(number) &lt;= b and reverse_number(number) &gt;= a:
            count += 1
            number += 1
        else:
            number += 1
    return number</t>
  </si>
  <si>
    <t>def reverse_number(n):
    y=n
    x=0
    while y&gt;0:
        y//10
        x+=1
    while n&gt;0:
        z=n%10
        n//10
        ans+=z*(10**x)
        z-=1
    return ans</t>
  </si>
  <si>
    <t>def reverse_number(n):
    digits = 0
    count = 0
    ans = 0
    main = 0
    while n//(10**digits) &gt; 1:
        digits += 1
    while digits &gt;= 1:
        main = n//(10**(digits-1))
        ans = ans + main*(10**count)
        n = n%(10**(digits-1))
        count += 1
        digits -= 1
        if digits-1 == 0:
            main = n%(10**(digits))
            ans = ans + main*(10**(count))
    return ans</t>
  </si>
  <si>
    <t>['106668", '106669", '106670", '106671", '106673", '106674']</t>
  </si>
  <si>
    <t>['106672']</t>
  </si>
  <si>
    <t>def reverse_number(n):
    rev = 0
    while(num &gt; 0):
        rev = (10*rev)+num%10
        num //= 10
    return rev</t>
  </si>
  <si>
    <t xml:space="preserve">
def palindrome_count(a, b):
    count = 0
    for i in range(a, b + 1):
        if reverse_number(i) == reverse_number(i)[::-1]:
            count += 1
    return count</t>
  </si>
  <si>
    <t>['106675", '106676", '106677", '106678", '106679", '106680", '106681']</t>
  </si>
  <si>
    <t>def palindrome_count(a, b):
    ans = 0
    for i in range(a,b+1):
        forwards = i
        backwards = reverse_number(i)
    if (forwards == backwards):
        ans += 1
    return ans</t>
  </si>
  <si>
    <t>['106677", '106678", '106679", '106680", '106681']</t>
  </si>
  <si>
    <t>['106675", '106676']</t>
  </si>
  <si>
    <t>def palindrome_count(a, b):
    ans = 0
    for A in range(a, b+1):
        i = 0
        x = str(A) 
        y = str(reverse_number(A))
        for B in range(len(x)):
            if x[B] == y[B]:
                i += 1
            else:
                break
            if i == len(x):
                ans += 1
    return ans
    pass</t>
  </si>
  <si>
    <t>['106676", '106677", '106678", '106679", '106680", '106681']</t>
  </si>
  <si>
    <t>['106675']</t>
  </si>
  <si>
    <t xml:space="preserve">def palindrome_count(a, b):
    y = 0
    for x in range(a, b + 1): 
        if x == reverse_number(x): 
            y += 1
            continue
            </t>
  </si>
  <si>
    <t>def area(?):
    """Returns area of the triangle using the formula area= 1/2 * base * height"""
    pass</t>
  </si>
  <si>
    <t>['106707", '106708", '106709']</t>
  </si>
  <si>
    <t>def area2(?):
    """
    Returns area of the triangle using 
    the formula area= 1/2 * A * B * sin(AB).
    """
    pass
###########
##  Q2b  ##
###########
# Both functions area2 and area calculate the same result. 
# Can they be directly substituted for each other? Why?
"""
Write your answer within these triple quotes
"""</t>
  </si>
  <si>
    <t>['106710", '106711']</t>
  </si>
  <si>
    <t>import math
def area3(a,b,c):
    area=herons_fomula(a,b,c)
    return area</t>
  </si>
  <si>
    <t>['106712", '106713']</t>
  </si>
  <si>
    <t xml:space="preserve">x = 0
ans = 0
for count in range(1337):
    ans += x
    x = x + 1
print(ans)
# Your loop here
</t>
  </si>
  <si>
    <t>['106721']</t>
  </si>
  <si>
    <t>ans = 0
x = 0
for x in range(1337): 
    x += x + 1
ans = x</t>
  </si>
  <si>
    <t xml:space="preserve">for v in range(1, 1338):
    ans=0
    ans += v
    print(ans)
# Your loop here
</t>
  </si>
  <si>
    <t>def mystery():
    z = 1
    i = 0
    while i&lt;=1000:
        mystery(i)
        if z == i:
            print(false)
            break
        else:
            print(true)
        i += i + 1
#</t>
  </si>
  <si>
    <t>['106722']</t>
  </si>
  <si>
    <t xml:space="preserve">z = 1
ans = True
i = 1# Your loop here
while ans == True:
    if z != i:
        z += 1
        i += 1
    else:
        ans = False
  </t>
  </si>
  <si>
    <t>z = 1
# Your loop here
while z &lt;= 1000: 
    if not (z == mystery(z)): 
        break
    else: 
        z += 1
        continue</t>
  </si>
  <si>
    <t>def determine(z):
    z = 1
    while z&lt;=1000:
        if z==mystery(Z):
            z=z+1
            return z
        else:
            z=z+1</t>
  </si>
  <si>
    <t>len(myList)
min(myList)
max(myList)
sum(myList)</t>
  </si>
  <si>
    <t>['106723", '106724", '106725", '106726']</t>
  </si>
  <si>
    <t xml:space="preserve"># r represent length from center of pentagon to vertex. Do not change the name. 
# You may change the value of r for testing purposes
import math
r = 5.5  
s = 2 * r * (math.sin * (math.pi/5))
a = (3 * 3 ** 0.5) / 2 * s ** 2
b = format(a, ".2f")
result = b
</t>
  </si>
  <si>
    <t>['106727']</t>
  </si>
  <si>
    <t xml:space="preserve">import math
n = eval(input(""))
s = eval(input(""))
result = format((n*s**2)/(4*math.tan(math.pi/5)),".4f")
print(result)
</t>
  </si>
  <si>
    <t>['106728']</t>
  </si>
  <si>
    <t>import math
n = eval(input("Enter n: "))
s = eval(input("Enter s: "))
x = (n*s**2)/(4*math.tan(math.pi/5))
result = format(x, ".4f")
print(result)</t>
  </si>
  <si>
    <t>pi=3.1415926
n=eval("The number of sides: ")
s=eval("The length of each side is: ")
n=5
s=6.5
def area(n,s):#Calculate area of regular polygon
    area=(n*s*s)/(4*tan("pi"/5))
    return area
result=format(area,".4f")
print(result)</t>
  </si>
  <si>
    <t>import random
result = ch(random.randint(65,90))</t>
  </si>
  <si>
    <t>['106729']</t>
  </si>
  <si>
    <t>math = None
from math import *
result = 0</t>
  </si>
  <si>
    <t xml:space="preserve">import random
x = random.randrange(60,65)
result = chr(x)
</t>
  </si>
  <si>
    <t>import random
result = chr(random.randrange(97,122))+ chr(random.randrange(25,60))+chr(random.randrange(97,122))+chr(random.randrange(97,122))+chr(random.randrange(97,122))</t>
  </si>
  <si>
    <t>['106730']</t>
  </si>
  <si>
    <t>import random
result = chr(random.randint(65,90)) + chr(random.randint(65,90)) + str(random.randint(0,9)) + str(random.randint(0,9)) + chr(random.randint(0,9)) + chr(random.randint(97,122)) 
print(result)</t>
  </si>
  <si>
    <t>['106731']</t>
  </si>
  <si>
    <t>import random
result = ""
N = ""
for count in range(2):
    result += chr(random.randint(65,90))
for count in range(3):
    N = (random.randint(0,9))
    N = str(N)
    result += N
for count in range(2):
    result ++ chr(random.randint(97,122))</t>
  </si>
  <si>
    <t>result = "NN3e5a"</t>
  </si>
  <si>
    <t>b = ""He "
c = "said,"
d = "'This "
e = "is "
f = "nested\annoying'"
h = ""Steve"
i = "recalled."
s = b + c + d + e + f + h + i
print(s)</t>
  </si>
  <si>
    <t>['106732']</t>
  </si>
  <si>
    <t>s = '\"He said,\'This is nested\\annoying\'\",Steve recalled.'</t>
  </si>
  <si>
    <t>s = "\"He said, \'This is  nested\\annoying\'",</t>
  </si>
  <si>
    <t>s1 = """ \ """
s1 = s1.strip(" ")
s2 = "\"He said,\'"
s3 = "\"This is nested"+s1+"annoying\'"
s3 = s3.lstrip(""" " """)
s4 = "\", Steve recalled.\""
s4 = s4.rstrip(""" " """)
s = s2 + s3 + s4</t>
  </si>
  <si>
    <t>s1 = "\"He said, \"This is nested"
s2 = "\annoying\"\", Steve recalled."
s = s1 + s2</t>
  </si>
  <si>
    <t xml:space="preserve">print("\"He said, 'This is nested\\annoying'\", Steve recalled.")
</t>
  </si>
  <si>
    <t>s = "He said, \'This is nested\\annoying\'"</t>
  </si>
  <si>
    <t>s = "\"He said\, \'This is nested\\annoying'\", Steve recalled\,"</t>
  </si>
  <si>
    <t>s = "\"He said, \'This is nested\annoying\'\", Steve recalled." #"Your Answer Here"</t>
  </si>
  <si>
    <t xml:space="preserve">s = "" # Your answer here
for i in range(1000):
    s += "a"    
for i in range(1000):
    s += "a"  </t>
  </si>
  <si>
    <t>['106733']</t>
  </si>
  <si>
    <t>s = "a"*1000+"b"*1000a</t>
  </si>
  <si>
    <t>s = "" # Your answer here
x = str("a"*1000)
y = str("b"*1000)
s = "x,y"</t>
  </si>
  <si>
    <t>s = "ab" * 1000 # Your answer here</t>
  </si>
  <si>
    <t>def pad(message):
    if len(message) %2==0:
        message += ' '
    message += 'l'
    for i in range((140-len(message))//2):
        message += 'ol'
    return message</t>
  </si>
  <si>
    <t>['106737']</t>
  </si>
  <si>
    <t>['106734", '106735", '106736']</t>
  </si>
  <si>
    <t>def pad(message):
    # Your code here
    x = 139 - len(message)
    space = x%2
    lol = x//2
    tweet = message + space*' ' + 'l' + 'ol' * lol
    return tweet</t>
  </si>
  <si>
    <t>def pad(message):
    # Your code here
    a = len(message)
    b = message[ : a]
    c = 140 - a
    if c % 2 == 0:
        b += " "
        c -= 1
    for d in range( c // 2):
        b += "lo"
    b += "l"
    tweet = b
    return tweet</t>
  </si>
  <si>
    <t xml:space="preserve">def pad(message):
    r = 140 - len(message)
    if r % 2 == 0:
        message += " "
        r -= 1
    count = r // 2
    lo = "lo" * count
    message += lo
    message += "l"
    return message
</t>
  </si>
  <si>
    <t>def pad(message):
    x=message
    if (len(message)-1)%2 !=0 and (139-len(message))//2&gt;0:
        message+=' '
    y=(139-len(message))//2
    message+=y*'lo'
    if (139-len(message))//2&gt;0:
        message+='l'
    return message</t>
  </si>
  <si>
    <t>def pad(message):
    # Your code here
    x=message
    if len(x)%2==1:
        while len(x)&lt;140:
            if len(x)==139:
                x=x+'l'
            else:
                x=x+'l'
                x=x+'o'
    elif len(x)%2==0 and x!=140:
        x=x+' '
        while len(x)&lt;140:
            if len(x)==139:
                x=x+'l'
            else:
                x=x+'l'
                x=x+'o'
    return x</t>
  </si>
  <si>
    <t xml:space="preserve">
def pig_latin(word):
    # Your code here
    last = word[-1]
    remain = word[:-1]
    ans = last + remain + "ay"
    return ans
</t>
  </si>
  <si>
    <t>['106738", '106739", '106740", '106741']</t>
  </si>
  <si>
    <t>def pig_latin(word):
    hi = word[::-1]
    add = "ay"
    ans = hi + add
    return ans</t>
  </si>
  <si>
    <t>def pig_latin(word):
    pyg = 'ay'
    first = word[0]
    ans = word + first + pyg
    ans = ans[1:len(new_word)]
    return ans</t>
  </si>
  <si>
    <t>def pig_latin(word):
    a = word[0]
    word = word[1:-1]
    ans = word + a + "ay"
    # Your code here
    return ans</t>
  </si>
  <si>
    <t>def pig_latin(word):
    change = word[1, len(word)]
    add = "ay"
    ans = change+word[0]+add
    return ans</t>
  </si>
  <si>
    <t>def pig_latin_sentence(sentence):
    x = len(sentence.split())
    xo = sentence.split()
    res = ''
    for counter in range(x-1):
        y = len(xo[counter])
        ans = ''
        for counter1 in range(y-1):
            thi = xo[counter][0]
            ghi = xo[counter][counter1+1]
            ans = ans + ghi
        ans = ans + thi + 'ay'
        res = res + ans + ' '
    vyu = len(xo[x-1])
    lol = ''
    for counter2 in range(vyu-1):
        kokok = xo[x-1][0]
        hjh = xo[x-1][counter2+1]
        lol = lol + hjh
    lol = lol + kokok + 'ay'
    res = res + lol
    return res</t>
  </si>
  <si>
    <t xml:space="preserve">def pig_latin(word):
    x=list(word).remove[0]
    list(word).append(x)
    ans=str(list(word))+"ay"
</t>
  </si>
  <si>
    <t>def pig_latin(word):
    word[-1] = word[0]
    word = word[1:]
    word += "ay"
    return word</t>
  </si>
  <si>
    <t>def pig_latin(word):
    x = word[0]
    word.remove[0]
    word.append(x)
    ans = word + "ay"
    return ans</t>
  </si>
  <si>
    <t>def swap(s):
    swapcase.(s)
    return res</t>
  </si>
  <si>
    <t>['106742", '106743", '106744']</t>
  </si>
  <si>
    <t>def swap(s):
    return s.caseswap()</t>
  </si>
  <si>
    <t>def swap(s):
    res = swapcase(s)
    return res</t>
  </si>
  <si>
    <t>def pig_latin_sentence(sentence):
    # Your code here
    wordlist = sentence.split()
    res = ""
    for i in wordlist:
        res += pig_latin(i) + " "
    return res.trim()
print(pig_latin_sentence("code to run"))</t>
  </si>
  <si>
    <t>['106745", '106746", '106747']</t>
  </si>
  <si>
    <t>def pig_latin_sentence(sentence):
    word=sentence.split()
    first = word[0]
    the_rest = word[1:]
    add = "ay"
    res = the_rest + first + add
    return res</t>
  </si>
  <si>
    <t>def pig_latin_sentence(sentence):
    def shiftRight(list1):
        list2 = list1.pop()
        list1.insert(0,list2)
        return list1
    res = shiftRight(sentence.split(" "))+"ay"
    return res</t>
  </si>
  <si>
    <t>def pig_latin_sentence(sentence):
    words = sentence.split()
    a = ""
    for i in words:
        b = ' '+ pig_latin(i)
    res = b[1:]
    return res</t>
  </si>
  <si>
    <t>['106745", '106746']</t>
  </si>
  <si>
    <t>['106747']</t>
  </si>
  <si>
    <t xml:space="preserve">def pig_latin_sentence(sentence):
    # Your code here
    a = sentence.split(" ")
    res = ""
    for i in range(len(a)-1, 0, -1):
        res += str(pig_latin(a[i - 1])) + " "
    res += str(pig_latin(a[-1]))
    return res
</t>
  </si>
  <si>
    <t>['106746']</t>
  </si>
  <si>
    <t>['106745", '106747']</t>
  </si>
  <si>
    <t>def pig_latin_sentence(sentence):
    ayy = sentence.split()
    for i in ayy:
        ayy[index(i)] = i[1:len(i)] + i[0] + 'ay'
    res = " ".join(ayy)
    return res</t>
  </si>
  <si>
    <t>def at_least_n(lst, n):
    mylen = len(lst)
    new = []
    for i in range(0, mylen):
        lstn = lst[i]
        if lstn =&gt; n:
            new.append(lstn)
    return new</t>
  </si>
  <si>
    <t>['106748", '106749", '106750", '106751']</t>
  </si>
  <si>
    <t xml:space="preserve">def at_least_n(lst, n):
    x = lst.index(10)
    lower_lst = lst[ :x]
    for i in range(len(lower_lst)): 
        lst.remove(lower_lst[i])
    return lst
</t>
  </si>
  <si>
    <t>['106749", '106750", '106751']</t>
  </si>
  <si>
    <t>['106748']</t>
  </si>
  <si>
    <t xml:space="preserve">def at_least_n(lst, n):
    sorted(lst)
    while lst[0] &lt;=n+1:
        lst.pop(0)
    return lst
    pass
</t>
  </si>
  <si>
    <t xml:space="preserve">def binary_to_decimal(lst):
    newnum = 0
    lne = len(lst)
    itlne = lne
    ind = 0
    while itlne &gt; 0:
        newnum = newnum * 10
        newnum += lst[ind]
        itlne -= 1
    count = 0
    while count &lt; lne:
        </t>
  </si>
  <si>
    <t>['106752", '106753", '106754", '106755", '106756", '106757", '106758']</t>
  </si>
  <si>
    <t>def insert(string,substring,i):
    ans = string[:i] + substring + string[i:]</t>
  </si>
  <si>
    <t>['106782", '106783", '106784", '106785']</t>
  </si>
  <si>
    <t>def insert(string,substring,i):
    if i == 0:
        ans = substring+ string
    else:
        ans = string[:i+1] + substring+ string[i+1:]</t>
  </si>
  <si>
    <t>def insert(string,substring,i):
    meow = list(string)
    meow.insert(i,substring)
    ''.join(meow)
    return meow</t>
  </si>
  <si>
    <t>def insert(string,substring,i):
    if i &gt; 0: 
        i -= 1
    else: 
        i = 0
    string_1 = string[ :i]
    string_2 = string[i: ]
    ans = string_1 + str(substring) + str(string_2)
    return ans</t>
  </si>
  <si>
    <t>['106782']</t>
  </si>
  <si>
    <t>['106783", '106784", '106785']</t>
  </si>
  <si>
    <t>def remove_bars(string):
    ans=string[0::2]
    return ans</t>
  </si>
  <si>
    <t>['106786", '106787", '106788']</t>
  </si>
  <si>
    <t>def remove_bar(x):
    return x.replace("|","")</t>
  </si>
  <si>
    <t>def palindromeNumber(number):
    if number &lt;0 or number&gt;999:
        result = False
    elif (number //100 == number%10) or (number//10 == number%10):
        result = True
    elif number&gt;0 and &lt;10:
        result = True
    else:
        result = False
    return result</t>
  </si>
  <si>
    <t>['106904", '106905", '106896", '106897", '106898", '106899", '106900", '106901", '106902", '106903", '106906", '106907", '106908", '106909']</t>
  </si>
  <si>
    <t>def palindromeNumber(number):
   # WRITE YOUR CODE BELOW
   if number &lt; 10:
        result = True
   elif number &gt;= 10 and number &lt;100:
        if number % 11 != 0:
            result = False
        else:
            result = True
   else:
       if number//100 == number%10:
            result = True
       else:
            result = False
   return result</t>
  </si>
  <si>
    <t>['106904", '106898']</t>
  </si>
  <si>
    <t>['106905", '106896", '106897", '106899", '106900", '106901", '106902", '106903", '106906", '106907", '106908", '106909']</t>
  </si>
  <si>
    <t>def palindromeNumber(x,y,z):
     s = "xyz"
    if x == z:
        result = "True"
    else:
        result = "False"
    return result</t>
  </si>
  <si>
    <t xml:space="preserve">def palindromeNumber(number):
    if number &lt; 0:
        result = False
    elif number//1000 &gt; 0:
        result = False
    elif number // 10 == 0:
        result = True
    elif number % 10 == (number % 100 - number % 10)/10:
        result = True
    elif number % 10 == (number % 1000 - number % 100)/100:
        result = True
    else:
        result = True
    return result
</t>
  </si>
  <si>
    <t>['106897", '106902", '106908']</t>
  </si>
  <si>
    <t>['106904", '106905", '106896", '106898", '106899", '106900", '106901", '106903", '106906", '106907", '106909']</t>
  </si>
  <si>
    <t>def palindromeNumber(number):
    huns = number // 100
    hunsub = number - (huns * 100)
    tens = hunsub // 10
    tensub = hunsub - (tens * 10)
    ones = tensub // 1
    hue = ones + tens
    last = hue + huns
    if number &lt; 0:
        result = False
    elif number &gt; 999:
        result = False
    elif number // 0.1 &lt; 10:
        result = False
    elif huns == ones:
        if tens == 0:
            result = True
        elif huns == 0:
            result = False
        else:
            result = True
    elif ones == tens:
        result = True
    elif ones &gt;= 0:
        result = True
    else:
        result = False
    return result</t>
  </si>
  <si>
    <t xml:space="preserve">def palindromeNumber(number):
    if number &lt; 10 :
        result = True
    elif 10 &lt;= number &lt; 100 :
        digit_one = number % 10
        digit_two = ((number - digit_one) % 100)/10
        if digit_one == digit_two :
            result = True
        else :
            result = False          
    else :    
        digit_one = number % 10
        digit_two = ((number - digit_one) % 100)
        digit_three = (number - digit_one - digit_two)/100
        if digit_one == digit_three :
            result = True
        else : 
            result = False
    return result
</t>
  </si>
  <si>
    <t>def palindromeNumber(number):
    # WRITE YOUR CODE BELOW
    lastdigit = number mod 10
    middledigit = ((number mod 100)-lastdigit)/10
    firstdigit = (number - (middledigit*10 + lastdigit))/100
    if 0&lt;number&lt;9:
        result = True
    elif (10&lt;=number&lt;=99) and (number mod 11 == 0):
        return True
    elif firstdigit == lastdigit:
        result = True
    else:
        result = False
    return result</t>
  </si>
  <si>
    <t xml:space="preserve">def palindromeNumber(number):
    # WRITE YOUR CODE BELOW
    if 999&gt;=number &gt;= 100 and ((number%100)%10) == (number - (number%100))/100:
        result = True
    elif 10&lt;=number &lt;= 99 and (number%10)== (number -((number%10)/10)):
        result = True
    elif 1&lt;=number&lt;=9:
        result = True
    else:
        result = False
    return result
</t>
  </si>
  <si>
    <t>['106900", '106906']</t>
  </si>
  <si>
    <t>['106904", '106905", '106896", '106897", '106898", '106899", '106901", '106902", '106903", '106907", '106908", '106909']</t>
  </si>
  <si>
    <t xml:space="preserve">def palindromeNumber(number):
    number1 = str(number)
    if type(number) != int:
        return False
    elif number &gt;= 1000:
        return False
    elif number &lt;= 0:
        return False
    elif number &gt;=100:
        if number1[0] == number1[2]:
            return True
        else:
            return False
    else:
        if number1[0] == number1[1]:
            result = True
            return result
        else:
            return False
        </t>
  </si>
  <si>
    <t>['106905", '106899']</t>
  </si>
  <si>
    <t>['106904", '106896", '106897", '106898", '106900", '106901", '106902", '106903", '106906", '106907", '106908", '106909']</t>
  </si>
  <si>
    <t>def palindromeNumber(number):
    number = int(number)
    if number &lt; 999 or number &gt; 0:
        a = number // 100
        b = number % 10
        c = a // 10
        if a == b:
            result = True
        else:
            result = False
        return result
    else:
        return</t>
  </si>
  <si>
    <t>['106905", '106899", '106900", '106906']</t>
  </si>
  <si>
    <t>['106904", '106896", '106897", '106898", '106901", '106902", '106903", '106907", '106908", '106909']</t>
  </si>
  <si>
    <t xml:space="preserve">def palindromeNumber(number):
    if number&lt;1000 and number&gt;=0:
        c = number//10
        a = number%100
        b = number%10
        if b&gt;=0 and c&gt;=0:
            result = True
        else:
            if number//100==0:
                if number//10 == number%10:
                    result = True
                else:
                    result = False
            else:
                x = number//100
                y = number%100
                z = y%10
                if x == z:
                    result = True
                else:
                    result = False
    else:
        result = False    
    return result
</t>
  </si>
  <si>
    <t xml:space="preserve">def palindromeNumber(number):
    import math
    if number &gt;= 999 or number &lt;= 0:
        return
    else:
        if number &lt;= 9:
            result = True
        elif number &lt;= 99:
            if number % 11 == 0:
                result = True
            else:
                result = False
        else:
            hundreds = math.floor (number / 100)
            if (number - (hundreds * 101)) % 10 == 0:
                result = True
            else:
                result =  False
    return result
            </t>
  </si>
  <si>
    <t>['106904", '106898", '106901", '106907']</t>
  </si>
  <si>
    <t>['106905", '106896", '106897", '106899", '106900", '106902", '106903", '106906", '106908", '106909']</t>
  </si>
  <si>
    <t xml:space="preserve">import random
number = random.randint(0, 999)
def palindromeNumber(number):
    if (number &gt;= 0) and (number &lt;= 9):
        result = True
        return result
    elif (number &gt;= 10) and (number &lt;= 99):
        if number % 10 == number // 10:
            result = True
            return result
        else:
            result = False
            return result
    elif (number &gt;= 100) and (number &lt;= 999):
        if number % 10 == number // 100:
            result = True
            return result
        else:
            result = False
            return result
</t>
  </si>
  <si>
    <t>def palindromeNumber(number):
    if number//100==1 or number//100==2 or number//100==3 or number//100==4 or number//100==5 or number//100==6 or number//100==7 or number//100==8 or number//100==9:
        a=str(number)[0]
        b=str(number)[1]
        c=str(number)[2]
        if a==c:
            result=True
        else:
            result=False
    elif number//10==1 or number//10==2 or number//10==3 or number//10==4 or number//10==5 or number//10==6 or number//10==7 or number//10==8 or number//10==9 :
        a=str(number)[0]
        b=str(number)[1]
        if a==b:
            result=True
        else:
            result=False
    elif number==000 or number==00:
        result=True
    elif number&lt;10:
        result=True
    else:
        result=False
    return result</t>
  </si>
  <si>
    <t xml:space="preserve">def palindromeNumber(number):
    # WRITE YOUR CODE BELOW
    aa = str(number)
    z = aa[-1]
    a = aa[0]
    if number &gt; 99 and number &lt; 1000:
        digits = 3
        if int(z) == int(a):
            result = True
        else:
            result = False
    if number &gt; 9 and number &lt; 100:
        digits = 2
        if int(z) == int(a):
            result = True
        else:
            result = False
    if number &gt;= 0 and number &lt; 10:
        digits = 1
        result = True
    if number &lt; 0:
        result = ("Please use a value higher than 0")
    if number &gt; 999:
        result = ("Please use a value lower than 1000")
    return result
</t>
  </si>
  <si>
    <t xml:space="preserve">def palindromeNumber(number):
    if number &gt; 0 and number &lt; 999:
        if number//100 == number%10:
            result = True
        elif number//10 == number%10:
            result = True
        else:
            result = False
    else:
        result = False
    return result
   </t>
  </si>
  <si>
    <t xml:space="preserve">def palindromeNumber(number):
    # WRITE YOUR CODE BELOW
    if number == number and number &gt;= 0 and number &lt;= 999 :
        result = True
    elif number &lt; 10:
        result = True
    else:
        result = False
    return result
</t>
  </si>
  <si>
    <t>['106904", '106897", '106898", '106902", '106908']</t>
  </si>
  <si>
    <t>['106905", '106896", '106899", '106900", '106901", '106903", '106906", '106907", '106909']</t>
  </si>
  <si>
    <t>def palindromeNumber(number):
    if number &gt; 0 and number &lt; 1000:
        if number &gt; 99:
            number2 = (number // 100) + (number % 100 // 10)*10 + (number % 10)*100
        else:
            number2 = (number // 10) + (number % 10)*10
        if number == number2:
            result = True
        else:
            result = False
    else:
        result = False
    return result</t>
  </si>
  <si>
    <t xml:space="preserve">def palindromeNumber(number):
    if number &lt; 0:
        result = False
    elif number &gt; 999:
        result = False
    elif number//100 == number%10 or number//10==number%10:
        result = True
    else:
        result = False
</t>
  </si>
  <si>
    <t xml:space="preserve">def palindromeNumber(number):
    x=str(number)
    if number&lt;1 or 999&lt;number:
        result=False
    if number&lt;10:
        result=True
    elif number&lt;100 and (x[0])== x[1]:
        result=True
    elif number&gt;100 and (x[0])== (x[2]) :    
        result=True
    else:
        result=False
    return result
</t>
  </si>
  <si>
    <t>def palindromeNumber(number):
    # WRITE YOUR CODE BELOW
    a = str(number)
    if len(a) == 1:
        return True
    elif (a[0] == a[1] and len(a) == 2):
        return True
    elif (a[0] == a[2]):
        return True
    return False
    return result</t>
  </si>
  <si>
    <t>['106904", '106897", '106898']</t>
  </si>
  <si>
    <t>['106905", '106896", '106899", '106900", '106901", '106902", '106903", '106906", '106907", '106908", '106909']</t>
  </si>
  <si>
    <t>def palindromeNumber(number):
    # WRITE YOUR CODE BELOW
        if (number%100)%10==number//100:
        result=True
    else:
        result=False    
    return result</t>
  </si>
  <si>
    <t xml:space="preserve">
def palindromeNumber(number):
    if number//100 != 0:
        h = number//100
        a = number%100
        t = a//10
        b = a%10
        o = b
        result = (o*100)+(t*10)+h
    elif number//10 != 0:
        t = number//10
        a = number%10
        o = a//1
        result = (o*10)+ t
    elif number != 0:
        result = number
    if result == number:
        result = "True"
    else:
        result = "False"
    return(result)</t>
  </si>
  <si>
    <t>def palindromeNumber(number):   
    if 10&lt; number &lt;= 99:
        n = str(number)
        if n[0] == n[1]:
            result = True
        else:
            result = False
    if 100 &lt; number &lt;= 999:
        n = str(number)
        if n[0] == n[2]:
            result = True
        else:
            result = False
    return result</t>
  </si>
  <si>
    <t>['106904", '106905", '106898", '106899", '106901", '106907']</t>
  </si>
  <si>
    <t>['106896", '106897", '106900", '106902", '106903", '106906", '106908", '106909']</t>
  </si>
  <si>
    <t>def palindromeNumber(number):
    if format(number.1f)==format(number.2f) or format(number.1f)==format(number.3f):
        result=True
    else:
        result=False
    # WRITE YOUR CODE BELOW
    return result</t>
  </si>
  <si>
    <t>def palindromeNumber(number):
    # WRITE YOUR CODE BELOW
    if int(number) &gt;= 1000 or int(number) &lt; 0:
        result = False
    else:
        "continue"
    x = number%100
    ones = x%10
    tens = x//10
    hundreds = (int(number)-int(tens)*10-int(ones))//100
    if int(hundreds) &gt; 0:
        y = str(ones) + str(tens) + str(hundreds)
    else:
        y = str(ones) + str(tens)
    if number == int(y):
        result = True
    else:
        result = False
    return result</t>
  </si>
  <si>
    <t>import math
def palindromeNumber(number):
    if number&lt;100 and math.floor(number/100)==(number%10):
        result=True
    elif 100&gt;number&gt;10 and math.floor(number/10)==(number%10):
        result=True
    elif number&lt;10:
        result=True
    else:
        result=False
    return result</t>
  </si>
  <si>
    <t>['106904", '106896", '106898", '106903", '106909']</t>
  </si>
  <si>
    <t>['106905", '106897", '106899", '106900", '106901", '106902", '106906", '106907", '106908']</t>
  </si>
  <si>
    <t>def palindromeNumber(number):
    x= number
    if x&lt;0:
        result= False
    else:
        if float(number/1000) &gt;= 0:
            result= False
        else:
            if x/1 &lt; 10:
                result= True
            else:
                if x/10 &lt; 10:
                    if str(x)[0] + str(x)[1] == str(x)[1] + str(x)[0]:
                        result= True
                    else:
                        result= False
                else:
                    x= str(number)
                    if x[0] + x[1] + x[2] == x[2] + x[1] + x[0]:
                        result= True
                    else:
                        result= False
    return result</t>
  </si>
  <si>
    <t>['106905", '106896", '106899", '106900", '106903", '106906", '106909']</t>
  </si>
  <si>
    <t>['106904", '106897", '106898", '106901", '106902", '106907", '106908']</t>
  </si>
  <si>
    <t>def palindromeNumber(number):
    (number//1000==0) and (number&gt;=0)
    a=str(number)
    b=int(a[0])
    c=int(a[-1])
    result= b==c
    return result</t>
  </si>
  <si>
    <t>def palindromeNumber(number):
    # WRITE YOUR CODE BELOW
    x = str(number)
    if number&lt;=0:
        return False
    elif number &lt;= 99:
        if number == int(x[1]+x[0]):
            result = True
            return result
        else:
            result = False
            return result
    elif number &gt; 99 and number&lt;=999:
        if number == int(x[2]+x[1]+x[0]):
            result = True
            return result
        else:
            result = False
            return result
    else:
        result = False
        return result</t>
  </si>
  <si>
    <t>def palindromeNumber(number):
    x = str(number)
    if number &lt; 10:
        result = True
    elif (number / 10) &lt; 10:
        if x[0] == x[1]:
            result = True
        else:
            result = False
    else:
        if x[0] == x[2]:
            result = True
        else:
            result = False
    return result</t>
  </si>
  <si>
    <t xml:space="preserve">def palindromeNumber(number):
    if number&lt;10 and number&gt;0 :
        result= 'True'
    elif number%11==0 and number&lt;100 and number&gt;0 :
	    result= 'True'
    elif number%10==1 and number&lt;200 and number&gt;100 :
	    result= 'True'
    elif number%10==2 and number&lt;300 and number&gt;200 :
	    result= 'True'
    elif number%10==3 and number&lt;400 and number&gt;300 :
	    result= 'True'
    elif number%10==4 and number&lt;500 and number&gt;400 :
        result= 'True'
    elif number%10==5 and number&lt;600 and number&gt;500 :
	    result= 'True'
    elif number%10==6 and number&lt;700 and number&gt;600 :
        result= 'True'
    elif number%10==7 and number&lt;800 and number&gt;700 :
	    result= 'True'  
    elif number%10==8 and number&lt;900 and number&gt;800 :
	    result= 'True'
    elif number%10==9 and number&lt;1000 and number&gt;900 :
	    result= 'True'
    else:
	    result='False'
    return result
</t>
  </si>
  <si>
    <t xml:space="preserve">def reverse_number(n):
    reverse=0
    while n!=0:
        digit=n%10
        n=n//10
        reverse=reverse*10+digit
    return reverse
def palindromeNumber(n):
    if n==reverse_number(n):
        return True
    else:
        return False
   </t>
  </si>
  <si>
    <t xml:space="preserve">def rectangles(x1, y1, w1, h1, x2, y2, w2, h2):
    xDistance = x1 - x2 if x1 - x2 &gt;= 0 else x2 - x1
    yDistance = y1 - y2 if y1 - y2 &gt;= 0 else y2 - y1
    if xDistance == 0 and yDistance == 0:
        message = "r2 intersect r1 exactly"
    elif xDistance &lt;= (w1 - w2) / 2 and yDistance &lt;= (h1 - h2) / 2:
        message = "r2 is inside r1"
    elif xDistance &lt;= (w1 + w2) / 2 and yDistance &lt;= (h1 + h2) / 2:
        message = "r2 overlaps r1"
    else:
        message = "r2 does not overlap r1"
    return message
</t>
  </si>
  <si>
    <t>['106914", '106921']</t>
  </si>
  <si>
    <t>['106910", '106911", '106912", '106913", '106915", '106916", '106917", '106918", '106919", '106920", '106922", '106923", '106924", '106925", '106926", '106927']</t>
  </si>
  <si>
    <t>def contains(x, a, b):
    return a &lt; x and x &lt; b
def rectangles(x1, y1, w1, h1, x2, y2, w2, h2):
    # WRITE YOUR CODE HERE
    if (x1, y1, w1, h1) == (x2, y2, w2, h2):
        return "r2 intersect r1 exactly"
    if contains(x1, x2, x2+y2)  and contains(x1+w1, x2, x2+y2) and contains(y1, y2, y2+h2) and contains(y1+h1, y2, y2+h2):
        return "r1 is inside r2"
    if contains(x2, x1, x1+y1)  and contains(x2+w2, x1, x1+y1) and contains(y2, y1, y1+h1) and contains(y2+h2, y1, y1+h1):
        return "r2 is inside r1"
    if contains(x1, x2, x2+w2) or contains(x2, x1, x1+w1) or contains(y1, y2, y2+h2) or contains(y2, y1, y1+h1):
        return "r2 overlaps r1"
    return "r2 does not overlap r1"</t>
  </si>
  <si>
    <t>['106910", '106914", '106915", '106916", '106917", '106918", '106921", '106922", '106923", '106924", '106925']</t>
  </si>
  <si>
    <t>['106911", '106912", '106913", '106919", '106920", '106926", '106927']</t>
  </si>
  <si>
    <t xml:space="preserve">def rectangles(x1, y1, w1, h1, x2, y2, w2, h2):
    # WRITE YOUR CODE HERE
    #message
    ans = ''
    if x1 == x2 and y1 == y2 and w1 == w2 and h1 == h2:
        ans = 'r2 intersect r1 exactly'
    elif (x1 + w1/2) &gt; (x2 + w2/2) and (x1 - w1/2) &lt; (x2 - w2/2) and (y1 + h1/2) &gt; (y2 + h2/2) and (y1 - h2/2) &lt; (y2 - h2/2):
        ans = 'r2 overlaps r1'
    return ans
    </t>
  </si>
  <si>
    <t>['106910", '106911", '106912", '106914", '106915", '106916", '106917", '106918", '106919", '106920", '106921", '106922", '106923", '106924", '106925", '106926", '106927']</t>
  </si>
  <si>
    <t>['106913']</t>
  </si>
  <si>
    <t xml:space="preserve">def rectangles(x1, y1, w1, h1, x2, y2, w2, h2):
    if w1 &gt; 0 and h1 &gt; 0 and w2 &gt; 0 and h2 &gt; 0:
        if (w2 / 2 + x2) &lt; (w1 / 2 + x1) and (x2 - w2 / 2) &gt; (x1 - w1 / 2) and (h2 / 2 + y2) &lt; (h1 / 2 + y1) and (y2 - h2 / 2) &gt; (y1 - h1 / 2):
            message = "r2 is inside r1"
        elif x1 == x2 and y1 == y2 and w1 == w2 and h1 == h2:
            message = "r2 intersects r1 exactly"
        elif (x1 - w1 / 2) &lt; (w2 / 2 + x2) &lt; (w1 / 2 + x1) or (x1 - w1 / 2) &lt; (x2 - w2 / 2) &lt; (w1 / 2 + x1) and (y1 - h1 / 2) &lt; (h2 / 2 + y2) &lt; (h1 / 2 + y1) or (y1 - h1 / 2) &lt; (y2 - h2 / 2) &lt; (h1 / 2 + y1):
            message = "r2 overlaps r1"
        elif (x1 - w1 / 2) &lt; x2 &lt; (w1 / 2 + x1) or (x1 - w1 / 2) &lt; x2 &lt; (w1 / 2 + x1) and (y1 - h1 / 2) &lt; y2 &lt; (h1 / 2 + y1) or (y1 - h1 / 2) &lt; y2 &lt; (h1 / 2 + y1):
            message = "r2 overlaps r1"
        else:
            message = "r2 does not overlap r1"
    else:
        message = "Not a valid rectangle"
    return message
</t>
  </si>
  <si>
    <t>['106910", '106913", '106915", '106916", '106917", '106918", '106922", '106923", '106924", '106925']</t>
  </si>
  <si>
    <t>['106911", '106912", '106914", '106919", '106920", '106921", '106926", '106927']</t>
  </si>
  <si>
    <t xml:space="preserve">def rectangles(x1, y1, w1, h1, x2, y2, w2, h2):
    high1 = y1 + (0.5 * h1)
    low1 = y1 - (0.5 * h1)
    left1 = x1 - (0.5 * w1)
    right1 = x1 + (0.5 * w1)
    high2 = y2 + (0.5 * h2)
    low2= y2 - (0.5 * h2)
    left2 = x2 - (0.5 * w2)
    right2 = x2 + (0.5 * w2)
    print(high1, high2, low1, low2, left1, left2, right1, right2)
    #Case 3
    if ((high1 - high2) and (low2 - low1) and (left2 - left1) and (right1 - right2)) &lt; 0:
        message = "r2 does not overlap r1"
    #Case 2
    if ((high1 - high2) or (low2 - low1) or (left2 - left1) or (right1 - right2)) &gt;= 0:
        message = "r2 overlaps r1"
    #Case 1
    if ((high1 - high2) and (low2 - low1) and (left2 - left1) and (right1 - right2)) &gt;= 0:
        message = "r2 is inside r1"
    #Case 4
    if ((high1 == high2) and (low2 == low1) and (left2 == left1) and (right1 == right2)):
        message = "r2 intersect r1 exactly"
    if (w1 &lt;= 0.0) or (h1 &lt;= 0.0) or (w2 &lt;= 0.0 )or (h2 &lt;= 0.0):
        message = "Not a valid rectangle"
    return message
</t>
  </si>
  <si>
    <t>['106911", '106915", '106916", '106918", '106920", '106922", '106923", '106925", '106927']</t>
  </si>
  <si>
    <t>['106910", '106912", '106913", '106914", '106917", '106919", '106921", '106924", '106926']</t>
  </si>
  <si>
    <t xml:space="preserve">
def rectangles(x1, y1, w1, h1, x2, y2, w2, h2):
    # WRITE YOUR CODE HERE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d or b &gt;= c or e &gt;= h or f &lt;= g:
        message = "r2 overlaps r1"
        if a&lt;= c and b &gt;= d and e &gt;= g and f&lt;=h:
            message = "r2 is inside r1"
    else:
        message = "r2 does not overlap r1"
    return message
#rectangles(2.5, 4, 2.5, 43, 1.5, 5, 0.5, 3)
#rectangles(1, 2, 3, 5.5, 3, 4, 4.5, 5)
#rectangles(1, 2, 3, 3, 40, 45, 3, 2) # PROBLEM
#rectangles(1, 2, 3, 3, 1, 2, 3, 3)
</t>
  </si>
  <si>
    <t>['106912", '106919", '106926']</t>
  </si>
  <si>
    <t>['106910", '106911", '106913", '106914", '106915", '106916", '106917", '106918", '106920", '106921", '106922", '106923", '106924", '106925", '106927']</t>
  </si>
  <si>
    <t xml:space="preserve">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&lt;= h2/2 + y2)or(x1 - w1/2 &gt;= x2 + w2/2 and y1 + h1/2 &lt;= y2 - y1/2)or(x1 + w1/2 &gt;= x2 - w2/2 and y1 + h1/2 &lt;= y2 - y1/2 )or(x1 - w1/2 &gt;= x2 + w2/2 and y1 - h1/2 &lt;= h2/2 + y2):
        message = "r2 overlaps r1"
        return message
    else:
        message = "r2 does not overlap r1"
        return message
</t>
  </si>
  <si>
    <t>['106914", '106919", '106921", '106926']</t>
  </si>
  <si>
    <t>['106910", '106911", '106912", '106913", '106915", '106916", '106917", '106918", '106920", '106922", '106923", '106924", '106925", '106927']</t>
  </si>
  <si>
    <t>def rectangles(x1, y1, w1, h1, x2, y2, w2, h2):
    x = x1 - x2 if x1 - x2 &gt;= 0 else x2-x1
    y = y1 - y2 if y1 - y2 &gt;= 0 else y2-y1
    if w1 &lt;= 0 or w2 &lt;= 0 or h1 &lt;= 0 or h2&lt;= 0 :
        message = " Not a valid rectangle "
    elif x == 0 and y == 0 and w1 == w2 and h1 == h2 :
        message = " r2 interesect r1 exactly "
    elif x &lt;= (w1 - w2) / 2 and y &lt;= (h1 - h2) / 2:
        message = "r2 is inside r1 "
    elif x &lt;= (w2 - w1) / 2 and y &lt;= (h2 - h1) / 2:
        message = "r1 is inside r "
    elif x &gt; (w1 + w2) / 2 or y &gt; (h1 + h2) / 2 :
        message = " r2 does not overlap r1 "
    else : 
        message = " r2 overlaps r1 "
    return message</t>
  </si>
  <si>
    <t>['106910", '106911", '106912", '106913", '106914", '106915", '106916", '106917", '106918", '106919", '106920", '106921", '106922", '106923", '106924", '106925", '106926", '106927']</t>
  </si>
  <si>
    <t>def rectangles(x1, y1, w1, h1, x2, y2, w2, h2):
    # WRITE YOUR CODE HERE
    if x1==x2 and y1==y2 and w1==w2 and h1==h2:
        message = "r2 intersect r1 exactly"
    elif ((x2 + w2/2)&lt;=(x1 + w1/2)) and ((x2 - w2/2)&gt;=(x1 - w1/2)) and ((y2 + h2/2)&lt;=(y1 + h1/2)) and ((y2 - h2/2)&gt;=(y1 - h1/2)):
        message = "r2 is inside r1"
    elif ((((x1 - w1/2) &lt;= (x2 + w2/2)) and ((y1 - h1/2) &lt;= (y2 + h2/2))) or (((x1 + w1/2) &gt;= (x2 - w2/2)) and ((y1 + h1/2) &gt;= (y2 - h2/2)))):
        message = "r2 overlaps r1"
    elif ((((x1 - w1/2) &gt;= (x2 + w2/2)) and ((y1 - h1/2) &gt;= (y2 + h2/2))) or (((x1 + w1/2) &lt;= (x2 - w2/2)) and ((y1 + h1/2) &lt;= (y2 - h2/2)))):
        message = "r2 does not overlap r1"
    return message</t>
  </si>
  <si>
    <t>['106912", '106914", '106919", '106921", '106926']</t>
  </si>
  <si>
    <t>['106910", '106911", '106913", '106915", '106916", '106917", '106918", '106920", '106922", '106923", '106924", '106925", '106927']</t>
  </si>
  <si>
    <t>def rectangles(x1, y1, w1, h1, x2, y2, w2, h2):
    if h1 &gt; 0 and h2 &gt; 0 and w1 &gt; 0 and w2 &gt; 0 and x1 &gt; 0 and y1 &gt; 0 and x2 &gt; 0 and y2 &gt; 0:
        posx2 =  x2 + (.5*w2)
        negx2 = x2 - (.5*w2)
        posy2 = y2 + (.5*h2)
        negy2 = y2 - (.5*h2)
        area1 = x1 * h1
        area2 = x2 * h2
        if posx2 &lt;= x1 + (.5*w1) and negx2 &gt;= x1 - (.5*w1) and posy2 &lt;= y1 + (.5*h1) and negy2 &gt;= y1 - (.5*h1) and area1 &gt; area2:
            return "r2 is inside r1"
        elif posx2 == x1 + (.5*w1) and negx2 == x1 - (.5*w1) and posy2 ==y1 + (.5*h1) and negy2 == y1 - (.5*h1):
            return "r2 intersect r1 exactly"
        elif negx2 &lt;= x1 + (.5*w1)or negy2 &lt;= y1 + (.5*h1):
            return "r2 overlaps r1"
        else:
            return "r2 does not overlap r1"
    else:
        return 'Not a valid rectangle'</t>
  </si>
  <si>
    <t>['106915", '106916", '106917", '106918", '106919", '106920", '106922", '106923", '106924", '106925", '106926", '106927']</t>
  </si>
  <si>
    <t>['106910", '106911", '106912", '106913", '106914", '106921']</t>
  </si>
  <si>
    <t xml:space="preserve">def rectangles(x1, y1, w1, h1, x2, y2, w2, h2):
    if w1 &lt; 0 or w2 &lt; 0 or h1 &lt; 0 or h2 &lt; 0:
        message = "Not a valid rectangle"
    elif (((x1 == x2) and (y1 == y2)) and (w1 == w2)) and (h1 == h2):
        message = "r2 intersect r1 exactly"
    elif (((x1 + (w1 / 2) &gt;= x2 - (w2 / 2)) and (x1 - (w1 / 2) &lt;= x2 + (w2 / 2))) and (y1 + (h1 / 2) &gt;= y2 - (h2 / 2))) and (y1 - (h1 / 2) &lt;= y2 + (h2 / 2)):
        message = "r2 is inside r1"
    elif ((x1 + (w1 / 2) &gt;= x2 - (w2 / 2)) and (y1 + (h1 / 2) &gt;= y2 - (h2 / 2))) or ((x1 - (w1 / 2) &lt;= x2 + (w2 / 2))  and (y1 - (h1 / 2) &lt;= y2 + (h2 / 2))) or ((x1 + (w1 / 2) &gt;= x2 - (w2 / 2)) and (y1 - (h1 / 2) &lt;= y2 + (h2 / 2))) or ((x1 - (w1 / 2) &lt;= x2 + (w2 / 2)) and (y1 + (h1 / 2) &gt;= y2 - (h2 / 2))):
        message = "r2 overlaps r1"
    else:
        message = "r2 does not overlap r1"
    return message
</t>
  </si>
  <si>
    <t>['106911", '106912", '106914", '106915", '106916", '106917", '106918", '106919", '106920", '106921", '106922", '106923", '106924", '106925", '106926", '106927']</t>
  </si>
  <si>
    <t>['106910", '106913']</t>
  </si>
  <si>
    <t>def rectangles(x1, y1, w1, h1, x2, y2, w2, h2):
    # WRITE YOUR CODE HERE
    return message</t>
  </si>
  <si>
    <t xml:space="preserve">def rectangles(x1, y1, w1, h1, x2, y2, w2, h2):
    message =  "Not a valid rectangle"
    if x1 == 2.5 and y1 == 4:
        message = "r2 is inside r1"
    if x1 == x2 and y1 == y2 and w1 == w2 and h1 == h2:
        message = "r2 intersect r1 exactly"
    if x1 == 1 and h2 == 5:
        message = "r2 overlaps r1"
    if x1 == 1 and x2 == 40:
        message = "r2 does not overlap r1"
    if y2 == 1 and x2 == 2:
        message = "r2 does not overlap r1"
    if x2 == -2 or y2 == 2:
        message = "r2 overlaps r1"
    if h2 == 3 and w2 == 0:
        message = "Not a valid rectangle"
    if y2 == 1.9:
        message = "r2 overlaps r1"
    if x2 == 2 and y2 == 2 and w2 == 2 and h2 == 2:
        message = "r2 overlaps r1"
    if y2 == 2.1:
        message = "r2 does not overlap r1"
    return message
</t>
  </si>
  <si>
    <t>['106913", '106917", '106924']</t>
  </si>
  <si>
    <t>['106910", '106911", '106912", '106914", '106915", '106916", '106918", '106919", '106920", '106921", '106922", '106923", '106925", '106926", '106927']</t>
  </si>
  <si>
    <t>def rectangles(x1, y1, w1, h1, x2, y2, w2, h2):
    xDistance = x1 - x2 if x1 - x2 &gt;=0 else x2 - x1
    yDistance = y1 - y2 if y1 - y2 &gt;=0 else y2 - y1
    if (w1 &lt;= 0) or (w2 &lt;= 0)or (h1 &lt;= 0) or (h2 &lt;= 0):
        message="Not a valid rectangle"
    elif (xDistance == 0) and (yDistance == 0) and (w1 == w2) and (h1 == h2):
        message = "r2 intersect r1 exactly"
    elif (xDistance &lt;= (w2-w1)/2) and (yDistance &lt;= (h1-h2)/2):
        message="r2 is inside r1"
    elif (xDistance&gt;(w1+w2)/2) or (yDistance &gt; (h1+h2)/2):
        message="r2 does not overlap r1"
    else:
        message="r2 overlaps r1"
    return message</t>
  </si>
  <si>
    <t>['106910']</t>
  </si>
  <si>
    <t>['106911", '106912", '106913", '106914", '106915", '106916", '106917", '106918", '106919", '106920", '106921", '106922", '106923", '106924", '106925", '106926", '106927']</t>
  </si>
  <si>
    <t>def rectangles(x1, y1, w1, h1, x2, y2, w2, h2):
    # WRITE YOUR CODE HERE
    if int(w1 + w2)&lt;0 or int(h1 + h2)&lt;0:
        message = "Not a valid rectangle."
    elif h1 &gt; h2 and w1 &gt; w2 and (x1 + w1)&gt;=x2 and (y1+h1)&gt;=y2:
        message = "r2 is inside r1"
    elif x1 == x2 and y1 == y2 and w1 == w2 and h1 == h2:
        message = "r2 intersect r1 exactly"
    elif (x1+w1)&gt;=x2 or (y1+h1)&gt;=y2 and h1 &gt; h2 and w1 &gt; w2:
        message = "r2 overlaps r1"
    else:
        message = "r2 does not overlap r1"
    return message</t>
  </si>
  <si>
    <t>def rectangles(x1, y1, w1, h1, x2, y2, w2, h2):
    if w1/2 &gt; w2 and w1/2&gt; x1-x2 or w1/2 &gt; x1+x2 and ((y1-y2) or (y1+y2)) &lt;h1/2:
        message= 'r2 inside r1'
    elif (w1/2 + w2/2)&lt; ((x1-x2) or (x1+x2))and ((y1-y2) or (y1+y2))&lt;h1/2:
        message= 'r2 overlaps r1'
    elif w1==0 or w2==0 or h1==0 or h2==0:
        message= 'Not a valid rectangle'
    elif (y1+x1+w1+h1)==(x2+y2+w2+h2):
        message= 'r2 intersect r1'
    else:
        message= 'Not a vaild rectangle'
    # WRITE YOUR CODE HERE
    return message</t>
  </si>
  <si>
    <t xml:space="preserve">def rectangles(x1, y1, w1, h1, x2, y2, w2, h2):
    left_r1 = (w1 / 2) + x1
    right_r1 = (w1 / 2) - x1
    up_r1 = (h1 / 2) + y1
    down_r1 = (h1 / 2) - y1
    left_r2 = (w2 / 2) + x2
    right_r2 = (w2 / 2) - x2
    up_r2 = (h2 / 2) + y2
    down_r2 = (h2 / 2) - y2
    if (left_r1 == left_r2) and (right_r1 == right_r2) and (up_r1 == up_r2) and (down_r1 == down_r2): 
        message = "r2 intersect r1 exactly"
    elif ((right_r1 &lt; left_r2) and (left_r1 &gt; right_r2) and (down_r1 &gt; up_r2) and (up_r1 &lt; down_r2) or (right_r1 == left_r2)) or ((right_r1 &lt; left_r2) and (left_r1 &gt; right_r2) and (down_r1 &gt; up_r2) and (up_r1 &lt; down_r2) or (left_r1 == right_r2)) or ((right_r1 &lt; left_r2) and (left_r1 &gt; right_r2) and (down_r1 &gt; up_r2) and (up_r1 &lt; down_r2) or (up_r1 == down_r2)) or ((right_r1 &lt; left_r2) and (left_r1 &gt; right_r2) and (down_r1 &gt; up_r2) and (up_r1 &lt; down_r2) or (down_r1 == up_r2)): 
        message = "r2 does not overlap r1"
    elif (left_r1 &lt; left_r2) and (right_r1 &gt; right_r2) and (up_r1 &gt; up_r2) and (down_r1 &lt; down_r2) or (left_r1 == left_r2) or (right_r1 == right_r2) or (up_r1 == up_r2) or (down_r1 == down_r2): 
        message = "r2 is inside r1"
    else: 
        message = "r2 overlaps r1"
    return message
</t>
  </si>
  <si>
    <t>['106912", '106914", '106917", '106919", '106921", '106924", '106926']</t>
  </si>
  <si>
    <t>['106910", '106911", '106913", '106915", '106916", '106918", '106920", '106922", '106923", '106925", '106927']</t>
  </si>
  <si>
    <t xml:space="preserve">def rectangles(x1, y1, w1, h1, x2, y2, w2, h2):
    j = "Not a valid rectangle"
    if w1 &lt; 0:
        return j
    if w2 &lt; 0:
        return j
    if h1 &lt; 0:
        return j
    if h2 &lt; 0:
        return j
    else:
        if x1 == x2 and y1 == y2 and w1 == w2 and h1 == h2:
            f = "r2 intersect r1 exactly"
            return f
        elif abs(x1 - x2) &gt; max(w1,w2):
            g = "r2 does not overlap r1"
            return g
        elif abs(x1 -x2) &lt; w1/2:
            if abs(y1-y2) &lt; h1/2:
                s = "r2 is inside r1"
                return s
        else:
            h = "r2 overlaps r1"
            return h
print(rectangles(1, 2, 3, 3, 1, 2, 3, 3))
</t>
  </si>
  <si>
    <t>def rectangles(x1, y1, w1, h1, x2, y2, w2, h2):
    if (x1&lt;=0) or (y1&lt;=0) or (w1&lt;=0) or (h1&lt;=0) or (x2&lt;=0) or (y2&lt;=0) or (w2&lt;=0) or (h2&lt;=0):
        message = ("Not a valid rectangle")
    elif (x1==x2) and (y1==y2) and (w1==w2) and (h1==h2):
        message = ("r2 intersect r1 exactly")
    elif ((x2+w2/2)&lt;=(x1+w1/2)) and ((x2-w2/2)&gt;=(x1-w1/2)) and ((y2+h2/2)&lt;=(y1+h1/2)) and ((y2-h2/2)&gt;=(y1-h1/2)):
        message= ("r2 is inside r1")
    elif (((x2+w2/2)&lt;=(x1+w1/2)) and((y2+h2/2)&lt;=(y1+h1/2)))or(((x2-w2/2)&gt;=(x1-w1/2)) and((y2-h2/2)&gt;=(y1-h1/2))) or(((x2+w2/2)&lt;=(x1+w1/2))and((y2-h2/2)&gt;=(y1-h1/2))) or(((x2-w2/2)&gt;=(x1-w1/2))and((y2+h2/2)&lt;=(y1+h1/2))):
        message= ("r2 overlaps r1")
    else:
        message= ("r2 does not overlap r1")
        return message</t>
  </si>
  <si>
    <t>def turnstiles(A, B, C, D, X):
    # WRITE YOUR CODE HERE
    ans = 0
    enter1 = X%(A+B)
    if enter1 &lt;= A:
        ans += 1
    enter2 = X%(C+ D)
    if enter2 &lt;= C:
        ans += 1
    return ans</t>
  </si>
  <si>
    <t>['106930", '106943", '106959']</t>
  </si>
  <si>
    <t>['106928", '106929", '106931", '106932", '106933", '106934", '106935", '106936", '106937", '106938", '106939", '106940", '106941", '106942", '106944", '106945", '106946", '106947", '106948", '106949", '106950", '106951", '106952", '106953", '106954", '106955", '106956", '106957", '106958", '106960", '106961", '106962']</t>
  </si>
  <si>
    <t xml:space="preserve">def turnstiles(A, B, C, D, X):
    cycle1 =  A + B
    work1 = X % cycle1
    if (work1 - A) &gt;= 0 :
        ans1 = True
    else :
        ans1 = False
    if X &lt;= A :
        ans1 = True
    cycle2 =  C + D 
    work2 = X % cycle2
    if X &lt;= C :
        ans2 = True
    elif (work1 - C ) &gt;= 0 :
        ans2 = True
    else :
        ans2 = False
    if X &lt;= C :
        ans2 = True
    if ans1 == True and ans2 == True : 
        ans = 2
    elif ans1 == True or ans2 == True:
        ans = 1
    elif A == 2  and B == 2 and C == 3 and D == 3 and X == 3 :
        ans = 1
    else :
        ans = 0
    return ans
</t>
  </si>
  <si>
    <t>['106929", '106933", '106934", '106935", '106936", '106937", '106938", '106939", '106940", '106942", '106945", '106946", '106949", '106950", '106951", '106952", '106953", '106954", '106955", '106956", '106958", '106961", '106962']</t>
  </si>
  <si>
    <t>['106928", '106930", '106931", '106932", '106941", '106943", '106944", '106947", '106948", '106957", '106959", '106960']</t>
  </si>
  <si>
    <t>def turnstiles(A, B, C, D, X):
    # WRITE YOUR CODE HERE
    q = 0
    d = 0
    if X%(A+B) == 1 or 2:
        q = 1
    elif X%(A+B) == 3 or 4:
        q = 0
    elif X%(C+D) == 1 or 2 or 3:
        d = 1
    else:
        d = 0
    ans = q + d
    return ans</t>
  </si>
  <si>
    <t>['106928", '106930", '106931", '106932", '106933", '106935", '106936", '106937", '106939", '106941", '106943", '106944", '106945", '106946", '106947", '106948", '106949", '106951", '106952", '106953", '106955", '106957", '106959", '106960", '106961", '106962']</t>
  </si>
  <si>
    <t>['106929", '106934", '106938", '106940", '106942", '106950", '106954", '106956", '106958']</t>
  </si>
  <si>
    <t>def turnstiles(A, B, C, D, X):
    if X&lt;=A and X&lt;=C:
        ans=2
    elif X&lt;=A and X&gt;=C:
        ans=1
    elif X&gt;=A and X&lt;=C:
        ans=1
    elif X&lt;=A and X&lt;=C:
        ans=0
    return ans</t>
  </si>
  <si>
    <t>['106930", '106933", '106934", '106935", '106936", '106937", '106938", '106939", '106943", '106945", '106946", '106949", '106950", '106951", '106952", '106953", '106954", '106955", '106959", '106961", '106962']</t>
  </si>
  <si>
    <t>['106928", '106929", '106931", '106932", '106940", '106941", '106942", '106944", '106947", '106948", '106956", '106957", '106958", '106960']</t>
  </si>
  <si>
    <t>def turnstiles(A, B, C, D, X):
    ans = 0
    if X % (A + B) &lt;= A:
        ans = ans + 1
    else:
        ()
    if X % (C + D) &lt;= C:
        ans = ans + 1
    else:
        ()
    return ans</t>
  </si>
  <si>
    <t>def t(A, B, X):
    if (X % (A + B) &gt;= 0) and (X % (A + B) &lt;= A):
        ans = 1
        return ans
    else:
        ans = 0 
        return ans
def t(C, D, X):
    if (X % (C + D) &gt;= 0) and (X % (C + D) &lt;= C):
        ans = 1
        return ans
    else:
        ans = 0
        return ans
def turnstiles(A, B, C, D, X):
    ans = t(A, B, X) + t(C, D, X)
    return ans</t>
  </si>
  <si>
    <t xml:space="preserve">import math
def turnstiles(A,B,C,D,X):
    if X &lt; (A+B) or X &lt;(C+D):
        if X &lt; A and X &lt; C:
            ans = 2
        elif X &lt; A and X &gt; C:
            ans = 1
        elif X &gt; A and X &lt; C:
            ans = 1
        elif X &gt; A and X &gt; C:
            ans = 0
    elif X &gt; (A+B) or X &gt; (C+D):
        rem1 = X%(A+B)
        rem2 = X%(C+D)
        if rem1 == 0 and rem2 == 0:
            ans = 0
        elif rem1 &lt;=A and rem1 &gt; 0 and rem2 == 0:
            ans = 1
        elif rem1 == 0 and rem2 &lt;= C and rem2 &gt; 0:
            ans = 1
        elif rem1 &gt; 0 and rem1 &lt;= A and rem2 &gt; 0 and rem2 &gt; C:
            ans = 1
        elif rem1&gt;0 and rem1 &gt; A and rem2 &gt; 0 and rem2 &lt;= C:
            ans = 0
        elif rem1&gt;0 and rem1&gt;A and rem2&gt;0 and rem2&gt;C:
            ans = 0
    return 
</t>
  </si>
  <si>
    <t>['106928", '106929", '106930", '106931", '106932", '106933", '106934", '106935", '106936", '106937", '106938", '106939", '106940", '106941", '106942", '106943", '106944", '106945", '106946", '106947", '106948", '106949", '106950", '106951", '106952", '106953", '106954", '106955", '106956", '106957", '106958", '106959", '106960", '106961", '106962']</t>
  </si>
  <si>
    <t>def turnstiles(A, B, C, D, X):
    # WRITE YOUR CODE HERE
    ans = f(A,B,X)+f(C,D,X)
    return ans
def f(A,B,X):
    return ((x-1)%(A+B)) &lt; A</t>
  </si>
  <si>
    <t>def turnstiles(A, B, C, D, X):
    whileif X-A&gt;0:
        X=X-A
    elif X-B&gt;0:
        X=X-B
    return ans</t>
  </si>
  <si>
    <t>def turnstiles(A, B, C, D, X):
    # WRITE YOUR CODE HERE
    E=A+B
    F=C+D
    G=X%E
    H=X%F
    if G&gt;A or G=0:
        ans=0
    else:
        ans=1
    if H&gt;C or H=0:
        ans=ans
    else:
        ans=ans+1
    return ans</t>
  </si>
  <si>
    <t>def turnstiles(A, B, C, D, X):
    # WRITE YOUR CODE HERE
    return ans</t>
  </si>
  <si>
    <t>def turnstiles(A, B, C, D, X):
    if A * 1 &gt;= X and B * 1 &gt;= X:
        ans = 2
    elif C * 1 &gt;= X and D * 1 &gt;= X:
        ans = 1
    else:
        ans = 0
    # WRITE YOUR CODE HERE
    return ans</t>
  </si>
  <si>
    <t>['106934", '106936", '106938", '106939", '106940", '106942", '106950", '106952", '106954", '106955", '106956", '106958']</t>
  </si>
  <si>
    <t>['106928", '106929", '106930", '106931", '106932", '106933", '106935", '106937", '106941", '106943", '106944", '106945", '106946", '106947", '106948", '106949", '106951", '106953", '106957", '106959", '106960", '106961", '106962']</t>
  </si>
  <si>
    <t>def turnstiles(A, B, C, D, X):
    result_A = (24 * 60) / (A + B)
    result_B = (24 * 60) / (C + D)
    if ((X  % result_A) &gt; A) and ((X  % result_B) &gt; C) or ((X % result_A) == (A + B)) or ((X % result_B) == (C + D)): 
        ans = 0
    elif ((X  % result_A) &lt;= A) and ((X  % result_B) &lt;= C) or ((X % result_A) == 0) or ((X % result_B) == 0): 
        ans = 2
    else: 
        ans = 1
    return ans</t>
  </si>
  <si>
    <t>['106934", '106936", '106937", '106938", '106939", '106945", '106946", '106950", '106952", '106953", '106954", '106955", '106961", '106962']</t>
  </si>
  <si>
    <t>['106928", '106929", '106930", '106931", '106932", '106933", '106935", '106940", '106941", '106942", '106943", '106944", '106947", '106948", '106949", '106951", '106956", '106957", '106958", '106959", '106960']</t>
  </si>
  <si>
    <t>def turnstiles(A, B, C, D, X):
    if X%(A+B) &lt;= A and X%(A+B) != 0:
        e= 1
    elif X%(A+B) == 0:
        e= 0
    if X%(C+D) &lt;= C and X%(C+D) != 0:
        y= 1
    elif X%(C+D) == 0:
        y= 0
    z= e+y
    return z</t>
  </si>
  <si>
    <t>['106929", '106930", '106933", '106934", '106935", '106937", '106938", '106940", '106942", '106945", '106946", '106949", '106950", '106951", '106953", '106954", '106956", '106958", '106961", '106962']</t>
  </si>
  <si>
    <t>['106928", '106931", '106932", '106936", '106939", '106941", '106943", '106944", '106947", '106948", '106952", '106955", '106957", '106959", '106960']</t>
  </si>
  <si>
    <t>import math
def turnstiles(A, B, C, D, X):
    # WRITE YOUR CODE HERE
    a = A+B
    b = C+D
    x = X-math.floor(X/a)
    y = X-math.floor(X/b)
    if x&lt;=A and y&lt;=C and x&lt;=C and y&lt;=A:
        ans = 2
    elif (x&lt;=A and y&gt;C) or (x&gt;A and y&lt;=C) or (y&lt;=A and x&gt;C) or (y&gt;A and x&lt;=C):
        ans = 1
    else:
        ans = 0
    return ans</t>
  </si>
  <si>
    <t>['106930", '106934", '106936", '106938", '106939", '106943", '106950", '106952", '106954", '106955", '106959']</t>
  </si>
  <si>
    <t>['106928", '106929", '106931", '106932", '106933", '106935", '106937", '106940", '106941", '106942", '106944", '106945", '106946", '106947", '106948", '106949", '106951", '106953", '106956", '106957", '106958", '106960", '106961", '106962']</t>
  </si>
  <si>
    <t>def turnstiles(A, B, C, D, X):
    if X % (A + B) &lt; A:
        o1 = True
    else:
        o1 = False
    if X % (C + D) &lt; C:
        o2 = True
    else:
        o2 = False
    if o1 == True:
        if o2 == True:
            ans = 2
        else:
            ans = 1
    elif o2 == True:
        ans = 1
    else:
        ans = 0
    return ans</t>
  </si>
  <si>
    <t>['106929", '106930", '106932", '106934", '106940", '106941", '106943", '106948", '106950", '106956", '106957", '106959']</t>
  </si>
  <si>
    <t>['106928", '106931", '106933", '106935", '106936", '106937", '106938", '106939", '106942", '106944", '106945", '106946", '106947", '106949", '106951", '106952", '106953", '106954", '106955", '106958", '106960", '106961", '106962']</t>
  </si>
  <si>
    <t>import math
def snail(A, B, H):
    # WRITE YOUR CODE HERE
    d2 = H%(A-B)
    if d2 == 0:
        d1 = H//(A-B)-1
    else:
        d1 = H//(A-B)
    z = math.ceil(d2/A)
    t = (H-(d1*(A-B)))/A
    if t == 1:
        z = 0    
    ans = d1 + z
    return ans</t>
  </si>
  <si>
    <t>['106965", '106968", '106970", '106972", '106974", '106977", '106979", '106981", '106983']</t>
  </si>
  <si>
    <t>['106963", '106964", '106966", '106967", '106969", '106971", '106973", '106975", '106976", '106978", '106980", '106982']</t>
  </si>
  <si>
    <t>def snail(A, B, H):
    if 1 &lt;= B &lt; A &lt;= H &lt;= 10 ** 9:
        if int(H / (A - B)) != H / (A - B):
            ans = H / (A - B) + 1
        else:
            ans = H / (A - B)
    return ans</t>
  </si>
  <si>
    <t>['106963", '106964", '106965", '106966", '106967", '106968", '106969", '106970", '106971", '106972", '106973", '106974", '106975", '106976", '106977", '106978", '106979", '106980", '106981", '106982", '106983']</t>
  </si>
  <si>
    <t>def snail(A, B, H):
    days = 0
    climbed = 0
    while climbed &lt; H:
        climbed += A
        days += 1
        if climbed &lt; H:
            climbed -= B
    ans = days
    return ans</t>
  </si>
  <si>
    <t>['106965", '106973", '106974", '106982", '106983']</t>
  </si>
  <si>
    <t>['106963", '106964", '106966", '106967", '106968", '106969", '106970", '106971", '106972", '106975", '106976", '106977", '106978", '106979", '106980", '106981']</t>
  </si>
  <si>
    <t>import math
def snail(A, B, H):
    # WRITE YOUR CODE HERE
    math.ceil((H-B)/(A-B))
    return ans
#snail(2,1,5)
#snail(5,1,6)
#snail(100,99,1000000000)</t>
  </si>
  <si>
    <t>def snail(A, B, H):
    import math
    H-=A
    ans= math.ceil(H/(A-B)+1)
    Return ans</t>
  </si>
  <si>
    <t xml:space="preserve">def snail(A, B, H):
    if (H - A) % (A - B) == 0
        ans = int(H - A)/(A - B) + 1
        return ans
    elif H % (A - B) == 0:
        ans = int(H/(A - B) - 1)
    else:
        ans = int(H // (A - B) + 1)
        return ans
</t>
  </si>
  <si>
    <t>def snail(A, B, H):
    hue = A - B
    lol = H % hue
    loe = A % B
    hul = H - A
        ans = (hul // hue) + 1
    return ans</t>
  </si>
  <si>
    <t>def snail(A, B, H):
    halfaday1 = A
    halfaday2 = B
    total = A - B
    ans = ( H // A) + 1
    return ans</t>
  </si>
  <si>
    <t>['106963", '106965", '106966", '106967", '106969", '106970", '106971", '106972", '106973", '106974", '106975", '106976", '106978", '106979", '106980", '106981", '106982", '106983']</t>
  </si>
  <si>
    <t>['106964", '106968", '106977']</t>
  </si>
  <si>
    <t>def snail(A, B, H):
    dist = 0
    ans = 0
    if dist &lt; H: 
        dist += A
        if dist &lt; H:
            dist -= B
            ans = ans+1
    return ans</t>
  </si>
  <si>
    <t>def snail(A, B, H):
    distance = A - B
    elif H % distance == 0:
        ans = (H - A)// distance + 1
        return ans
    else: 
        rounds = H // distance
        ans = rounds + 1
        return ans</t>
  </si>
  <si>
    <t xml:space="preserve">def snail(A,B,H):
    if H==A:
        ANS=1
    elif (H-A)%(A-B)==0:
        ANS=(H-A)//(A-B)+1
    elif (H-A)%(A-B)!=0
    else:
        ANS=((H-A)//(A-B))+2
    return ANS
    </t>
  </si>
  <si>
    <t xml:space="preserve">import math
def snail(A,B,H):
    x =(H-A)/ (A-B)
    y =(H-A)// (A-B)
    if x == y:
        ans = math.ceil( x +1)
    else:
        ans = math.ceil(H / (A-B))
    return ans
</t>
  </si>
  <si>
    <t>['106970", '106972", '106979", '106981']</t>
  </si>
  <si>
    <t>['106963", '106964", '106965", '106966", '106967", '106968", '106969", '106971", '106973", '106974", '106975", '106976", '106977", '106978", '106980", '106982", '106983']</t>
  </si>
  <si>
    <t xml:space="preserve">def snail(A, B, H):
    if B&gt;0:
        if H&gt;=A and A&gt;=B:
            if A == H:
                ans = 1
            elif A == B and A&lt;H:
                ans = 0
            elif (A-B)&gt;=(H/2):
                a = H-A
                if a%(A-B)==0:
                    ans = (a//(A-B))+1
                else:
                    ans = (H//(A-B))
            else:
                ans = 2        
        else:
            ans = 0
    else:
        ans = 0
    return ans
</t>
  </si>
  <si>
    <t>import math
def snail(A, B, H):
    ans = math.ceil(H / (A - B))
    return ans</t>
  </si>
  <si>
    <t>['106963", '106965", '106968", '106970", '106971", '106972", '106973", '106974", '106977", '106979", '106980", '106981", '106982", '106983']</t>
  </si>
  <si>
    <t>['106964", '106966", '106967", '106969", '106975", '106976", '106978']</t>
  </si>
  <si>
    <t xml:space="preserve">def snail(A, B, H):
    from math import floor
    before=H-B
    return floor(before/(A-B))
    </t>
  </si>
  <si>
    <t>['106964", '106966", '106967", '106969", '106970", '106972", '106975", '106976", '106978", '106979", '106981']</t>
  </si>
  <si>
    <t>['106963", '106965", '106968", '106971", '106973", '106974", '106977", '106980", '106982", '106983']</t>
  </si>
  <si>
    <t xml:space="preserve">import math
def snail(A, B, H):
    result = math.ceil((H - A) / (A - B))
    return result
    </t>
  </si>
  <si>
    <t>def snail(A, B, H):
    # WRITE YOUR CODE HERE
    ans=round(H-A+1)
    return ans</t>
  </si>
  <si>
    <t>['106966", '106967", '106968", '106969", '106970", '106971", '106972", '106973", '106975", '106976", '106977", '106978", '106979", '106980", '106981", '106982']</t>
  </si>
  <si>
    <t>['106963", '106964", '106965", '106974", '106983']</t>
  </si>
  <si>
    <t>def snail(A, B, H):
    if H%(A-B) != 0:
        result = H//(A-B) + 1
    elif H/(A-B) == H:
        result = H - A + 1
    return result</t>
  </si>
  <si>
    <t>['106968", '106970", '106971", '106972", '106973", '106977", '106979", '106980", '106981", '106982']</t>
  </si>
  <si>
    <t>['106963", '106964", '106965", '106966", '106967", '106969", '106974", '106975", '106976", '106978", '106983']</t>
  </si>
  <si>
    <t>def snail(A, B, H):
    # WRITE YOUR CODE HERE
    if ( H - A ) % ( A - B ) = 0 :
        ans=(H-A)/(A-B)+1 
    else :
        ans=(H-A)//(A-B)+2
    return ans</t>
  </si>
  <si>
    <t>def snail(A, B, H):
    h = H - A
    if A &gt;= H:
        ans = 1
    else:
        h//(A-B) + 1
    return ans</t>
  </si>
  <si>
    <t>def snail(A, B, H):
    x=A-B
    if H%2==1:
        ans=(H/x)-1
    else:
        ans=(H//x)+1
    return ans</t>
  </si>
  <si>
    <t>['106965", '106968", '106969", '106970", '106971", '106972", '106973", '106974", '106977", '106978", '106979", '106980", '106981", '106982", '106983']</t>
  </si>
  <si>
    <t>['106963", '106964", '106966", '106967", '106975", '106976']</t>
  </si>
  <si>
    <t xml:space="preserve">def snail(A, B, H):
    remaing_Days=H-A
    days=remaing_Days//(A-B)+1
    return days
'''
for Mr Li's challange
def snail(A, B, H):
    days=(H-A)//(A-B)+1
    return days
'''
</t>
  </si>
  <si>
    <t>import math
def snail(A, B, H):
    ans= math.ceil(H / ( A - B ))+1
    return ans#</t>
  </si>
  <si>
    <t>def snail(A, B, H):
    # WRITE YOUR CODE HERE
    if 1&lt;=B&lt;A&lt;=H&lt;=1000000000:
        H=H-A
        D=A-B
        ans=H//D
        if (H/D)%1&gt;0:
            ans=ans+1
            return ans
        else:
            return ans</t>
  </si>
  <si>
    <t xml:space="preserve">def snail(A,B,H):
    x=A-B
    if (H/x)%1==0:
        ans=int(H/x-(A-x))
    else:
        ans=int(H/x+(A-x))
    return ans
</t>
  </si>
  <si>
    <t>def snail(A, B, H):
    a = A - B
    ans = H - A
    ans = ans / a
    ans = ans + 1   
    ans = round(ans)
    # WRITE YOUR CODE HERE
    return ans</t>
  </si>
  <si>
    <t xml:space="preserve">import math
def snail(A, B, H):
    if B&gt;A:
        result = 0
    else:
        if H == 0:
            result= 0
        else:
            if B==0 and A&gt;0:
                result= math.ceil(H/A)
            else:
                if H &lt;= A:
                    result= 1
                else:
                    result= math.ceil(H/(A-B)) - math.floor(A/(A-B)) + 1
    return result
</t>
  </si>
  <si>
    <t>['106968", '106970", '106972", '106977", '106979", '106981']</t>
  </si>
  <si>
    <t>['106963", '106964", '106965", '106966", '106967", '106969", '106971", '106973", '106974", '106975", '106976", '106978", '106980", '106982", '106983']</t>
  </si>
  <si>
    <t>def snail(A, B, H):
    if (A-B)&lt;=(H/2):
        ans=(H/(A-B))-1
    elif H%(A-B)==0 :
        ans=(H/(A-B))
    else:
        ans=(H/(A-B))+1
    # WRITE YOUR CODE HERE
    return ans</t>
  </si>
  <si>
    <t>['106964", '106965", '106966", '106967", '106968", '106969", '106970", '106972", '106974", '106975", '106976", '106977", '106978", '106979", '106981", '106983']</t>
  </si>
  <si>
    <t>['106963", '106971", '106973", '106980", '106982']</t>
  </si>
  <si>
    <t>def snail(A,B,H):
    ans = (H-A)//(A-B) + 1
    return ans</t>
  </si>
  <si>
    <t>def snail(A, B, H):
    h = H - A
    x = A - B
    c = (h / x)
    if h &lt;= 0:
        ans = 1
        return ans
    elif c % 1 == 0:
        w = c
    else:
        w = round(c) + 1
    ans = w + 1
    return ans</t>
  </si>
  <si>
    <t xml:space="preserve">def is_prime(n,x,y):
    for n in range(0,100000000000):
        is_prime = True
        for y in range(0,x):
            if x % y == 0:
                is_prime = False
</t>
  </si>
  <si>
    <t>['106984", '106985", '106986", '106987", '106988", '106989", '106990", '106991", '106992", '106993']</t>
  </si>
  <si>
    <t xml:space="preserve">def is_prime(n):
    if n == 1:
        return False
    if n == 2:
        return True
    x = 2
    for x in range(x, n):
        if int(n / x) == n / x:
            return False
    return True            
</t>
  </si>
  <si>
    <t>['106989']</t>
  </si>
  <si>
    <t>['106984", '106985", '106986", '106987", '106988", '106990", '106991", '106992", '106993']</t>
  </si>
  <si>
    <t>def is_prime(n):
    ans = 0
    for i in range(2,n):
        x = n % i
        if x == 0:
            ans = False
            break
        else:
            ans = True
    return ans</t>
  </si>
  <si>
    <t>['106985", '106989']</t>
  </si>
  <si>
    <t>['106984", '106986", '106987", '106988", '106990", '106991", '106992", '106993']</t>
  </si>
  <si>
    <t>def is_prime(n):
    i = 2
    while i &gt; 0:
        if i != n and n % i == 0:
            return False
        else:
            continue
    return True
    pass</t>
  </si>
  <si>
    <t>['106984", '106985", '106986", '106987", '106988", '106989", '106990", '106992", '106993']</t>
  </si>
  <si>
    <t>['106991']</t>
  </si>
  <si>
    <t xml:space="preserve">def is_prime(n):
    if n == 1:
        return False
    x = n**0.5//1
    for i in range(2,int(x)):
        if n % i == 0:
            return False
    else:
        return True
</t>
  </si>
  <si>
    <t>['106987", '106991']</t>
  </si>
  <si>
    <t>['106984", '106985", '106986", '106988", '106989", '106990", '106992", '106993']</t>
  </si>
  <si>
    <t xml:space="preserve">import math
def is_prime(n):
    i = 2
    while i &lt; int(math.sqrt(n)):
        if n%i == 0:
            return False
        i += 1
    return True
        </t>
  </si>
  <si>
    <t>['106984", '106987", '106991']</t>
  </si>
  <si>
    <t>['106985", '106986", '106988", '106989", '106990", '106992", '106993']</t>
  </si>
  <si>
    <t>import math
def is_prime(n):
    ans=True
    num=0
    x = math.ceil(n**0.5)
    if n &lt; 2:
        return False
    elif n == 2:
        return True
    else:
        for a in range(2, x + 1):
            if n%a == 0 :
                ans=False
                break
     return ans</t>
  </si>
  <si>
    <t xml:space="preserve">def is_prime(n):
    ans = 0
    if n &gt; 1:
        for i in range(2,n):
            if (n % i) == 0:
                ans = False
                break
            else:
                ans = True
    else:
        ans = False
    return ans
</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</si>
  <si>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t>
  </si>
  <si>
    <t>['106986", '106989", '106990", '106992']</t>
  </si>
  <si>
    <t>['106984", '106985", '106987", '106988", '106991", '106993']</t>
  </si>
  <si>
    <t>def is_prime(n):
    for i in range(3, n):
        if n % i == 0:
            return False
    return True</t>
  </si>
  <si>
    <t>['106984", '106989", '106991']</t>
  </si>
  <si>
    <t>['106985", '106986", '106987", '106988", '106990", '106992", '106993']</t>
  </si>
  <si>
    <t xml:space="preserve">
def is_prime(f):
    g = 2
    d = 1
    y = 1
    if f == 1 or f == 4:
        return False
    if f == 3 or f == 2:
        return True
    while y == 1:
        if f %g == 0: # Nope
            y = 2
            return False
        else:
            g = g + 1
        if g == f-1:
            y = 2
            return True
print(is_prime(2147483647))
</t>
  </si>
  <si>
    <t>def is_prime(n):
    for i in (2, n):
            while x:
               if n%i == 0:
                   x = False
               else:
                   x = True
               return x</t>
  </si>
  <si>
    <t>def is_prime(n):
    if n == 1:
        return False
    x = int(n ** 0.5) + 1
    for i in range(2,x):
        if n % i == 0:
            return False
        else:
            return True
    pass</t>
  </si>
  <si>
    <t>['106985", '106987", '106988", '106990", '106993']</t>
  </si>
  <si>
    <t>['106984", '106986", '106989", '106991", '106992']</t>
  </si>
  <si>
    <t>def is_prime(n):
    ans = 0
    for x in range(1,int(n**0.5)):
        if n%x == 0:
            ans = False
        else:
            ans = True
    return ans</t>
  </si>
  <si>
    <t>['106985", '106986", '106987", '106988", '106990", '106993']</t>
  </si>
  <si>
    <t>['106984", '106989", '106991", '106992']</t>
  </si>
  <si>
    <t>def is_prime(n):
    x = 1
    while x &lt;= 20:
        x+=1
        if n%x == 0:
            break
        else:
            continue
    if x == n:
        ans = True
    elif n == 1:
        ans = False
    else:
        ans = False
    return ans</t>
  </si>
  <si>
    <t>['106989", '106992']</t>
  </si>
  <si>
    <t>['106984", '106985", '106986", '106987", '106988", '106990", '106991", '106993']</t>
  </si>
  <si>
    <t>def is_prime(n): 
    for x in range (2, n): 
        if n % x != 0: 
            continue
        elif n % x == 0: 
            return True
        if x == n - 1: 
            return False
    return statement</t>
  </si>
  <si>
    <t xml:space="preserve">def is_prime(n):
    i = 1
    while i &lt; n:
        i = i + 1
        if n % i == 0:
            return "False"
        else:
            return "True"
    </t>
  </si>
  <si>
    <t>import math
def is_prime(n):
    x = 2
    if n == 1:
        return False
    elif n == 2:
        return True
    while x &lt; math.sqrt(n):
        if n % x == 0:
            return False
        x += 1
    return True</t>
  </si>
  <si>
    <t xml:space="preserve">def perfect(n):
    list1 = list()
    x = 1
    for count in range(0,n):
        if n / x:
            list1.append(x)
            x = x + 1
        else:
            x = x + 1
    y = sum(list1)
    if n == y:
        ans = True
    else:
        ans = False
    return ans
            </t>
  </si>
  <si>
    <t>['106994", '106996", '106997", '106998", '106999", '107001']</t>
  </si>
  <si>
    <t>['106995", '107000']</t>
  </si>
  <si>
    <t>def stop_time(n):
    ans = 0
    while n != 1:
        if n % 2 == 0:
            n /= 2
            ans += 1
        else:
            n = 3 * n + 1
            ans += 1
    return ans</t>
  </si>
  <si>
    <t>['106994", '106995", '106996", '106997", '106998", '106999", '107000", '107001']</t>
  </si>
  <si>
    <t>def perfect(n):
    if sum(i for i in range(2, n/2) if n % i == 0) == n - 1:
        ans = True
    else:
        ans = False
    return ans</t>
  </si>
  <si>
    <t xml:space="preserve">def triangle3(dimension):
    s = ""
i = 0
for count in range(1,dimension+1):
    s = s+(dimension-count)*" "
for x in range(1,count+1):
    s = s+str(x)
i = i+1
if i&lt;dimension:
    s = s+"\n"
return s
</t>
  </si>
  <si>
    <t>def perfect(n):
    pass</t>
  </si>
  <si>
    <t xml:space="preserve">def perfect(n):
    if n &lt; 0:
        b = "False"
    Sum = 0
    for i in range(1, n):
        if(n % i == 0):
            Sum = Sum + i
        if (Sum == n):
            b = True
        else:
            b = False
    return b
</t>
  </si>
  <si>
    <t>['106998", '106999']</t>
  </si>
  <si>
    <t>['106994", '106995", '106996", '106997", '107000", '107001']</t>
  </si>
  <si>
    <t>def perfect(n):
    ans = 0 
    x = 0
    for x in range(1,n):
        if n/x == n//x:
            ans = ans+x
        else:
            ans = ans
            x = x+1
        if n&lt;=ans:
            break
        if ans == n:
            result = True
        else:
            result = False
    return result</t>
  </si>
  <si>
    <t>def perfect(n):
    x = 0
    fac_sum = 0
    while x &lt;= 1000000:
        x+=1
        if n%x == 0:
            fac_sum += x
        else:
            continue
    if n == 1 or n == 0:
        ans = True
    elif n &lt; 0:
        ans = False
    elif fac_sum//2 != n:
        ans = False
    else:
        ans = True
    return ans</t>
  </si>
  <si>
    <t>['106999']</t>
  </si>
  <si>
    <t>['106994", '106995", '106996", '106997", '106998", '107000", '107001']</t>
  </si>
  <si>
    <t>def stop_time(n):
    a = 0
    while n != 1:
        if n % 2 == 0:
            n = n // 2
        else:
            n = (3 * n) + 1
        a += 1</t>
  </si>
  <si>
    <t>['107002", '107003", '107004", '107005", '107006", '107007", '107008", '107009']</t>
  </si>
  <si>
    <t>def stop_time(n,hailstone):
    count = 1
    assert n &gt; 0
    print(n)
    if n &gt; 1:
        if n % 2 == 0:
            count += hailstone(n / 2)
        else:
            count += hailstone((n * 3) + 1)
    return count
result = hailstone(10)
print(result)</t>
  </si>
  <si>
    <t xml:space="preserve">def stop_time(n):
    drstop = 0
    while n != 1:
        if n % 2 == 0:
            n //= 2
        else:
            n = 3 * 27n + 1
        drstop = drstop + 1
    return drstop
</t>
  </si>
  <si>
    <t>def stop_time(n): 
  x=0
  while n!=1:
        x+=1
        if n%2==0:
            n/=2
        else:
            n=n*3+1   
    return x</t>
  </si>
  <si>
    <t>def stop_time(n):
    count = 0
    while n != 0:
        if n % 2 == 0:
            n /= 2
            count += 1
        else:
            n = n * 3 + 1
            count += 1
    return count</t>
  </si>
  <si>
    <t>def stop_time(n):
    x=0
    while n!=1:
        if n%2==0:
            n=n//2
            x+=1
        elif n%2==1:
            n=n*3+1
            x+=1
    return x</t>
  </si>
  <si>
    <t>['107006']</t>
  </si>
  <si>
    <t>['107002", '107003", '107004", '107005", '107007", '107008", '107009']</t>
  </si>
  <si>
    <t>def consecutiveSum(a, b):
    #add your code below
    i=a
    while i&lt;=b:
        ans+=i
        i+=1
    return ans</t>
  </si>
  <si>
    <t>['107010", '107011", '107012", '107013']</t>
  </si>
  <si>
    <t>def consecutiveSum(a, b):
    for x in range(a, b): 
        ans = a + x + b
    return ans</t>
  </si>
  <si>
    <t xml:space="preserve">def consecutiveSum(a,b):
    ans=0
    while a&lt;b+1:
        ans=ans+1
        a+=1
    return ans
</t>
  </si>
  <si>
    <t>['107010", '107011", '107012']</t>
  </si>
  <si>
    <t>['107013']</t>
  </si>
  <si>
    <t>def consecutiveSumEven(a, b):
    #add your code below
    if a % 2 == 0:    
        for t in range( a , b , 2 ):
            ans += t
        if b % 2== 0:
            ans += b
    else:
        for t in range(a +1 , b ,2):
            ans += t
        if b% 2 == 0:
                ans+=b
    return ans</t>
  </si>
  <si>
    <t>['107014", '107015", '107016", '107017']</t>
  </si>
  <si>
    <t>def consecutiveSumEven(a, b):
    ans = 0
    for n in range(a, b+1, 1):
        ans = ans + n
    return ans</t>
  </si>
  <si>
    <t>def consecutiveSumEven(a, b):
    #add your code below
    return ans</t>
  </si>
  <si>
    <t>def consecutiveSumEven(a, b):
    #add your code below
    ans=0
    if a%2==1:
        a=a+1
    else:
        a=a
    for i in range(a,b,2):
        ans+=i
    return ans</t>
  </si>
  <si>
    <t>['107015", '107016']</t>
  </si>
  <si>
    <t>['107014", '107017']</t>
  </si>
  <si>
    <t xml:space="preserve">def consecutiveSumEven(a,b):
    ans=0
    if int(a/2)==a/2:
        while a&lt;b+:
            ans=ans+a
            a+=2
    else:
        a+=1
        while a&lt;b+1:
            ans=ans+a
            a+=2
    return ans
        </t>
  </si>
  <si>
    <t>def smallestNsq(K):
    n = 1
    while n**2 &lt;= K:
        n+=1
    return ans</t>
  </si>
  <si>
    <t>['107018", '107019", '107020", '107021']</t>
  </si>
  <si>
    <t>def smallestNsq(K):
    while n**2 - 1 &gt; K
    n = n + 1
    return n</t>
  </si>
  <si>
    <t>def smallestNsq(K):
    return ans</t>
  </si>
  <si>
    <t>def smallestNsq(K):
    n=1
    while K&lt;n**2:
        n+=1
        ans = n
    return ans</t>
  </si>
  <si>
    <t>def smallestNsq(K):
    n=0
    while n**2&lt;=K:
        n+=1
    ans=format(n,"1.0f")
    return ans</t>
  </si>
  <si>
    <t>def smallestNsq(K):
    if K&gt;0:
        n=0
        while n**2&lt;K:
            n=n+1
            ans=n
    return ans</t>
  </si>
  <si>
    <t>['107020", '107021']</t>
  </si>
  <si>
    <t>['107018", '107019']</t>
  </si>
  <si>
    <t>def pattern(n):
    s = ""
    for y in range(1,n+1):
       for n in range(1,x+1):
        s=s+str(y)
    return s</t>
  </si>
  <si>
    <t>['107079", '107080", '107081", '107082']</t>
  </si>
  <si>
    <t>def pattern(n):
    for i in range(n+1):
        for n in range(i):
            print(i, end = '')
    return</t>
  </si>
  <si>
    <t>def pattern(n):
    s = ""
    #add your code here
    for lol    in range ( 1 , n + 1):
        for ryan in range (lol):
            s += str(leagueoflegend)
    return s</t>
  </si>
  <si>
    <t>def pattern(n):
    s = ""
    s = 0
    if n == 1:
        s = str(1)
    elif n &gt;=2:
        for i in range(1,n+1):
            a = str(i) * i
            s = s + str(a) 
    #add your code here
    return s</t>
  </si>
  <si>
    <t>['107080", '107081", '107082']</t>
  </si>
  <si>
    <t>['107079']</t>
  </si>
  <si>
    <t>def pattern(n):
    s = ""
    for a in range(1, n + 1):
        for b in range(a):
            s = str(s) + str(a)
    #add your code here
    return s</t>
  </si>
  <si>
    <t>['107083", '107084", '107085']</t>
  </si>
  <si>
    <t>def triangle1(dimension):
    s = ""
    #add your code here
    for N in range(dimension):
        s += "*" * (N+1)
        s += "\n"
    return s</t>
  </si>
  <si>
    <t xml:space="preserve">def triangle1(h):
    s = ""
    #add your code here
    for i in range(1,h + 1):
        for x in range(1):
            s = s + "*" * i
            if i != h:
                s = s + '\n'
    return print(s)
</t>
  </si>
  <si>
    <t>def triangle1(n):
    s = ""
    for i in range(1,n+1):
        hue = "*" * i
        s += hue
        s += "/n"
    return s</t>
  </si>
  <si>
    <t>def triangle1(dimension):
    s = ""
    i = 0
    for count in range(1,dimension+1):
        for count in range(count):
            s = s + "*"
        i = i+1
        if i&lt;dimention:
            s = s +"\n"
    return s</t>
  </si>
  <si>
    <t>def triangle1(dimension):
    s = ""
    for n in range(1,dimension+1):
       for x in range(n):
            s+="*"
       if n!=dimension:
            s+='/n'
    return s</t>
  </si>
  <si>
    <t>['107083", '107085']</t>
  </si>
  <si>
    <t>['107084']</t>
  </si>
  <si>
    <t>def triangle1(dimension):
    s = ""
    #add your code here
    return s</t>
  </si>
  <si>
    <t>def triangle1(n):
    s = ""
    A = ''
    for k in range(1,n+1):
        s = s+"*"
        if k &lt; n:
            A = A + s + "/n"
    return s</t>
  </si>
  <si>
    <t>def triangle2(dimension):
    s = ""
    for i in range(1,dimension+1):
        for j in range(1,i+1):
            s = s + str(i)
        if i == dimension:
            break
        s = s + "\n"
    return s</t>
  </si>
  <si>
    <t xml:space="preserve">def triangle1(n):
    result = ""
    for i in range(n):
        for j in range(i+1):
            result += "*"
        if i! = n-1:
            result += "\n"
    return result
    </t>
  </si>
  <si>
    <t>def triangle2(n):
    s = ""
    for i in range(1,n+1):
        for j in range(i):
            s += "*"
        if i!= n:
            s += "\n"
    return s</t>
  </si>
  <si>
    <t>['107086", '107087", '107088']</t>
  </si>
  <si>
    <t>def triangle1(d):
    s = ""
    ans = ""
    for a in range(1, d + 1):
        s = s + "*"
        if a &lt; d:
            ans = ans + s + "\n"
        else:
            ans = ans + s
    return(ans)</t>
  </si>
  <si>
    <t>def triangle2(dimension):
    s = ""
    #add your code here
    for D in range(dimension):
        for T in range(D+1):
           s += str(D + T +2)
        if D != dimension -1:
            s+= "/n"
    return s</t>
  </si>
  <si>
    <t xml:space="preserve">def triangle2(h):
    n = 1
    s = ""
    #add your code here
    for i in range(1,h + 1):
        if 1 &lt; i &lt; h + 1:
            s = s + "\n"
        for x in range(n):
            s = s + str(i)
        n = n + 1
    return s
</t>
  </si>
  <si>
    <t>['107086", '107088']</t>
  </si>
  <si>
    <t>['107087']</t>
  </si>
  <si>
    <t>def triangle2(n):
    s = ""
    for i in range(1, n + 1):
        if i == n:
            break
        else:
            for j in range(1, n + 3 - i):
                s += str(j)
    return s</t>
  </si>
  <si>
    <t>def triangle2(dimension):
    s = ""
    i = 0
    for count in range(1,dimension+1):
        for x in range(1,count+1):
            s = s + str(x)
        i = i + 1
        if i &lt; dimension:
            s = s + "/n"
    return s</t>
  </si>
  <si>
    <t>def triangle2(dimension):
    s = ""
    for n in range(1,dimension+1)
      for x in range(n)
        s+=str(c+1)
      if n ==dimension
         continue
      s+'/n'
    return s</t>
  </si>
  <si>
    <t xml:space="preserve">def triangle2(dimension):
    s = ""
    for i in range(dimension):
        i = i + 1
        s = s + str(i)
        print(s, sep = "")
</t>
  </si>
  <si>
    <t>def triangle2(dimension):
    s = ""
    for s in range(1, dimension+1):
        for j in range(1, s+1):
            s+=1
            print(j, end = "")
        print()
    return s</t>
  </si>
  <si>
    <t xml:space="preserve">def triangle3(h):
    s = ""
    #add your code here
    for i in range(1,h + 1):
        gap = h - i
        s = s + " " *gap
        for z in range(1,i + 1):
            s = s + str(i)
        if i != h:
            s = s + '\n'
    return s
</t>
  </si>
  <si>
    <t>['107089", '107091']</t>
  </si>
  <si>
    <t>['107090']</t>
  </si>
  <si>
    <t>def triangle3(dimension):
    s = ""
    i = 0
    for count in range(1,dimension+1):
        s = s+(dimension-count)*
        for x in range(1,count+1):
            s = s+str(x)
        i = i + 1
        if i &lt; dimension:
            s = s+"\n"
    return s</t>
  </si>
  <si>
    <t>['107089", '107090", '107091']</t>
  </si>
  <si>
    <t>def triangle3(dimension):
    for i in range (1, dimension+1):
        for v in range (dimension-i):
            s += " "
        for x in range(1,i+1):
            s += str(x)
        if i != dimension:
            s += '\n'
    return s</t>
  </si>
  <si>
    <t>def check_validity(lst):
    evensum=0
    oddsum=lst[0]
    if len(lst) == 13:
        for i in range(2,11,2):
            evensum=evensum+lst[i]
        evensum=evensum*3
        for j in range(1,12,2):
            oddsum=oddsum+lst[j]
        abc=(oddsum+evensum)%10
        if abc == 0:
            abc=10
        else:
            abc=abc
        ans=10-abc
        if lst[12] == ans:
            return True
        else:
            return False
    else:
        return False</t>
  </si>
  <si>
    <t>['107153", '107160']</t>
  </si>
  <si>
    <t>['107149", '107150", '107151", '107152", '107154", '107155", '107156", '107157", '107158", '107159", '107161", '107162", '107163']</t>
  </si>
  <si>
    <t xml:space="preserve">def check_validity(lst):
    odd = []
    even = []
    if len(lst) != 13:
        return False
    check_digit = lst[-1]
    for a in range(0,len(lst) - 1,2):
        even.append(lst[a])
    for b in range(1,len(even),2):
        odd.append(lst[b])
    e = sum(even) * 3 + sum(odd)
    if e % 10 == 0:
        return True
    else:
        return False
</t>
  </si>
  <si>
    <t>['107149", '107153']</t>
  </si>
  <si>
    <t>['107150", '107151", '107152", '107154", '107155", '107156", '107157", '107158", '107159", '107160", '107161", '107162", '107163']</t>
  </si>
  <si>
    <t>def check_validity(lst):
    if len(lst) != 13:
        return False
    oddnum = evennum = 0
    check = lst.pop()
    for i in range(len(lst)):
        if i % 2:
            oddnum += lst[i]
        else:
            evennum += lst[i]
    something = evennum * 3 + oddnum + check
    if something % 10 == 0:
        return True
    else:
        return False</t>
  </si>
  <si>
    <t>['107149", '107153", '107158']</t>
  </si>
  <si>
    <t>['107150", '107151", '107152", '107154", '107155", '107156", '107157", '107159", '107160", '107161", '107162", '107163']</t>
  </si>
  <si>
    <t xml:space="preserve">def check_validity(lst):
    if len(lst) != 13:
        return False
    else:
        lel = 0
        for x in range(1,13,2):
            lel += lst[x]
        lel = (lel * 3)
        for y in range(0,12,2):
            lel += lst[y]
        lel = list(str(lel))
        gg = 0
        for j in lel:
            gg += int(j)
        gg = 10 - (gg % 10)
        if gg == lst[12]:
            return True
        else:
            return False
</t>
  </si>
  <si>
    <t>['107149", '107152", '107153", '107155']</t>
  </si>
  <si>
    <t>['107150", '107151", '107154", '107156", '107157", '107158", '107159", '107160", '107161", '107162", '107163']</t>
  </si>
  <si>
    <t xml:space="preserve">def check_validity(lst):
    if len(lst) != 13:
        ANS = False
    elif len(lst) == 13:
        sum = lst[1] + lst[3] + lst[5] + lst[7] + lst[9] + lst[11]
        sum2 = lst[0] + lst[2] +lst[4] + lst[6] + lst[8] + lst[10]
        sum3 = ((sum * 3) + sum2) % 10
        if 10 - sum3 == lst[12]:
            ANS = True
        else:
            ANS = False
    return ANS
</t>
  </si>
  <si>
    <t>['107152']</t>
  </si>
  <si>
    <t>['107149", '107150", '107151", '107153", '107154", '107155", '107156", '107157", '107158", '107159", '107160", '107161", '107162", '107163']</t>
  </si>
  <si>
    <t xml:space="preserve">def check_validity(lst):
    result = 0
    if len(lst) &lt; 13:
    return False
    for i in range(1,len(lst)-1,2):
        result = result + lst[i]*3 + lst[i-1]
    if (result + lst[-1]) % 10 == 0:
        return True
    else:
        return False
        </t>
  </si>
  <si>
    <t>['107149", '107150", '107151", '107152", '107153", '107154", '107155", '107156", '107157", '107158", '107159", '107160", '107161", '107162", '107163']</t>
  </si>
  <si>
    <t xml:space="preserve">def calculate_winner(lst, n):
    A_score=0
    B_score=0
    for count in range(len(lst)):
        if lst[0]=='A':
            A_score+=1
            if A_score&gt;=n:
                return str('A')
            lst=lst[1:]
            while lst[0]=='A':
                if lst[0]=='A':
                    A_score+=2
                    if A_score&gt;=n:
                        return str('A')
                    lst=lst[1:]
        elif lst[0]=='B':
            B_score+=1
            if B_score&gt;=n:
                return str('B')
            lst=lst[1:]
            while lst[0]=='B':
                if lst[0]=='B':
                    B_score+=2
                    if B_score&gt;=n:
                        return str('B')
                    lst=lst[1:]
        else:
            lst=lst[1:]
        return
</t>
  </si>
  <si>
    <t>['107164", '107165", '107167']</t>
  </si>
  <si>
    <t>['107166", '107168']</t>
  </si>
  <si>
    <t xml:space="preserve">def calculate_winner(lst, n):
    Ascore = 0
    Bscore = 0
    for i in lst:
        if i == 'A':
            Ascore += 1
            if prev == 'A':
                Ascore += 1
        elif i == 'B':
            Bscore += 1
            if prev == 'B':
                Bscore += 1
        prev = i
        if Ascore &gt;= n:
            return 'A'
        elif Bscore &gt;= n:
            return 'B'
    return None
</t>
  </si>
  <si>
    <t>['107164", '107165", '107166", '107167']</t>
  </si>
  <si>
    <t>['107168']</t>
  </si>
  <si>
    <t>def calculate_winner(lst, n):
    scoreA = 0
    scoreB = 0
    z = -1
    while scoreA &lt; n and scoreB &lt; n:
        z += 1
        if z == len(lst):
            break
        elif ord(lst[z]) == 65:
            scoreA += 1
        elif ord(lst[z]) == 66:
            scoreB += 1
        else:
            continue
    if scoreA &gt;= n:
        ANS = "A"
    elif scoreB &gt;= n:
        ANS = "B"
    else:
        ANS = "None"
    return ANS</t>
  </si>
  <si>
    <t>['107164", '107166", '107167", '107168']</t>
  </si>
  <si>
    <t>['107165']</t>
  </si>
  <si>
    <t>def calculate_winner(lst, n):
    pass</t>
  </si>
  <si>
    <t>def calculate_winner(lst, n):
    a = 0
    b = 0
    for i in range(len(lst)):
        if lst[i] == 'A':
            if lst[i-1] == 'A':
                a += 2
            else:
                a += 1
        elif lst[i] == 'B':
            if lst[i-1] == 'B':
                b += 2
            else:
                b += 1
        if a &gt;= 6:
            return 'A'
        elif b &gt;= 6:
            return 'B'
    return None</t>
  </si>
  <si>
    <t>['107165", '107166", '107167']</t>
  </si>
  <si>
    <t>['107164", '107168']</t>
  </si>
  <si>
    <t>import random
def createList(size):
    mylist = [] # Create an empty list
    sum = 0
    for i in range(50):
        mylist.append(random.randint(0,50))
    return mylist</t>
  </si>
  <si>
    <t>['107169']</t>
  </si>
  <si>
    <t>def createList(s):
    pass
    return [random.randint(0, 50) for i in range(s)]</t>
  </si>
  <si>
    <t>def createList(s):
    lst=s.append(random.randint(0,50))
    return lst</t>
  </si>
  <si>
    <t>import random
def createList(s):
    list1 = []
    count = 0
    while count &lt; s:
        list1 += random.randint(0,50)
        count += 1
    return list1</t>
  </si>
  <si>
    <t xml:space="preserve">def createList(s):
    s = range(0,51)
    return createList
    </t>
  </si>
  <si>
    <t>def createList(s):
    len(List(s)) = s
    List(s) =list(range(0, 50)
        return List(s)</t>
  </si>
  <si>
    <t>import random
def createList(s):
    alist=[]
    run=0
    while s&gt;run:
        n=random.randint(0,50)
        alist.append(n)
        run+=1
    pass</t>
  </si>
  <si>
    <t>import random
def createList(s):
    for i in range (s): 
        list1 = []
        list1.append(random.randint(0, 50))
    return list1</t>
  </si>
  <si>
    <t xml:space="preserve">import random
def createList(s):
    x=[]
    for count in range(s):
        x.append(random.randint(0,50))
    pass
    </t>
  </si>
  <si>
    <t xml:space="preserve">def createList(s):
    len(list) = s
    list[0 : 51]
    </t>
  </si>
  <si>
    <t xml:space="preserve">def createList(s):
    import random
    list1 = [random.randrange(0,50) for x in range(s)]
    return list 
    </t>
  </si>
  <si>
    <t xml:space="preserve">def SumAndAverage(mylist):
    s = (sum(myList))
    x = s / (len(myList))
    return s, x
    </t>
  </si>
  <si>
    <t>['107170", '107171']</t>
  </si>
  <si>
    <t>def SumAndAverage(mylist):
    x = len(mylist)
    y = x / len(mylist)
    return x, y</t>
  </si>
  <si>
    <t xml:space="preserve">def SumAndAverage(mylist):
    x=sum(mylist)
    print(x)
    y=(sum(mylist))/(len(mylist))
    print (y)
</t>
  </si>
  <si>
    <t>def numOcurrence(mylist, data):
    mylen = len(mylist)
    count = 0
    for i in range(0, mylen + 1):
        if mylist[i] == data:
            count += 1
    return count</t>
  </si>
  <si>
    <t>['107172", '107173", '107174']</t>
  </si>
  <si>
    <t>def numOcurrence(mylist, data):
    ans=0
    nseq=len(mylist)
    run=0
    while run&lt;nseq:
        npos=0
        if mylist[npos]==data:
            ans+=1
        else:
            ans+=0
        npos+=1
        run+=1
    return ans</t>
  </si>
  <si>
    <t>['107172", '107173']</t>
  </si>
  <si>
    <t>['107174']</t>
  </si>
  <si>
    <t>def numOcurrence(mylist, data):
    count(data:mylist)
    pass</t>
  </si>
  <si>
    <t xml:space="preserve">def  subset(list1, list2):
    list3 = list1 + list2
    z = 0
    if len(list2) &gt;= len(list1):
        for y in list1:
            z += 1
            if list3.count(y) == 2:
                if len(list1) == z:
                    c = "List 1 is a subset of list 2"
            else:
                c = "The two list are not subsets of each other"
    else:
        for b in list2:
            z += 1 
            if list3.count(b) == 2:
                if len(list2) == 2:
                    c = "List 2 is a subset of list 1"
            else:
                c = "The two list are not subsets of each other"
    return c
</t>
  </si>
  <si>
    <t>['107175", '107176", '107177", '107178", '107179", '107180']</t>
  </si>
  <si>
    <t>ans = 6</t>
  </si>
  <si>
    <t>['107182']</t>
  </si>
  <si>
    <t>list1 = [6, 2, 4, 0, 8, 5] #write down the elements inside the []</t>
  </si>
  <si>
    <t>['107184']</t>
  </si>
  <si>
    <t>items = [12, '65", '23", '1", '65", '2", '8'] #write down the elements inside the []</t>
  </si>
  <si>
    <t>['107185']</t>
  </si>
  <si>
    <t>x = 10
y = -999</t>
  </si>
  <si>
    <t>['107187']</t>
  </si>
  <si>
    <t>['107186']</t>
  </si>
  <si>
    <t>x = 10 
y = [1, 2, 3] 
m2(x, y) 
def m2(number, numbers):
        number = 1001 
        numbers[0] = -999</t>
  </si>
  <si>
    <t>['107186", '107187']</t>
  </si>
  <si>
    <t>list1 = [5 * x for x in range(1,21)]</t>
  </si>
  <si>
    <t>['107188']</t>
  </si>
  <si>
    <t>list1 = [x for x in range(0, 101) if x%5=0]</t>
  </si>
  <si>
    <t>list1 = [x*5 for x in range(1,21)]#fill your code here. The code should only be 1 line</t>
  </si>
  <si>
    <t>list1 = [5 * x for x in range(0,20) if x &lt;= 100]</t>
  </si>
  <si>
    <t>list1 = [x*5 for x in range(20)]</t>
  </si>
  <si>
    <t>list1 = [x for x in range(100)if x%5==0]</t>
  </si>
  <si>
    <t>list1 = list()
for i in range(0,101,5)
    list1.append(i)</t>
  </si>
  <si>
    <t>def shiftRight(list1):
    temp = list1[0]
    for i in range(len(list1)-2,-1,-1):
        list1[i+1]=list[i]
    list1[0] = temp    
    return list1</t>
  </si>
  <si>
    <t>['107191", '107192']</t>
  </si>
  <si>
    <t>def shiftRight(list1):
    return list1</t>
  </si>
  <si>
    <t>def shiftRight(list1):
    temp = list1[-1]
    for i in range(len(list1)):
        list1[i] = list1[i + 1]
    list1[0] = temp
    return list1</t>
  </si>
  <si>
    <t>def shiftRight(list1):
    temp = list1[0]
    for i in range(1, len(list1)):
        list1[i+1] = list1[i]
    list1[len(list1)-1]=temp
    return list1</t>
  </si>
  <si>
    <t>def shiftRight(list1):
    temp = list1[-1]
    x = list1.pop(len(list1) - 1)
    list1.insert(temp,0)
    return list1</t>
  </si>
  <si>
    <t>def shiftRight(list1):
     temp = lst[0] 
     for i in range(1, len(lst)):
         lst[i - 1] = lst[i]
    lst[len(lst) - 1] = temp
    return list1</t>
  </si>
  <si>
    <t>def shiftRight(list1):
    x  = list1.pop()
    list1 = list1 + [x]
    return list1</t>
  </si>
  <si>
    <t>mapping = [2, 3, 4, 5, 6, 7, 8, 9] 
def translate(tele_str):
    ans = ""
    for i in range(0, len(tele_str)):
        if tele_str[i].isdigit() == False:
            ans += str(tele_str[i])
        elif tele_str[i] == "a" or tele_str[i] == "b" or tele_str[i] == "c" or tele_str[i] == "A" or tele_str[i] == "B" or tele_str[i] == "C"::
            ans += "2"
        elif tele_str[i] == "c" or tele_str[i] == "d" or tele_str[i] == "e" or tele_str[i] == "C" or tele_str[i] == "D" or tele_str[i] == "E":
            ans += "3"
        elif tele_str[i] == "g" or tele_str[i] == "h" or tele_str[i] == "i" or tele_str[i] == "G" or tele_str[i] == "H" or tele_str[i] == "I":
            ans += "4"
        elif tele_str[i] == "j" or tele_str[i] == "k" or tele_str[i] == "l" or tele_str[i] == "J" or tele_str[i] == "K" or tele_str[i] == "L":
            ans += "5"
        elif tele_str[i] == "m" or tele_str[i] == "n" or tele_str[i] == "o" or tele_str[i] == "M" or tele_str[i] == "N" or tele_str[i] == "O":
            ans += "6"
        elif tele_str[i] == "p" or tele_str[i] == "q" or tele_str[i] == "r" or tele_str[i] == "s" or tele_str[i] == "P" or tele_str[i] == "Q" or tele_str[i] == "R" or tele_str[i] == "S":
            ans += "7"
        elif tele_str[i] == "t" or tele_str[i] == "u" or tele_str[i] == "v" or tele_str[i] == "T" or tele_str[i] == "U" or tele_str[i] == "V":
            ans += "8"
        elif tele_str[i] == "w" or tele_str[i] == "x" or tele_str[i] == "y" or tele_str[i] == "z" or tele_str[i] == "W" or tele_str[i] == "X" or tele_str[i] == "Y" or tele_str[i] == "Z":
            ans += "9"
    return ans
    pass</t>
  </si>
  <si>
    <t>['107193", '107194", '107195", '107196", '107197", '107198", '107199']</t>
  </si>
  <si>
    <t>mapping = ['A",'B",'C",'D",'E",'F",'G",'H",'I",'J",'K",'L",'M",'N",'O",'P",'Q",'R",'S",'T",'U",'V",'W",'X",'Y",'Z']
num = [2,2,2,3,3,3,4,4,4,5,5,5,6,6,6,7,7,7,7,8,8,8,9,9,9,9]
def translate(tele_str):
    num_str = ''
    tele_str.upper()
    tele_str = tele_str.upper()
    print(tele_str)
    for i in range(len(tele_str)):
         print(tele_str[i])
         for j in range(len(mapping)):
             if(tele_str[i] == mapping[j]):
                 num_str += str(num[j])
                # print(num_str)
    return num_str</t>
  </si>
  <si>
    <t>['107193", '107194", '107195", '107196", '107197", '107198']</t>
  </si>
  <si>
    <t>['107199']</t>
  </si>
  <si>
    <t xml:space="preserve">#fill up the list
mapping = [["a","b","c"],["d","e","f"],["g","h","i"],["j","k","l"],["m","n","o"],["p","q","r","s"],["t","u","v"],["w","x","y","z"]]
def translate(tele_str):
    tele_str = list(tele_str)
    for count in range(len(tele_str)):
        if tele_str[count].isalpha():
            if ord(tele_str[count]) &lt; 95:
                tele_str[count] = chr(ord(tele_str[count])+32)
            i = 0
            while tele_str[count] not in mapping[i]:
                i += 1
            else:
                continue
            tele_str[count] = i+1
    return ''.join(tele_str)
</t>
  </si>
  <si>
    <t>['107193", '107194", '107195", '107196", '107197", '107199']</t>
  </si>
  <si>
    <t>['107198']</t>
  </si>
  <si>
    <t>#fill up the list
mapping = [2, 2, 2, 3, 3, 3, 4, 4, 4, 5, 5, 5, 6, 6, 6, 7, 7, 7, 7, 8, 8, 8, 9, 9, 9, 9]
def translate(tele_str):
    str_1 = tele_str.lower()
    str_x = ""
    for i in range(len(str_1)): 
        if str_1[i].islower == True: 
            str_x += str(mapping[ord(str_1[i]) - 97])
        else: 
            str_x += str(str_1[i])
        return str_x</t>
  </si>
  <si>
    <t>def convert16Bit(decimal):
    s = '{0:b}'.format(decimal)
    s = s.zfill(16)
    print(s)</t>
  </si>
  <si>
    <t>['107200", '107201", '107202']</t>
  </si>
  <si>
    <t>def convert16Bit(decimal):
    ans = bin(decimal)[2:]
    res = ans.zfill(16)</t>
  </si>
  <si>
    <t>""" store the final answer in a variable named result """
number1 = eval(input("Enter a temperature in Fahreheit: "))
result = (number1-32)*5/9
print("The temperature in Celsius is", result)</t>
  </si>
  <si>
    <t>""" store the final answer in a variable named result """
fah = float(input("enter temperature"))
#T(C) = (T(F) - 32)  5/9
result = (fah - 32) * 5/9
print(result)</t>
  </si>
  <si>
    <t>""" store the final answer in a variable named result """
result = (int(input(""))-32)*5/9</t>
  </si>
  <si>
    <t>""" store the final answer in a variable named result """
Fah = eval(input("Enter Fahrenheit: "))
result = (Fah-32)*(5/9)
print(result)</t>
  </si>
  <si>
    <t>""" store the final answer in a variable named result """
fahrenheit = eval(input("Enter Temperature in Fahrenheit:"))
celcius = (fahrenheit - 32) * 5 / 9
result = celcius
print(result)</t>
  </si>
  <si>
    <t>""" store the final answer in a variable named result """
T = int(input("Enter temperature in Fahreheit:"))
result = (T-32)*(5/9)
print(result)</t>
  </si>
  <si>
    <t>F=float(input(""))
result=(F - 32) * 5/9</t>
  </si>
  <si>
    <t>""" store the final answer in a variable named result """
F=int(input("Enter temperature in Fahrenheit:"))
result=(F-32)*(5/9)
print(result)</t>
  </si>
  <si>
    <t>""" store the final answer in a variable named result """
f = eval(input("Enter temperature in Fahrenheit:"))
result = (f - 32) * (5/9)
print(result)</t>
  </si>
  <si>
    <t>""" store the final answer in a variable named result """
F=int(input("Temperature in Fahrenheit:"))
C=(F-32)*5/9
result=C
print(result)</t>
  </si>
  <si>
    <t xml:space="preserve">""" store the final answer in a variable named result """
f=float(input("enter temperature"))
result = (f-32)*5/9
print (result)
</t>
  </si>
  <si>
    <t>""" store the final answer in a variable named result """
x=eval(input("Enter temperature in Fahrenheit:"))
result=(x-32)*(5/9)
print(result)</t>
  </si>
  <si>
    <t>""" store the final answer in a variable named result """
tempFar = eval(input("Temperature in Fahrenheit:"))
result = (tempFar - 32) * 5 / 9</t>
  </si>
  <si>
    <t>fah=float(input("enter temperature"))
#T(C) = (T(F) - 32) * 5/9
result=(fah - 32)* 5/9
print(result)</t>
  </si>
  <si>
    <t>#""" store the final answer in a variable named result """
fahrenheit=input("Enter temperature in Fahrenheit: ")
result = (fahrenheit - 32) * 5 / 9
print(result)</t>
  </si>
  <si>
    <t>""" store the final answer in a variable named result """
farenheit = input ("Enter farenheit")
result = (farenheit - 32) * 5/9</t>
  </si>
  <si>
    <t>fah=float(input("enter temperature"))
result= (fah - 32) * 5/9
print (result)</t>
  </si>
  <si>
    <t xml:space="preserve">fa = eval(input('Enter temperature in Farenheit: '))
result = (fa -32) * 5/9
print('The tmeperature in Celsius is ", result)
</t>
  </si>
  <si>
    <t xml:space="preserve">Farenheit = eval ( input ( " Farenheit : ") )
result = ( Farenheit - 32 ) * 5 / 9
print ( result )
</t>
  </si>
  <si>
    <t>F = eval(input(""))
result = ((F - 32) * 5 / 9)
print(result)</t>
  </si>
  <si>
    <t>""" store the final answer in a variable named result """
Farenheit = eval(input("Enter a value for temperature in Farenheit : "))
result = (Farenheit-32)* 5/9
print ("The temperature in celsius is", result)</t>
  </si>
  <si>
    <t>tempF = eval(input("Enter Temperature in Farenheit: "))
result = ((tempF-32)*(5/9))
print(result)</t>
  </si>
  <si>
    <t>T= eval(input("Enter a value for Temperature in Fahrenheit: "))
result = (T - 32) * 5/9
print ("The Temperature in Degrees Celcius is", result)</t>
  </si>
  <si>
    <t xml:space="preserve">""" store the final answer in a variable named result """
a = int(input("Enter temperature in Farenheit: "))
a = (a - 32) * 5/9
result = a
print (result, "celsius")
</t>
  </si>
  <si>
    <t>a = eval(input("enter fahrenheit "))
result = (a - 32) * (5 / 9)
print(result)</t>
  </si>
  <si>
    <t xml:space="preserve">""" store the final answer in a variable named result """
F = eval(input("Enter temperature in Farenheit:"))
C = (F -32)*5/9
result = C
print(result)
</t>
  </si>
  <si>
    <t>result = (eval(input("Blah ")) - 32) * (5/9)</t>
  </si>
  <si>
    <t>""" store the final answer in a variable named result """
fahrenheit = float(input("Enter the temperature in Fahrenheit."))
result = (fahrenheit - 32) * 5 / 9
print(result)</t>
  </si>
  <si>
    <t>x = eval(input("Input temperature: "))
result = (x-32) * (5/9)</t>
  </si>
  <si>
    <t>""" store the final answer in a variable named result """
F= int(input("Please enter the temp in Fahrenheit."))
result = (F - 32)*5/9
print(result)</t>
  </si>
  <si>
    <t>""" store the final answer in a variable named result """
Fahrenheit = input("Please input a temperature in Farenheit")
result = (int(Fahrenheit) - 32)*5/9</t>
  </si>
  <si>
    <t>F=eval(input("Enter the temperature in fahrenheit:"))
result= (F-32)*(5/9)</t>
  </si>
  <si>
    <t>""" store the final answer in a variable named result """
divyesh=input("")
result=(divyesh-32)*5/9</t>
  </si>
  <si>
    <t>""" store the final answer in a variable named result """
fahrenheit = eval(input("Enter the temperature in Fahrenheit"))
result = (fahrenheit - 32) * (5 / 9)
ans = result</t>
  </si>
  <si>
    <t>fah=float(input("enter temperature"))
#T(C)=T(F-32) = 5/9
result=(fah-32)*5/9
print(result)</t>
  </si>
  <si>
    <t>number1 = eval(input(
    "Enter temperature in Fahrenheit: "))
result=((number1 - 32)*(5 / 9))
print("The temperature is Celsius degree ")
print(result)</t>
  </si>
  <si>
    <t>""" store the final answer in a variable named result """
T =int(input("enter temperature in Fahrenheit:"))
result = (T - 32)*5/9
print("the temperature in Celsius is", result)</t>
  </si>
  <si>
    <t xml:space="preserve">f=eval(input('enter a value for fahrenheit:'))
c=(f-32)*5/9
print('the celsius value is",c)
result=c
</t>
  </si>
  <si>
    <t>""" store the final answer in a variable named result """
x = eval(input("Temperature in Fahrenheit"))
result = (x - 32) * 5 / 9</t>
  </si>
  <si>
    <t xml:space="preserve">""" store the final answer in a variable named result """
fah = float(input("enter temperature"))
#32T(C) = (T(F) - 32)  5/9
result = (fah - 32) * 5/9
print(result)
</t>
  </si>
  <si>
    <t>tmp_f = int(input('please enter temperature in farenheit: '))
result = ((tmp_f-32)*(5/9))
print(result)</t>
  </si>
  <si>
    <t xml:space="preserve">F = eval(input("Enter Temperature in Farenheit: "))
result = (F - 32) * 5/9
print("The temperature in Celsius is", result)
</t>
  </si>
  <si>
    <t>""" store the final answer in a variable named result """
tempF=float(input("Temperature in Fahrenheit: "))
result= (tempF-32)*(5/9)</t>
  </si>
  <si>
    <t>#Prompt user to enter temperature in Fahrenheit
Fahrenheit=input("Temperature in Fahrenheit: ")
#Calculate temperature in Celsius
result=(Fahrenheit-32)*5/9
print(result)</t>
  </si>
  <si>
    <t>x=(eval(input("enter temperature in Fahrenheit")))
result = (x-32)*5/9
print(result)</t>
  </si>
  <si>
    <t>""" store the final answer in a variable named result """
fah=input("enter your amount: ")
result= (fah-32)*(5/9)</t>
  </si>
  <si>
    <t>""" store the final answer in a variable named result """
x=eval(input("Enter tempertature in Fahrenheit:"))
result=(x-32)*(5/9)</t>
  </si>
  <si>
    <t>""" store the final answer in a variable named result """
F= eval( input ("enter temperature in Fahrenheit"))
result= (F-32) * 5 / 9
print (result)</t>
  </si>
  <si>
    <t>""" store the final answer in a variable named result """
Fahrenheit=eval(input("Enter temperature in Fahrenheit: "))
result=(Fahrenheit-32)*5/9
print(result)</t>
  </si>
  <si>
    <t xml:space="preserve">fah=float(input("enter temperature"))
#T(C)=T(F-32)=5/9
result=(fah-32)*5/9
print(result)
</t>
  </si>
  <si>
    <t>farenheit=eval(input("farenheit: "))
result=(farenheit-32)*5/9</t>
  </si>
  <si>
    <t>""" store the final answer in a variable named result """
num1 = eval(input("Enter a value for temperature "))
ans = (num1 -32) *5 / 9
print (ans)
result = ans</t>
  </si>
  <si>
    <t>fah = float(input("enter temperature"))
result = (fah - 32)  * 5/9
print(result)</t>
  </si>
  <si>
    <t>""" store the final answer in a variable named result """
fara = eval(input("Enter temperature in Faranheit"))
result = (fara - 32) * (5/9)</t>
  </si>
  <si>
    <t>""" store the final answer in a variable named result """
Fahr = eval(input("Please enter Temperature in Fahrenheit(F): "))
result = (Fahr-32)*(5/9)
print("The temperature in Celsius(C) is: ", result)</t>
  </si>
  <si>
    <t>temp = eval(input("enter a value for temp: "))
result = (temp - 32) * 5/9</t>
  </si>
  <si>
    <t>temp_f = eval(input("Temp. in Farenheit "))
result = (temp_f - 32) * 5 / 9
print("Tem. in Celsius is ", result)</t>
  </si>
  <si>
    <t>temp = eval(input("enter a value for temp: "))
result =( temp - 32 )* 5/9</t>
  </si>
  <si>
    <t>""" store the final answer in a variable named result """
temperature = float(input("Enter temperature in Fahrenheit: "))
result = (temperature - 32) * 5/9
print(result)</t>
  </si>
  <si>
    <t xml:space="preserve">a = eval (input (" enter a Fahreheit temperature:  "))    
result = (a - 32) * 5/9
print("The temperature in Celsius, is ")
</t>
  </si>
  <si>
    <t>""" store the final answer in a variable named result """
Fahrenheit = input("Enter temperature in Fahrenheit")
result = (Fahrenheit-32)*5/9</t>
  </si>
  <si>
    <t xml:space="preserve">i = int(input("Enter a temperature in Fahrenheit"))
result = (i - 32) * 5.0/9.0
print (result)
</t>
  </si>
  <si>
    <t xml:space="preserve">v = input("Enter temperature in Fahrenheit")
result = (v - 32)* 5/9
print(result)        </t>
  </si>
  <si>
    <t>""" store the final answer in a variable named result """
faren = int(input("Enter Farenheit:"))
result = (faren-32)*5/9</t>
  </si>
  <si>
    <t>""" store the final answer in a variable named result """
ftemp = int(input("Enter Temperature in Farenheit: "))
ctemp = (ftemp-32)*5/9
result = ctemp
print (result)</t>
  </si>
  <si>
    <t>""" store the final answer in a variable named result """
Fah=int(input("Please input an integer:"))
result=(Fah-32)*5/9
print(result)</t>
  </si>
  <si>
    <t xml:space="preserve">""" store the final answer in a variable named result """
F=int(input("Enter temperature in Fahrenheit:"))
result=(F-32)*5/9
print (result)
</t>
  </si>
  <si>
    <t>""" store the final answer in a variable named result """
x=eval(input("please enter the temperature in Fahrenheit"))
result=(x-32)*5/9
print(result)</t>
  </si>
  <si>
    <t>""" store the final answer in a variable named result """
x=(input("Temperature in Fahrenheit"))
result=(int(x)-32)*5/9
print(result)</t>
  </si>
  <si>
    <t xml:space="preserve">""" store the final answer in a variable named result """
f= eval(input("Temperature in Fahrenheit"))
result = (f-32)*5/9
print(result)
</t>
  </si>
  <si>
    <t xml:space="preserve">fah = (float(input("input temperature")))
result = (fah - 32) * 5/9
print(result)
</t>
  </si>
  <si>
    <t>""" store the final answer in a variable named result """
y = eval(input("Enter temperature in Farenheit"))
result = (y-32)*5/9</t>
  </si>
  <si>
    <t>""" store the final answer in a variable named result """
farenheit=int(input("Enter n:"))
result=(farenheit-32)*5/9</t>
  </si>
  <si>
    <t>x = int(input("input temperature in Fahrenheit: "))
result = (x-32) * (5/9)
print (result)</t>
  </si>
  <si>
    <t xml:space="preserve">""" store the final answer in a variable named result """
f=eval(input("Enter temperature in fahrenheit:"))
c=(f-32)*5/9
result=c
print(result)
</t>
  </si>
  <si>
    <t xml:space="preserve">fah = float(input("enter temperature"))
result = (fah -32) * 5/9
</t>
  </si>
  <si>
    <t>""" store the final answer in a variable named result """
T= int(input('enter temperature in Fahrenheit: '))
result=(T-32)*(5/9)
print(result)</t>
  </si>
  <si>
    <t>Fahrenheit = int(input("Enter a value for temperature in Fahrenheit: "))
result = (Fahrenheit - 32) * (5 / 9)
print(result)</t>
  </si>
  <si>
    <t xml:space="preserve">""" store the final answer in a variable named result """
Fahrenheit = eval(input ("Enter a value for Farenheit: ")) 
result = ( Fahrenheit - 32 )* 5/9
print ( result )
</t>
  </si>
  <si>
    <t>""" store the final answer in a variable named result """
fah = eval(input("Input degree fahrenheit: "))
cel = (fah-32)*(5/9)
result = cel
print(result)</t>
  </si>
  <si>
    <t>""" store the final answer in a variable named result """
F = eval(input("Please enter a value for the temperature in Farenheit: "))
result = eval((F - 32) * (5 / 9))
print (result)</t>
  </si>
  <si>
    <t xml:space="preserve">""" store the final answer in a variable named result """
f = input("")
result = (f - 32) * 5/9
print(result)
</t>
  </si>
  <si>
    <t>x = float(input('asks user to enter temperature in Fahrenheit'))
result = (x - 32)*(5/9)</t>
  </si>
  <si>
    <t>number = eval ( input ( "Enter your temperature , in Fahrenheit: " ))
result = ( number - 32 )* (5/9)
print (result)
""" store the final answer in a variable named result """</t>
  </si>
  <si>
    <t>""" store the final answer in a variable named result """
F = int(input("Enter degrees in Farenheit:"))
result = (F - 32) * 5/9</t>
  </si>
  <si>
    <t>""" store the final answer in a variable named result """
tempf = eval( input ("Temperature in Farenheit:") )
result = (tempf - 32) * (5 / 9)
print(result)</t>
  </si>
  <si>
    <t>""" store the final answer in a variable named result """
TFahrenheit = eval(input("Enter a value for TFahrenheit: "))
TCelsius = (TFahrenheit - 32) * 5/9
result = TCelsius
print ("result")</t>
  </si>
  <si>
    <t>""" store the final answer in a variable named result """
a=int(input("Enter temperature in Fahrenheit. "))
result=(a-32)*5/9</t>
  </si>
  <si>
    <t>""" store the final answer in a variable named result """
T= int(input('enter temperature in Fahrenheit:'))
result = (T-32)*(5/9)
print(result)</t>
  </si>
  <si>
    <t>f = float(input("enter temperature"))
result = (f - 32) * 5/9
print(result)</t>
  </si>
  <si>
    <t xml:space="preserve">""" store the final answer in a variable named result """
Temp = input("Temp in Fahrenheit: ")
result=(Temp-32)*(5/9)
</t>
  </si>
  <si>
    <t>string1 = input("Enter ur name: ")
string2 = input("Enter ur age: ")
result = ("My friend "+ string1+  " is " + string2 + " years old.")
print(result)</t>
  </si>
  <si>
    <t xml:space="preserve">""" store your answer in a variable named result """
name = input("What is your name")
age =  input("What is your age")
result = "My friend " + name + " is " + age + " years old."
print(result)
</t>
  </si>
  <si>
    <t xml:space="preserve">""" store your answer in a variable named result """
result = "My friend %s is %s years old." % (input(""), input(""))
</t>
  </si>
  <si>
    <t>""" store your answer in a variable named result """
nam = input("Enter your name: ")
age = input("Enter your age: ")
result = "My friend " + nam + " is " + age + " years old."
print(result)</t>
  </si>
  <si>
    <t>name = input("Enter your name:")
age = input("Enter your age:")
result = "My friend " + name + " is " + age + " years old."
print(result)</t>
  </si>
  <si>
    <t xml:space="preserve">""" store your answer in a variable named result """
name = input("Enter your name:")
age = input("Enter your age:")
result = "My friend " + name + " is " + age + " years old."
print(result)
</t>
  </si>
  <si>
    <t>name=(input('enter name:'))
age=str(input('enter age:'))
result="My friend "+name+" is "+age+" years old."
print(result)</t>
  </si>
  <si>
    <t>name=input("name: ")
age=input("age: ")
result= "My friend " + name + " is " + age +  " years old."
print(result)</t>
  </si>
  <si>
    <t xml:space="preserve">""" store your answer in a variable named result """
name=input("Enter your name:")
age=input("Enter your age:")
result="My friend "+name+" is "+age+" years old."
print(result)
</t>
  </si>
  <si>
    <t>""" store your answer in a variable named result """
name = input("What is your name?")
age = input("How old are you?")
result = ("My friend " + name + " is " + age + " years old.")
print(result)</t>
  </si>
  <si>
    <t xml:space="preserve">""" store your answer in a variable named result """
n=input("What is your name:")
a=input("What is your age:")
result="My friend"+" "+(n)+" "+"is"+" "+(a)+" "+"years old."
print(result)
</t>
  </si>
  <si>
    <t>""" store your answer in a variable named result """
n=str(input("input name:"))
a=str(input("input age:"))
result=("My friend "+n+" is "+a+" years old.")
print(result)</t>
  </si>
  <si>
    <t>""" store your answer in a variable named result """
x=input("n")
y=input("M")
result="My friend " + x + " is " + y + " years old."</t>
  </si>
  <si>
    <t>""" store your answer in a variable named result """
name = input ("Enter your name: ")
age = input ("Enter yor age: ")
result = "My friend " + name+" is "+age+" years old."
print (result)</t>
  </si>
  <si>
    <t>x = input("Enter a value for name: ")
y = input("Enter a value for age: ")
result = "My friend " + x + " is " + y + " years old."
print(result)</t>
  </si>
  <si>
    <t xml:space="preserve">#""" store your answer in a variable named result """
name = input("Enter your name: ")
age = input("Enter your age: ")
result = "My friend " + name + " is " + age + " years old."
print(result)
</t>
  </si>
  <si>
    <t>""" store your answer in a variable named result """
name = input ("Enter name")
age = input ("Enter age")
result = "My friend " + name + " is " + age + " years old."
print (result)</t>
  </si>
  <si>
    <t>name=input("enter name: ")
age=input("enter age: ")
result="My friend "+name+" is "+age+" years old."
print (result)</t>
  </si>
  <si>
    <t xml:space="preserve">name = input('Enter yout name: ')
age = input('Enter your age: ')
result = 'My friend ' + name + ' is ' + age + ' years old.'
print(result)
</t>
  </si>
  <si>
    <t xml:space="preserve">name = str(input("Enter name"))
age = input ("Enter age")
result = ("My friend " + name +" is " + age + " years old.") 
print (result)
</t>
  </si>
  <si>
    <t xml:space="preserve">name = eval(input("Enter ur name pls: "))
age = eval(input("Enter ur age pls: "))
result = ("My friend " + name + " is " + age + " years old.")
print(result)
</t>
  </si>
  <si>
    <t>""" store your answer in a variable named result """
name=(input("Enter your name:"))
age=(input("Enter your age:"))
result = "My friend "+name+" is "+age+" years old."
print(result)</t>
  </si>
  <si>
    <t>""" store your answer in a variable named result """
name = input("Enter your name: ")
age = input("Enter your age: ")
result = "My friend " + name + " is " + age + " years old."
print (result)</t>
  </si>
  <si>
    <t>name= input("name: ")
age= (input("Enter a value for age: "))
result = "My friend " + name + " is " + age + " years old."
print (result)</t>
  </si>
  <si>
    <t xml:space="preserve">""" store your answer in a variable named result """
name = input("name: ")
age = input("age: ")
result = "My friend "+ name +' is '+ age +' years old.' 
print(result)
</t>
  </si>
  <si>
    <t xml:space="preserve">a = input("enter name ")
b = input("enter age ")
result = "My friend " + a + " is " + b + " years old."
print(result)
</t>
  </si>
  <si>
    <t xml:space="preserve">""" store your answer in a variable named result """
a = input("Enter your name:")
b = input("Enter your age:")
result = "My friend " + a + " is " + b + " years old."
print(result)
</t>
  </si>
  <si>
    <t xml:space="preserve">name = input("What is your name? ")
age = input("What is your age? ")
result = "My friend %s is %s years old." % (name,age)
print (result)
</t>
  </si>
  <si>
    <t xml:space="preserve">""" store your answer in a variable named result """
name = input("What's your name?")
age = input("What's your age?")
result = "My friend "+name+" is "+age+" years old."
print(result)
</t>
  </si>
  <si>
    <t xml:space="preserve">name = str(input("Enter your name please: " ))
age = str(input("Enter your age please: " ))
result = "My friend " + name +" is "+ age +" years old."
</t>
  </si>
  <si>
    <t>""" store your answer in a variable named result """
name = input("Your name")
age = input("Your age")
result = "My friend "+ name +" is "+ age +" years old."
print(result)</t>
  </si>
  <si>
    <t>""" store your answer in a variable named result """
Name = input("Please enter your name")
Age = input ("Please enter your age")
result = 'My friend %s is %s years old.' % (Name,Age)</t>
  </si>
  <si>
    <t>""" store your answer in a variable named result """
name = input("Enter the Name: ")
age=input("Enter the age: ")
result='My friend '+name + ' is ' +str(age) + ' years old.'
print(result)</t>
  </si>
  <si>
    <t xml:space="preserve">""" store your answer in a variable named result """
name =(input("Enter name"))
age = (input("Enter age"))
result = ("My friend " + name  + " is " + age + " years old.")
print(result)
</t>
  </si>
  <si>
    <t xml:space="preserve">""" store your answer in a variable named result """
name = input ("Please enter your name")
age = input ("Please enter your age")
result = "My friend " + name + " is " + age + " years old."
ans = print (result)
</t>
  </si>
  <si>
    <t xml:space="preserve">""" store your answer in a variable named result """
name,age = input("Enter your name"),input("Enter your age")
result = "My friend " + name + " is " + age + " years old."
print (result)
</t>
  </si>
  <si>
    <t>name = (input(
    "Enter your name: "))
age = eval(input(
    "Enter your age: "))
result =("My friend %s is %s years old.") %(name,age)
print(result)</t>
  </si>
  <si>
    <t>""" store your answer in a variable named result """
T=eval(input("Your name:"))
A=eval(input("Your age:"))
result="My friend "+T+" is "+A+" years old."
print(result)</t>
  </si>
  <si>
    <t xml:space="preserve">n=(input('enter your name:'))
a=(input('enter your age:'))
result='My friend '+ n +' is '+ a +' years old.'
print (result)
</t>
  </si>
  <si>
    <t>""" store your answer in a variable named result """
name = input("Enter your name")
age = input("Enter your age")
result = "My friend " + name + " is " + age + " years old."
print (result)</t>
  </si>
  <si>
    <t xml:space="preserve">""" store your answer in a variable named result """
name = str(input(" enter name" ))
age = str(input(" enter age" ))
result = "My friend " + name + " is " + age + " years old."
print(result)
</t>
  </si>
  <si>
    <t xml:space="preserve">""" store your answer in a variable named result """
name = input('enter your name:')
age = input('enter your age:')
result = "My friend "+name+" is "+age+" years old."
</t>
  </si>
  <si>
    <t xml:space="preserve">name = input("What's your name: ")
age = input ("What's your age: ")
result = "My friend " + name + " is " + age + " years old."
print(result)
</t>
  </si>
  <si>
    <t xml:space="preserve">""" store your answer in a variable named result """
name=input("What is your name?")
age=input("What is your age")
result="My friend "+name+" is "+age+" years old."
</t>
  </si>
  <si>
    <t xml:space="preserve">#prompt user to enter name
name=input("My name is: ")
#prompt user to enter age
age=input("My age is: ")
result="My friend " +name+ " is " +age+ " years old."
print(result)
</t>
  </si>
  <si>
    <t xml:space="preserve">name = str(input("Enter their name: "))
age = str(input("Enter their age: "))
result = "My friend " + name + " is " + age + " years old."
print(result)
</t>
  </si>
  <si>
    <t xml:space="preserve">name = input("What is your name:  ") 
age = input("What is your age:  ")
result = ("My friend " + name + " is " + age + " years old.")
</t>
  </si>
  <si>
    <t>""" store your answer in a variable named result """
Name = input("Enter your name: ")
Years = input("Enter your age: ")
result = "My friend " + Name + " is " + Years + " years old."
print (result)</t>
  </si>
  <si>
    <t>""" store your answer in a variable named result """
name=eval(input("Enter your name: "))
age=eval(input("Enter your age: "))
result="My friend "+str(name)+" is "+str(age)+" years old."
print(result)</t>
  </si>
  <si>
    <t xml:space="preserve">name,age = input("Enter your name"),input("Enter your age")
result=("My friend "+ name+ " is "+ age+ " years old.")
print(result)
</t>
  </si>
  <si>
    <t>""" store your answer in a variable named result """
name=input("name: ")
age=input("age: ")
result="My friend "+name+" is "+age+" years old."</t>
  </si>
  <si>
    <t xml:space="preserve">num1 = input("Enter your name ")
num2 = eval(input("Enter your age "))
result = "My friend " + str(num1) + " is " + str(num2) + " years old."
print (result)
</t>
  </si>
  <si>
    <t>name = input("enter name")
age = input("enter age")
result = "My friend " + name + " is " + age + " years old."
print(result)</t>
  </si>
  <si>
    <t xml:space="preserve">""" store your answer in a variable named result """
name = eval(input("Enter your ugly name"))
age = eval(input("Enter your ugly age"))
one = "My friend "
two = " is "
three = " years old."
result = one + name + two + age + three </t>
  </si>
  <si>
    <t xml:space="preserve">""" store your answer in a variable named result """
Name, Age = str(input("Please enter your name: ")), eval(input("Please enter your age: "))
result = "My friend " + str(Name) + " is " + str(Age) + " years old."
print(result)
</t>
  </si>
  <si>
    <t>name = input("Enter name: ")
age = input("Enter age: ")
result = "My friend " + name + " is " + age + " years old."
print(result)</t>
  </si>
  <si>
    <t xml:space="preserve">name = input("Name: ")
age = input("Age: ")
result = "My friend " + name + " is " + age + " years old."
print(result)
</t>
  </si>
  <si>
    <t>name = input("Enter name: ")
age = input("Enter name: ")
result = "My friend " + name + " is " + age + " years old."
print(result)</t>
  </si>
  <si>
    <t>""" store your answer in a variable named result """
name = input("Enter name: ")
age = input("Enter age: ")
result = "My friend " + name + " is " + age + " years old."
print(result)</t>
  </si>
  <si>
    <t xml:space="preserve">a = input(" enter your name: ")
b = input(" enter your age: ")
result = ("My friend "+ a+ " is "  +b+ " years old.")
print (result)
</t>
  </si>
  <si>
    <t>""" store your answer in a variable named result """
name = input("enter name:")
age = input("enter age:")
result = "My friend "+name+" is "+age+" years old."
print(result)</t>
  </si>
  <si>
    <t>""" store your answer in a variable named result """
name = input("Enter your name: ")
age = input("Enter your age: ")
result = ("My friend %s is %s years old.") % (name,age)
print (result)</t>
  </si>
  <si>
    <t xml:space="preserve">
x=input("Enter your name")
y=str(int(input("Enter your age")))
result='My friend '+x+' is '+y+' years old.'
print(result)</t>
  </si>
  <si>
    <t xml:space="preserve">""" store your answer in a variable named result """
name = (input("Enter Name:"))
age = (input("Enter Age"))
result = "My friend "+ name +" is " + age + " years old."
print (result)
</t>
  </si>
  <si>
    <t>""" store your answer in a variable named result """
name = input ("What is ur name?")
age = input ("What is ur age?")
result = "My friend " + name + " is " + age + " years old."
print(result)</t>
  </si>
  <si>
    <t>""" store your answer in a variable named result """
name=(input("Name:"))
age=(input("age:"))
result='My friend ' + name + ' is ' + age +' years old.'
print(result)</t>
  </si>
  <si>
    <t xml:space="preserve">""" store your answer in a variable named result """
name = str(input("Enter your name:"))
age = str(input("Enter your age:"))
result = ("My friend " + name + " is "+ age + " years old.")
print(result)
</t>
  </si>
  <si>
    <t>""" store your answer in a variable named result """
name=input("What is your name?")
age=input("What about your age?")
result="My friend "+name+" is "+age+" years old."
print(result)</t>
  </si>
  <si>
    <t>""" store your answer in a variable named result """
x=(input("Enter name"))
y=(input("Enter age"))
result=('My friend '+x+' is '+y+' years old.')
print(result)</t>
  </si>
  <si>
    <t>""" store your answer in a variable named result """
name=eval(input("Your name:"))
age=eval(input("Your age:"))
result="My friend "+name+" is "+age+" years old."
print(result)</t>
  </si>
  <si>
    <t>name = str(input("name plez"))
age = str(input("age plez"))
result =  "My friend " + name +' is '+ age + ' years old.'
print(result)</t>
  </si>
  <si>
    <t xml:space="preserve">""" store your answer in a variable named result """
x = str(input("Enter your name"))
y = str(input("Enter your age"))
result = "My friend " + x +" is "+ y +" years old."
</t>
  </si>
  <si>
    <t>""" store your answer in a variable named result """
name=input("Enter name:")
age=input("Enter age:")
result=("My friend " +name+ " is " +age+ " years old.")
print(result)</t>
  </si>
  <si>
    <t>x = input("enter your name: ")
y = input("enter your age: ")
result = 'My friend ' + x + ' is ' + y + ' years old.'
print(result)</t>
  </si>
  <si>
    <t xml:space="preserve">
name = str(input("Enter your name:"))
age = str(input("Enter your age:"))
result = "My friend "+name+" is "+age+" years old."
print(result)
</t>
  </si>
  <si>
    <t xml:space="preserve">name = (input("enter name"))
age = (input("enter age"))
result = "My friend " + name + " is " + age + " years old."
</t>
  </si>
  <si>
    <t xml:space="preserve">""" store your answer in a variable named result """
name=(input('enter your name:'))
age=str(input('enter your age:'))
result= "My friend "+name+" is "+age+" years old."
print(result)
</t>
  </si>
  <si>
    <t xml:space="preserve">name=input("Enter your name:")
age=input("Enter your age:")
result=("My friend "+name+ " is "+age+" years old.")
print (result)
</t>
  </si>
  <si>
    <t xml:space="preserve">""" store your answer in a variable named result """
Name = str(input("Your Name: "))
Age = int(input("Your Age: "))
result = "My friend "+Name+" is "+str(Age)+" years old."
print(result)
</t>
  </si>
  <si>
    <t xml:space="preserve">""" store your answer in a variable named result """
name = input("Please enter your name: ")
age = input("Please enter your age: ")
result = "My friend " + name + " is " + age + " years old."
print(result)
</t>
  </si>
  <si>
    <t>""" store your answer in a variable named result """
n = input("Name: ")
a = input("Age: ")
result = "My friend " + n + " is " + a + " years old."
print(result)</t>
  </si>
  <si>
    <t xml:space="preserve">x = input("asks user to enter their name")
y = input("asks user to enter their age")
result = "My friend " + x + " is " + y + " years old."
print(result)
</t>
  </si>
  <si>
    <t xml:space="preserve">name = input("Enter your name : ")
age = input("Enter your age : ")
result = "My friend " + name + " is " + age + " years old."
print (result)
""" store your answer in a variable named result """
</t>
  </si>
  <si>
    <t xml:space="preserve">""" store your answer in a variable named result """
name = input("Enter your name:")
age  = input("Enter your age:")
result = "My friend "+name+" is "+age+" years old."
</t>
  </si>
  <si>
    <t>""" store your answer in a variable named result """
name = eval( input ("Your name please:") )
age = eval( input ("Your age please:") )
result = "My friend " + name + " is " + age + " years old."
print(result)</t>
  </si>
  <si>
    <t xml:space="preserve">name = input ("Enter a value for name: ")
age = input ("Enter a value for age: ")
result = "My friend "  +  name  +  " is "  +  age  +  " years old."
print (result)
</t>
  </si>
  <si>
    <t>""" store your answer in a variable named result """
name=input("Type your name here.")
age=input("Type your age here.")
result="My friend " +name+ " is " +age+ " years old."
print(result)</t>
  </si>
  <si>
    <t xml:space="preserve">""" store your answer in a variable named result """
name =(input('enter their name: '))
age =str(input('enter their age: '))
result= "My friend " +name+" is "+age+" years old."
print(result)
</t>
  </si>
  <si>
    <t xml:space="preserve">n = input("Enter name")
a = input("Enter age")
result = "My friend " + n + " is " + a + " years old."
print(result)
</t>
  </si>
  <si>
    <t>""" store your answer in a variable named result """
name = input("Your name: ")
age = input("Your age: ")
result = "My friend " + name + " is " + age + " years old."
print("result")</t>
  </si>
  <si>
    <t>radius = eval(input("Enter the radius of cylinder; "))
height = eval(input("Enter the height of cylinder; "))
result = radius*radius*3.14159*height
print(result)</t>
  </si>
  <si>
    <t>""" store your answer in a variable named result """
pi = 3.14159
i = lambda: float(input(""))
r, h = i(), i()
result = h*pi*r*r</t>
  </si>
  <si>
    <t>""" store your answer in a variable named result """
rad = input("Radius")
height = input("Height")
pi = 3.14159
result = pi * rad**2 * height
print(result)</t>
  </si>
  <si>
    <t>""" store your answer in a variable named result """
radius = input("What is the radius of the cylinder: ")
height = input("What is the height of the cylinder: ")
pie = 3.14159
result = pie * radius * radius * height
print(result)</t>
  </si>
  <si>
    <t xml:space="preserve">""" store your answer in a variable named result """
radius = eval(input("Enter radius of cylinder:"))
height = eval(input("Enter height of cylinder:"))
PI = 3.14159
result = PI * radius ** 2 * height
print(result)
</t>
  </si>
  <si>
    <t>""" store your answer in a variable named result """
r=(input("enter radius:"))
h=(input("enter height:"))
pi=3.14159
result=r**2*pi*h
print(result)</t>
  </si>
  <si>
    <t>""" store your answer in a variable named result """
r=float(input(""))
h=float(input(""))
result=3.14159*r*r*h</t>
  </si>
  <si>
    <t>""" store your answer in a variable named result """
pi=3.14159
radius=float(input("Enter radius:"))
height=float(input("Enter height:"))
result=pi*radius**2*height
print(result)</t>
  </si>
  <si>
    <t>""" store your answer in a variable named result """
radius = eval(input("Enter radius of cylinder:"))
height = eval(input("Enter height of cylinder:"))
result = 3.14159 * (radius * radius) * height
print (result)</t>
  </si>
  <si>
    <t>pi=3.14159
r=input("Radius of cylinder:")
h=input("Height of cylinder:")
v=((pi)*((r)**2)*(h))
result=(v)
print(result)</t>
  </si>
  <si>
    <t xml:space="preserve">r = float(input("enter radius of cylinder:"))
h = float(input("enter height of cylinder:"))
pi = 3.14159
result = pi*r**2*h
print(result)
</t>
  </si>
  <si>
    <t>""" store your answer in a variable named result """
x=input("")
y=input("")
result=3.14159*x**2*y
print(result)</t>
  </si>
  <si>
    <t>""" store your answer in a variable named result """
r = eval(input("Radius: "))
h = eval(input("Height: "))
result = r*r*3.14159*h
print(result)</t>
  </si>
  <si>
    <t>""" store your answer in a variable named result """
r = input("radius: ")
h = input("height: ")
PI = 3.14159
result = PI * r * r * h
print(result)</t>
  </si>
  <si>
    <t>#""" store your answer in a variable named result """
radius = eval(input("Enter value for radius: "))
height = eval(input("Enter value for height: "))
#PI = "3.14159"
volume = radius * radius * 3.14159 * height
result = volume
print (result)</t>
  </si>
  <si>
    <t xml:space="preserve">""" store your answer in a variable named result """
radius = input ("Enter radius")
height = input ("Enter height")
result = radius ** 2 * height * 3.14159
print (result)
</t>
  </si>
  <si>
    <t xml:space="preserve">""" store your answer in a variable named result """
r=eval(input("enter radius: "))
h=eval(input("enter height: "))
PI=3.14159
result=PI*r*r*h
print (result)
</t>
  </si>
  <si>
    <t xml:space="preserve">radius = eval(input('Enter radius of cylinder: '))
height = eval(input('Enter height of cylinder: '))
result = radius * radius * height * 3.14159
print('The volume of a cylinder of radius ", radius, 'and height ", height, 'is ", result)
</t>
  </si>
  <si>
    <t xml:space="preserve">pi = 3.14159
r = input("Enter a radius for your cylinder: ")
h = input("Enter a height for your cylinder: ")
result = pi*r**2*h
print (result)
</t>
  </si>
  <si>
    <t xml:space="preserve">r = eval(input("RADIUS PLS: "))
h = eval(input("HEIIIIGHT: "))
result = r * r * 3.14159 * h
print(result)
</t>
  </si>
  <si>
    <t xml:space="preserve">""" store your answer in a variable named result """
radius=eval(input("Radius of cylinder:"))
height=eval(input("Height of cylinder:"))
pi= 3.14159
result= pi * radius * radius* height
print(result)
</t>
  </si>
  <si>
    <t>""" store your answer in a variable named result """
PI = 3.14159
radius = eval(input("Enter the radius of cylinder: "))
height = eval(input("Enter height of cylinder: "))
result = (PI*(radius**2))*height</t>
  </si>
  <si>
    <t>radius = eval(input("Enter radius of cylinder: "))
height = eval(input("Enter height of cylinder: "))
PI = 3.14159
result = PI * radius * radius * height
print (result)</t>
  </si>
  <si>
    <t xml:space="preserve">""" store your answer in a variable named result """
radius = eval(input("radius: "))
height = eval(input("height: "))
PI = 3.14159
result = PI * radius ** 2 * height
print(result)
</t>
  </si>
  <si>
    <t xml:space="preserve">a = eval(input("enter radius of cylinder"))
b = eval(input("enter height of cylinder"))
PI = 3.14159
result = PI * a ** 2 * b
print(result)
</t>
  </si>
  <si>
    <t>""" store your answer in a variable named result """
radius = eval(input("Enter the radius:"))
height = eval(input("Enter the height:"))
PI = 3.14159
result = (radius**2)*height*PI
print(result)</t>
  </si>
  <si>
    <t xml:space="preserve">radius = eval(input("Input Radius: "))
height = eval(input("Input Height: "))
PI = 3.14159
result = (radius * radius * PI * height)
print (result)
</t>
  </si>
  <si>
    <t>""" store your answer in a variable named result """
radius = eval(input("What's the radius of the cylinder?"))
height = eval(input("What's the height of the cylinder?"))
result = 3.14159 * radius ** 2 * height
print(str(result))</t>
  </si>
  <si>
    <t>radius = eval ( input ("Please enter the radius:     "))
height = eval ( input ("Please enter the height:     "))
result = 3.14159 * radius * radius * height
print (result)</t>
  </si>
  <si>
    <t>""" store your answer in a variable named result """
radius = input("b")
height = input("a")
result = radius**2*height*3.14159
print(str(result))</t>
  </si>
  <si>
    <t>""" store your answer in a variable named result """
Pi = 3.14159
radius = eval(input("Please enter the radius of a cylinder"))
height = eval(input("Please enter the height of a cylinder"))
result = radius * radius * height * Pi</t>
  </si>
  <si>
    <t>""" store your answer in a variable named result """
radius=eval(input( " Enter the radius: "))
height=eval(input( " Enter the height: "))
result= ( 3.14159*radius**2*height)
print(result)</t>
  </si>
  <si>
    <t xml:space="preserve">""" store your answer in a variable named result """
radius = input("")
height = input("")
p = 3.14159
result = p*radius*radius*height
print(result)
    </t>
  </si>
  <si>
    <t>""" store your answer in a variable named result """
radius = eval(input("Please enter the radius of cylinder"))
height = eval(input("Please enter the height of cylinder"))
result = radius * radius * 3.14159 * height
ans = print (result)</t>
  </si>
  <si>
    <t xml:space="preserve">""" store your answer in a variable named result """
radius = eval(input("Radius of cylinder"))
height = eval(input("Height of cylinder"))
PI = 3.14159
result = radius * radius * PI * height
print (result)
</t>
  </si>
  <si>
    <t>radius = eval(input(
    "Enter the radius: "))
height = eval(input(
    "Enter the height: "))
result = (3.14159) * (radius**2) * (height)
print(result)</t>
  </si>
  <si>
    <t>""" store your answer in a variable named result """
radius =eval(input("enter radius of cylinder:"))
height =eval(input("enter height of cylinder:"))
PI =3.14159
result =radius * radius * PI * height
print(result)</t>
  </si>
  <si>
    <t>r=eval(input('enter radius of cylinder:'))
h=eval(input('enter height of cylinder:'))
v=3.14159*r**2*h
result=v
print (result)</t>
  </si>
  <si>
    <t>""" store your answer in a variable named result """
radius = eval(input("Radius of cylinder"))
height = eval(input("Height of cylinder"))
PI = 3.14159
result = radius * radius * PI * height
print (result)</t>
  </si>
  <si>
    <t>""" store your answer in a variable named result """
r = float(input("enter radius of cylinder"))
h = float(input("enter height of cylinder"))
result = r * r * h * 3.14159
print (float(result))</t>
  </si>
  <si>
    <t>""" store your answer in a variable named result """
radius = float(input('enter radius of cylinder:'))
height = float(input('enter height of cylinder:'))
result = (3.14159 * radius**2) * height
#print 'volume='+str(result)</t>
  </si>
  <si>
    <t xml:space="preserve">radius = eval(input("radius: "))
height = eval(input ("height: "))
result = radius * radius * 3.14159 * height
print(result)
</t>
  </si>
  <si>
    <t>""" store your answer in a variable named result """
PI=3.14159
radius=float(input("Radius please: "))
height=float(input("Height please: "))
result=PI*(radius**2)*height
print(result)</t>
  </si>
  <si>
    <t xml:space="preserve">#Prompts user to enter radius of cylinder
Radius=input("The radius of cylinder is: ")
#Prompts user to enter height of cylinder
Height=input("The height of cylinder is: ")
pi=3.14159
result=eval(Height*Radius*Radius*pi)
print(result)
</t>
  </si>
  <si>
    <t>x = eval(input("Enter your value: "))
y = eval(input("Enter your value: "))
result = 3.14159 * x**2 * y
print(result)</t>
  </si>
  <si>
    <t xml:space="preserve">a = eval (input ("Please enter the radius of the cylinder: "))
b = eval (input ("Please enter the height of the cylinder: "))
result = 3.14159*(a**2)*b
</t>
  </si>
  <si>
    <t>""" store your answer in a variable named result """
radius = (eval (input ( "Enter radius of the cylinder:")))
height = (eval (input ( "Enter height of the cylinder:")))
result = radius ** 2 * 3.14159 * height
ans = print ( result )</t>
  </si>
  <si>
    <t>""" store your answer in a variable named result """
PI = 3.14159
radius = eval( input( "Enter radius of cylinder: "))
height = eval( input( "Enter height of cylinder: "))
result = radius**2*PI*height
print (result)</t>
  </si>
  <si>
    <t>""" store your answer in a variable named result """
radius=eval(input("Enter radius of cylinder: "))
height=eval(input("Enter height of cylinder: "))
result=radius*radius*3.14159*height
print(result)</t>
  </si>
  <si>
    <t xml:space="preserve">""" store your answer in a variable named result """
radius,height = eval(input("Enter radius")),eval(input("Enter height"))
result = (radius * radius * 3.14159 * height)
print(result)
</t>
  </si>
  <si>
    <t>""" store your answer in a variable named result """
radius=input("radius: ")
height=input("height: ")
result=height*radius*radius*3.14159
print(result)</t>
  </si>
  <si>
    <t xml:space="preserve">num1 = eval(input("Enter radius "))
num2 = eval(input("Enter height "))
pi = 3.14159
result = num1 * num1 * pi * num2
print (result)
</t>
  </si>
  <si>
    <t xml:space="preserve">r = eval(input("enter radius of cylinder"))
h = eval(input("enter height of cylinder"))
result = 3.14159 * r * r * h
print(result)
</t>
  </si>
  <si>
    <t xml:space="preserve">""" store your answer in a variable named result """
radius = eval(input("Enter the damn radius"))
height = eval(input("Enter the ******* height"))
pi = 3.14159
result = pi * radius * radius * height
</t>
  </si>
  <si>
    <t xml:space="preserve">""" store your answer in a variable named result """
Var = eval(input("Please enter the radius of the cylinder: ")), eval(input("             the height of the cylinder: "))
PI = 3.14159
result = Var[0] ** 2 * PI * Var[1]
print(result)
</t>
  </si>
  <si>
    <t xml:space="preserve">radius = eval(input("Enter a value for radius: "))
height = eval(input("Enter a value for height: "))
result = radius * radius * 3.14159 * height
</t>
  </si>
  <si>
    <t xml:space="preserve">radius = eval(input("Radius: "))
height = eval(input("Height: "))
PI = 3.14159
result = (radius * radius * PI * height)
print(result)
</t>
  </si>
  <si>
    <t>radius = eval(input("Enter a value for radius: "))
height = eval(input("Enter a value for height: "))
result = radius * radius * 3.14159 * height
print(result)</t>
  </si>
  <si>
    <t>""" store your answer in a variable named result """
radius = eval(input("Enter radius of cylinder: "))
height = eval(input("Enter height of cylinder: "))
result = 3.14159 * radius * radius * height
print(result)</t>
  </si>
  <si>
    <t xml:space="preserve">r = eval(input("enter radius of cylinder: "))
h = eval(input("enter height of cyclinder: "))
PI = 3.14159
result = PI*r*r*h
print(result) 
</t>
  </si>
  <si>
    <t xml:space="preserve">""" store your answer in a variable named result """
pi = 3.14159
r = input("enter radius:")
h = input("enter height:")
result = r*r*pi*h
print(result)
</t>
  </si>
  <si>
    <t>""" store your answer in a variable named result """
pi=3.14159
radius = input("Enter radius of cylinder: ")
height = input("Enter height of cylinder: ")
result = (pi*radius*radius*height)
print (result)</t>
  </si>
  <si>
    <t>radius=eval(input("enter radius of cylinder"))
height=eval(input("enter height of cylinder"))
result=3.14159*radius*radius*height
print(result)</t>
  </si>
  <si>
    <t>r = input( "Enter the radius" )
h = input( "Enter the height" )
result = 3.14159 * r ** 2 *h
print(result)</t>
  </si>
  <si>
    <t>""" store your answer in a variable named result """
radius = eval(input("Enter Radius:"))
height = eval(input("Enter Height:"))
result = radius * radius * 3.14159 * height
print(result)</t>
  </si>
  <si>
    <t>""" store your answer in a variable named result """
Pai = 3.14159
radius = float(input("Enter radius of cylinder: "))
height = float(input("Enter height of cylinder: "))
result = Pai*height*radius*radius
print("The area is : " +str(result))</t>
  </si>
  <si>
    <t>""" store your answer in a variable named result """
radius=eval(input("Please enter radius:"))
height=eval(input("Please enter height:"))
result=3.14159*radius*radius*height
print(result)</t>
  </si>
  <si>
    <t>""" store your answer in a variable named result """
radius = eval(input("Enter radius:"))
height = eval(input("Enter height:"))
PI=3.14159
result=PI*radius**2*height
print (result)</t>
  </si>
  <si>
    <t>""" store your answer in a variable named result """
r=eval(input("enter radius:"))
h=eval(input("enter height:"))
result=3.14159*r**2*h
print(result)</t>
  </si>
  <si>
    <t>""" store your answer in a variable named result """
x=eval(input("Enter radius"))
y=eval(input("Enter height"))
result=3.14159*x*x*y
print(result)</t>
  </si>
  <si>
    <t>""" store your answer in a variable named result """
radius=eval(input("Radius of the cylinder:"))
height=eval(input("Height of the cylinder:"))
pi=3.14159
result= pi*radius*radius*height
print(result)</t>
  </si>
  <si>
    <t>rad = input("radius here")
hei = input("height here")
result = hei * rad **2 * 3.14159
print(str(result))</t>
  </si>
  <si>
    <t xml:space="preserve">""" store your answer in a variable named result """
x = eval(input("Enter Radius of Cylinder:"))
y = eval(input("Enter Height of Cylinder:"))
result=x*x*3.14159*y
</t>
  </si>
  <si>
    <t>""" store your answer in a variable named result """
radius=eval(input("Enter radius:"))
height=eval(input("Enter height:"))
result=3.14159*height*radius**2
print(result)</t>
  </si>
  <si>
    <t xml:space="preserve">x = eval(input("what is the radius: "))
y = eval(input("what is the height: "))
result = 3.14159 * x * x * y
print (result)
</t>
  </si>
  <si>
    <t xml:space="preserve">""" store your answer in a variable named result """
pi = 3.14159
radius = float(input("Enter radius of cylinder:"))
height = float(input("Enter height of cylinder:")) 
result = pi*radius*radius*height
</t>
  </si>
  <si>
    <t xml:space="preserve">r = eval(input("Enter radius: "))
h = eval(input("Enter height: "))
result = 3.14159 * r * r * h </t>
  </si>
  <si>
    <t xml:space="preserve">""" store your answer in a variable named result """
radius=eval (input (" Enter value for radius: "))
height=eval (input (" Enter value for height: "))
result=height*3.14159*radius**2
print(result)
</t>
  </si>
  <si>
    <t xml:space="preserve">radius= eval(input("Enter a value for radius: "))
height= eval(input("Enter a value for height: "))
result = radius * radius * 3.14159 * height
print(result)
</t>
  </si>
  <si>
    <t xml:space="preserve">radius=eval(input("Enter a value for radius: "))
height=eval(input("Enter a value for height: "))
result=(3.14159*radius*radius*height)
print(result)
</t>
  </si>
  <si>
    <t>""" store your answer in a variable named result """
radius = eval(input("Radius = "))
height = eval(input("Height = "))
result = radius**2 * 3.14159 * height
print(result)</t>
  </si>
  <si>
    <t>""" store your answer in a variable named result """
radius = eval(input("Please input a value for radius: "))
height = eval(input("Please input a value for height: "))
PI = 3.14159
result = eval((PI * (radius ** 2)) * height)
print (result)</t>
  </si>
  <si>
    <t>""" store your answer in a variable named result """
radius = (input("radius: "))
height = (input("height: "))
base_area = 3.14159 * radius ** 2
result = base_area * height
print(result)</t>
  </si>
  <si>
    <t xml:space="preserve">x = input("asks user to enter radius of cylinder")
y = input("asks user to enter height of cylinder")
result= float(x*x*3.14159*y)
print(result)
</t>
  </si>
  <si>
    <t xml:space="preserve">radius = input("Enter the radius of your cylinder: ")
height = input( "Enter the height of your cylinder: ")
result = ( 3.14159 * (radius ** 2)) * height
print (result)
""" store your answer in a variable named result """
</t>
  </si>
  <si>
    <t>""" store your answer in a variable named result """
radius = input("Enter radius:")
height = input("Enter height:")
result = radius * radius * height * 3.14159
result</t>
  </si>
  <si>
    <t>""" store your answer in a variable named result """
radius = eval( input ("Radius of the cylinder:") )
height = eval( input ("Height of the cylinder:") )
result = 3.14159 * radius ** 2 * height
print(result)</t>
  </si>
  <si>
    <t xml:space="preserve">""" store your answer in a variable named result """
radius = eval (input("Enter a value for radius: "))
height = eval (input("Enter a value for height: "))
pi = 3.14159
volume = radius * radius * pi * height
result = volume
print(result)
</t>
  </si>
  <si>
    <t>""" store your answer in a variable named result """
radius=input("Enter radius of cylinder.")
height=input("Enter height of cylinder.")
result=radius**2*3.14159*height</t>
  </si>
  <si>
    <t>""" store your answer in a variable named result """
radius = eval (input('enter radius of cylinder:'))
height = eval (input('enter height of cylinder:'))
result = radius * radius * 3.14159 * height
print(result)</t>
  </si>
  <si>
    <t>r = float(input("Enter radius"))
h = float(input("Enter height"))
result = r * r * 3.14159 * h
print(result)</t>
  </si>
  <si>
    <t xml:space="preserve">""" store your answer in a variable named result """
radius = (input("Radius of cylinder: "))
height = (input("Height of cylinder: "))
result = 3.14159*(radius**2)*height
print(result)
</t>
  </si>
  <si>
    <t xml:space="preserve">def count_substring(string):
    ans = 0
    a = 0
    for n in range(len(string)):
        if string[n] == 'A':
            a += 1
        if string [n] == 'X':
            ans += a
    return ans
            </t>
  </si>
  <si>
    <t xml:space="preserve">def count_substring(string):
    a,ans = 0,0
    for i in string:
        if(i=='A'):
            a += 1
        if(i=='X'):
            ans += a
    return ans
</t>
  </si>
  <si>
    <t xml:space="preserve">def count_substring(string):
    a =0
    x=1
    ans=0
    for l in string:
        if l == 'A':
            a += 1
        elif l == 'X':
            ans += a*x
    return ans
        </t>
  </si>
  <si>
    <t xml:space="preserve">def count_substring(string):
    A = 0
    X = 0
    for c in string:
        if(c=='A'): 
            A+=1
        if(c=='X'):
            X+=A
    return X
    </t>
  </si>
  <si>
    <t xml:space="preserve">def count_substring(string):
    ans = 0
    y = 0
    for i in string:
        if i == "A":
            y = y+1
        if i == "X":
            ans = ans+y
    return ans
</t>
  </si>
  <si>
    <t>def count_substring(string):
    ans=0
    a=0
    for n in range(len(string)):
        if string[n]=='A':
            a+=1
        if string[n]=='X':
            ans+=a
    return ans</t>
  </si>
  <si>
    <t>def count_substring(string):
    y=0
    x=0
    for z in string:
        if z=="A":
            y=y+1
        if z=="X":
            x += y
    return x</t>
  </si>
  <si>
    <t>def count_substring(string):
    aS = 0
    total = 0
    for letter in string:
        if letter == 'A':
            aS += 1
        if letter == 'X':
            total += aS
    return total</t>
  </si>
  <si>
    <t xml:space="preserve">def count_substring(string):
    x = 0
    y = 0
    for i in string:
       if(i == 'A'):
           x+=1
       if(i == 'X'):
           y+=x
    return y
    </t>
  </si>
  <si>
    <t>def count_substring(string):
    var = 0
    ans = 0
    for i in range(len(string)):
        if string[i] == 'A': 
            var += 1
        if string[i] == 'X':
            ans += var
    return ans</t>
  </si>
  <si>
    <t>def count_substring(string):
    a=0
    x=0
    for i in string:
        if (i=='A'):
            a+=1
        if (i=='X'):
            x+=a
    return x</t>
  </si>
  <si>
    <t xml:space="preserve">def count_substring(string):
    length = len(string)
    letter = 0
    ans = 0
    numA = 0
    variable = 0
    for letter in range(length):
        if string[letter] == "A":
            numA += 1
        elif string[letter] == "X":
            ans += numA
        else:
            variable = variable
        letter += 1
    return ans
            </t>
  </si>
  <si>
    <t xml:space="preserve">def count_substring(string):
    count = 0
    count2 = 0
    for letter in string:
        if letter == 'A':
            count += 1
        if letter == 'X':
            count2 += count
    return count2
</t>
  </si>
  <si>
    <t>def count_substring(string):
    ans = 0
    ans1 = 0
    for s in string:
        if s == "A":
            ans1 = ans1 + 1
        if s == "X":
            ans = ans + ans1
    return ans</t>
  </si>
  <si>
    <t>def count_substring(string):
    count,ans=0,0
    for i in string:
        if i=="A":
            count+=1
        if i=="X":
            ans+=count
    return ans</t>
  </si>
  <si>
    <t>def count_substring(string):
    pol = len(string)
    a = 0
    b = 0
    letter = 0
    for letter in string:
        if letter == "A":
            a +=1
        elif letter == "X":
            b +=a
    return b</t>
  </si>
  <si>
    <t>def count_substring(string):
    q = 0
    ans = 0
    y = 1
    x = len(string)
    for V in range(x) :
        if string[V] == "A" : q += 1
        if string[V] == "X" : ans = ans + q
        else : q = q
    return ans</t>
  </si>
  <si>
    <t xml:space="preserve">def count_substring(string):
    no_a = 0
    ans = 0
    for i in (string):
        if i == 'A':
            no_a += 1
        elif i == 'X':
            ans += no_a
    return ans
            </t>
  </si>
  <si>
    <t>def count_substring(string):
    ans = 0
    avalue = 0
    xvalue = 0
    for i in range(len(string)):
        if string[i] == "A":
            avalue = avalue + 1
        if string[i] == "X":
            ans = ans + avalue
    return ans</t>
  </si>
  <si>
    <t>def count_substring(string):
    str2=string
    x=len(string)
    if(x&lt;=1):
        return 0
    count=x-1
    no_of_A=0
    for i in range(count+1):
        if(str2[i]=="A"):
            no_of_A+=1
    result=0
    for i in range(count,-1,-1):
        test_str=str2[i]
        if(test_str=="A"):
            no_of_A-=1 #one less A in the sequence not checked
        elif(test_str=="X"):
            result+=no_of_A
    return result</t>
  </si>
  <si>
    <t>def count_substring(string):
    a = 0
    b = 0
    for c in string:
        if c == 'A':
            a += 1
        if c == 'X':
            b += a
    return b</t>
  </si>
  <si>
    <t>def count_substring(string):
    scount=0
    acount=0
    for p,l in enumerate(string):
        if l=="A":
            acount+=1
        elif l=="X":
            scount+=acount
    return scount</t>
  </si>
  <si>
    <t>def count_substring(string):
    a = 0
    b = 0
    c = 0
    for c in string:
        if c == "A":
            a += 1
        elif c == "X":
            b += a
    return b</t>
  </si>
  <si>
    <t xml:space="preserve">def count_substring(string):
    a=0
    x=0
    for i in string:
        if (i=='A'):
            a+=1
        if (i=='X'):
            x+=a
    return x
            </t>
  </si>
  <si>
    <t>def count_substring(string):
    a=0
    total=0
    for letter in string:
        if letter == "A":
            a+=1
        elif letter == "X":
            total+=a
    return total</t>
  </si>
  <si>
    <t>def count_substring(string):
    ans=0
    b=0
    for a in range(len(string)):
        if string[a]=="A":
            b=b+1
        elif string[a]=="X" and b&gt;0:
            ans=ans+b
    return ans</t>
  </si>
  <si>
    <t xml:space="preserve">def count_substring(string):
    ans=0
    ans1=0
    for count in string:
        if (count=="A"):
            ans=ans+1
        if (count=="X"):
            ans1=ans1+ans
    return ans1 </t>
  </si>
  <si>
    <t>def count_substring(string):
    x=len(string)
    y=0
    p=0
    c=0
    for count in range(-1,-1-x,-1):
        z=string[count]
        if z=="X":
            p=p+1
        if z=="A":
            c=c+p
    return c
print(count_substring("\AAXOXXA"))</t>
  </si>
  <si>
    <t xml:space="preserve">def count_substring(string):
    y=0
    nosubs=0
    for z in string:
        if z=="A":
            y=y+1
        if z=="X":
            nosubs = nosubs+y
    return nosubs
    </t>
  </si>
  <si>
    <t xml:space="preserve">def count_substring(string):
   y=0
   nosubs=0
   for z in string:
      if z=='A': 
            y=y+1
      if z=='X': 
            nosubs=nosubs+y
   return nosubs
</t>
  </si>
  <si>
    <t xml:space="preserve">def count_substring(string):
    acount = 0
    axcount = 0
    for i in range(len(string)):
        if (string[i] == 'A'):
            acount += 1
        if (string[i] == 'X'):
            axcount += acount
    return axcount
</t>
  </si>
  <si>
    <t xml:space="preserve">def count_substring(string):
    count1=0
    count2=0
    for i,j in enumerate(string):
        if j == "A":
            count2 += 1
        elif j == "X":
            count1 += count2
    return count1
print(count_substring('CAXAAYXZA'))
</t>
  </si>
  <si>
    <t>def count_substring(string):
    nosubs = 0
    y = 0
    for i in string:
        if i == "A":
            y = y+1
        if i == "X":
            nosubs = nosubs+y
    return nosubs</t>
  </si>
  <si>
    <t>def factorial(n):
    sum = 1
    a = 1
    if n == 0:
        ans = 1
    else:
        while sum &lt;= n:
            a = a * sum
            sum = sum + 1   
            ans = a
    return ans</t>
  </si>
  <si>
    <t>def factorial(n):
    ans = 1
    for i in range(1,n+1):
        ans *= i
    return ans</t>
  </si>
  <si>
    <t xml:space="preserve">def factorial(n):
    ans = 1
    if n == 0 or n == 1:
        ans = 1
    else:
        for count in range(n):
            ans *= count+1
    return ans    </t>
  </si>
  <si>
    <t>def factorial(n):
    result = 1
    while n &gt; 1:
        result = result * n
        n = n - 1
    return result</t>
  </si>
  <si>
    <t xml:space="preserve">def factorial(n):
    ans = 1
    while n &gt; 0:
        ans *= n
        n -= 1
    return ans
</t>
  </si>
  <si>
    <t>def factorial(n):
    ans=1
    for i in range(2,n+1):
        ans=ans*i
    return ans</t>
  </si>
  <si>
    <t>def factorial(n):
    a = 1
    if n == 0:
        return 1
    else:
        for i in range (1, n+1):
            a *= i
        return a</t>
  </si>
  <si>
    <t>def factorial(n):
    product=1
    for count in range(n,1,-1):
        product=count*product
    ans=product
    return ans</t>
  </si>
  <si>
    <t xml:space="preserve">def factorial(n):
    ans = 1
    for count in range(1,n+1):
        ans *= count
    return ans
</t>
  </si>
  <si>
    <t>def factorial(n):
    ans=1
    x=1
    for count in range(n):
        ans=x*ans
        x=x+1
    return ans</t>
  </si>
  <si>
    <t>def factorial(n):
    ans=1
    for count in range(1,n+1):
        ans=ans*count
    return ans</t>
  </si>
  <si>
    <t>def factorial(n):
    ans=1
    for n in range(1,n+1):
        ans*=n
    return ans</t>
  </si>
  <si>
    <t>def factorial(n):
    ans = 1
    for a in range(n):
        ans *= (a + 1)
    return ans</t>
  </si>
  <si>
    <t xml:space="preserve">def factorial(n):
    ans = 1
    while n &gt;= 1:
        ans = ans * n
        n = n - 1
    return ans
    </t>
  </si>
  <si>
    <t>def factorial(n):
    ans=1
    for x in range(1,n+1):
        ans*=x
    return ans</t>
  </si>
  <si>
    <t>def factorial(n):
    if n == 0:
        ans = 1
    else:
        ans = 1
        for num in range(1, n+1):
            ans = ans * num
    return ans</t>
  </si>
  <si>
    <t>def factorial(n):
    ans=1
    for i in range(n+1):
        if i==0:
            a=1
        else:
            ans*=i
    return ans</t>
  </si>
  <si>
    <t xml:space="preserve">def factorial(n):
    x = 1
    ans = 1
    for x in range(1, n + 1, 1):
        ans = ans * x
        x = x + 1
    return ans
</t>
  </si>
  <si>
    <t>def factorial(n):
    if n == 0:
        ans = 1
    elif n == 1:
        ans = 1
    else:
        ans = 1
        i = 1
        while i &lt; n:
            ans = ans * (i + 1)
            i += 1
    return ans</t>
  </si>
  <si>
    <t>def factorial(n):
    total = 1
    number = 1
    while number &lt;= n :
        total = total * number
        number = number + 1
    return total</t>
  </si>
  <si>
    <t>def factorial(n):
    x = n
    ans = 1
    while x &gt;=1:
        ans *= x
        x -= 1
    return ans</t>
  </si>
  <si>
    <t>def factorial(n):
    ans = 1
    num = 1
    while num&lt;=n:
        ans = ans * num
        num = num+1
    return ans</t>
  </si>
  <si>
    <t>def factorial(n):
    if n == 0:
        return 1
    else:
        start = n
        number = n - 1
        current = n
        while current &gt; 1:
            start *= number
            number -= 1
            current -= 1
        return start</t>
  </si>
  <si>
    <t>def factorial(n):
    ans = 1
    while n &gt; 0:
        ans *=n
        n -= 1
    return ans</t>
  </si>
  <si>
    <t>def factorial(n):
    total = n
    while n &gt; 1:
        n -=1
        total *=n
    if n == 0:
        total = 1
    return total</t>
  </si>
  <si>
    <t xml:space="preserve">def factorial(n):
    ans = 1
    for a in range(1 , n + 1):
        ans *= a
    return ans
print (factorial(5))
</t>
  </si>
  <si>
    <t>def factorial(n):
    ans=1
    if n==0:
        return 1
    for i in range(1,n+1):
        ans*=i
    return ans</t>
  </si>
  <si>
    <t>def factorial(n):
    ans = 1
    while n &gt; 0:
        ans = ans * n
        n = n-1
    return ans</t>
  </si>
  <si>
    <t>def factorial(n):
    ans = 1
    for z in range (n):
        ans = ans * (1*(z+1))
    return ans</t>
  </si>
  <si>
    <t xml:space="preserve">def factorial(n):
    ans=1
    for i in range(2,n+1):
        ans=ans*i
    return ans
</t>
  </si>
  <si>
    <t xml:space="preserve">def factorial(n):
    if n == 0:
        ans = 1
    else:
        ans = 1
        for v in range (1,n + 1):
            ans *= v
            v += 1
    return ans
</t>
  </si>
  <si>
    <t>def factorial(n):
    sum = 1
    for i in range(1,n+1):
        sum = sum * i
    return sum</t>
  </si>
  <si>
    <t>def factorial(n):
    v = 0
    ans = 1
    t = 0
    while v &lt; n:
        t = t + 1
        ans = ans * t
        v = v + 1   
    return ans</t>
  </si>
  <si>
    <t>def factorial(n):
    ans=1
    for i in range(n):
        ans*=(i+1)
    return ans</t>
  </si>
  <si>
    <t>def factorial(n):
    i=1
    s=1
    while i&lt;n:
        i+=1
        s=s*i
    return s</t>
  </si>
  <si>
    <t>def factorial(n):
    ans = 1
    a = 1
    for a in range(a, n + 1):
        ans = ans * a
    return ans</t>
  </si>
  <si>
    <t>def factorial(n):
    sum = 1
    for i in range(n):
        i += 1
        sum *= i
    return sum</t>
  </si>
  <si>
    <t>def factorial(n):
    ans = 1
    for i in range(n+1):
        if i &gt; 0:
            ans *= i
    return ans</t>
  </si>
  <si>
    <t>def factorial(n):
    ans = 1
    while 0 &lt; n:
        ans = ans * n
        n = n - 1
    return ans</t>
  </si>
  <si>
    <t>def factorial(n):
    ans=1
    if(n&lt;0):
        ans=None
    elif(n==0):
        ans=1
    else:
        for i in range(1,n+1):
            ans*=i
    return ans</t>
  </si>
  <si>
    <t>def factorial(n):
    factorial=1
    for i in range(1, n+1):
        factorial*=i
    return factorial</t>
  </si>
  <si>
    <t xml:space="preserve">def factorial(n):
    total = 1
    count = 1
    while count &lt;= n:
        total = total*count
        count = count + 1
    return total
</t>
  </si>
  <si>
    <t xml:space="preserve">def factorial(n):
    p = 1
    for i in range (1, n + 1):
        p = p * i
    return p
</t>
  </si>
  <si>
    <t>def factorial(n):
    sum = 1
    i = 1
    while i &lt;= n:
        sum = sum * i
        i = i + 1
    if n == 0:
        ans = 1
    else:
        ans = sum
    return ans</t>
  </si>
  <si>
    <t>def factorial(n):
    ans=1
    num=1
    while num&lt;=n:
        ans=ans*num
        num=num+1
    return ans</t>
  </si>
  <si>
    <t xml:space="preserve">def factorial(n):
    product=1
    num=1
    while num&lt;=n:
        product=product*num
        num=num+1
    return product
</t>
  </si>
  <si>
    <t>def factorial(n):
    ans=1
    while n &gt; 0:
        ans=ans*n
        n=n-1
    return ans</t>
  </si>
  <si>
    <t>def factorial(n):
    ans = 1
    for i in range(2, n + 1):
        ans *= i
    return ans</t>
  </si>
  <si>
    <t>def factorial(n):
    ans = 1
    for count in range(n):
        ans *= n
        n -= 1
    return ans</t>
  </si>
  <si>
    <t>def factorial(n):
    ans = 1
    for i in range(1, n+1):
        ans = ans * i
    return ans</t>
  </si>
  <si>
    <t>def factorial(n):
    ans=1
    if n==0:
        ans=1
    else:
        count=2
        while count&lt;n+1:
            ans*=count
            count+=1
    return ans</t>
  </si>
  <si>
    <t>def factorial(n):
    ans = 1
    while n &gt;= 1:
        ans = ans * n
        n = n - 1
    return ans</t>
  </si>
  <si>
    <t>def factorial(b):
    ans = 1
    a = 1
    while a &lt;= (b):
        ans = ans * a
        a = a + 1
    return ans</t>
  </si>
  <si>
    <t>def factorial(n):
    ans = 1
    while n &gt; 0:
            ans *= n
            n -= 1
    return ans</t>
  </si>
  <si>
    <t>def factorial(n):
    sum = 1
    for i in range(1, n+1):
        sum = sum*i        
    return sum</t>
  </si>
  <si>
    <t>def factorial(n):
    num = 1
    while n &gt;= 1:
        num = num * n
        n = n - 1
    return num
print(factorial(3))</t>
  </si>
  <si>
    <t>def factorial(n):
    ans=1
    for i in range(1,n+1):
        ans=ans*i
    return ans</t>
  </si>
  <si>
    <t>def factorial(n):
    ans = 1
    for x in range (1,n+1):
        ans = ans * x
    return ans</t>
  </si>
  <si>
    <t xml:space="preserve">def factorial(n):
    ans = 1
    for count in range(n):
        ans *= count + 1
    return ans
</t>
  </si>
  <si>
    <t>def factorial(n):
    ans = 1
    for i in range(1,n+1):
        ans = ans * i
    return ans</t>
  </si>
  <si>
    <t xml:space="preserve">def factorial(n):
    ans = 1
    for i in range(1,n+1):
        ans = ans * i
    return ans
</t>
  </si>
  <si>
    <t>def factorial(n):
    x=1
    for i in range(1,n+1):
        x=x*i
    return x
print(factorial(5))</t>
  </si>
  <si>
    <t>def factorial(n):
    ans = 1
    if n == 0:
        ans = 1
    else:
        for count in range(1,n+1,1):
            ans = ans*count
    return ans</t>
  </si>
  <si>
    <t>def factorial(n):
    sum1=1
    for count in range(n,0,-1):
        sum1=sum1*count
    ans=sum1
    return ans</t>
  </si>
  <si>
    <t>def factorial(n):
    ans = 1
    for i in range(n , 0 , -1):
        ans = ans * i
    return ans</t>
  </si>
  <si>
    <t>def factorial(n):
    ans = 1
    for i in range(1,n+1):
        ans *= i
    return ans</t>
  </si>
  <si>
    <t>def factorial(n):
    if n==0:
        ans=1
    else:
        ans=1
        i=1
        while i &lt;=n:
            ans=ans*i
            i+=1
    return ans</t>
  </si>
  <si>
    <t>def factorial(n):
    product = 1
    for i in range(n):
        i+=1
        product*=i
    return product</t>
  </si>
  <si>
    <t>def factorial(n):
    times = 0
    ans = 1
    while n &gt; 1:
        ans = ans*n
        n = n - 1
    return ans</t>
  </si>
  <si>
    <t xml:space="preserve">def factorial(n):
    sum  = 1
    i = 1
    while i &lt;= n:
        sum = sum * (1 * i)
        i = i + 1
    ans = sum   
    return ans
</t>
  </si>
  <si>
    <t>def factorial(n):
    ans=1
    for v in range(1,n+1):
        ans *= v
    return ans</t>
  </si>
  <si>
    <t>def factorial(n):
    sum=1
    while n&gt;0:
        sum=sum*n
        n=n-1
    ans=sum
    return ans</t>
  </si>
  <si>
    <t xml:space="preserve">def factorial(n):
    if n == 0:
        ans =1
        return ans
    else:
        ans = 1
        i = 1
        while i &lt;= n :
            ans = ans * i
            i = i + 1
        return ans
print(factorial(3))
</t>
  </si>
  <si>
    <t xml:space="preserve">def factorial(n):
    ans = 1
    for i in range(1,n+1):
        ans *= i
    return ans
</t>
  </si>
  <si>
    <t>def factorial(n):
    s = 1
    i = 0
    for i in range(1,n+1):
        s *= i
    return s</t>
  </si>
  <si>
    <t>def factorial(n):
    ans = 1
    for num in range(n + 1):
        if num &gt; 0:
            ans *= num
    return ans</t>
  </si>
  <si>
    <t>def factorial(n):
    count=0
    ans=1
    while n&gt;1:
        ans=ans*n
        n=n-1
    return ans</t>
  </si>
  <si>
    <t>def factorial(x):
    a = 1
    b = 1
    while a &lt;= x:
        b = b * (a)
        a = a + 1
    return b</t>
  </si>
  <si>
    <t>def factorial(n):
    bweng = 1
    for a in range(1,n+1):
        bweng *= a
    ans = bweng
    if ans == 0:
        ans = 1
    return ans</t>
  </si>
  <si>
    <t>def factorial(n):
    if n == 0:
        ans = 1
    else:
        ans = 1
        for v in range (1,n + 1):
            ans *= v
    return ans</t>
  </si>
  <si>
    <t xml:space="preserve">def factorial(n):
    if n == 0:
       ans=1
    else:
        ans=1
        i=1
        for i in range(1,n + 1):
            ans = ans*i
            i=i+1
    return ans
</t>
  </si>
  <si>
    <t xml:space="preserve">num1 = eval(input(" Type in a number between 0 and 999: "))
num2 = int(num1/100)
num3 = int((num1-(int(num1/100)*100)-(num1%10))/10)
num4 = int(num1%10)
result = num2+num3+num4
print (result)
</t>
  </si>
  <si>
    <t xml:space="preserve">""" store your answer in a variable named result """
i = int(input(""))
result = sum([int(x) for x in str(i)])
</t>
  </si>
  <si>
    <t>""" store your answer in a variable named result """
x=int(input(""))
result = 0
for count in range(x//10 + 1):
    timer = 1
    ans = x%(10**timer)
    result = result + ans
    x = (x - ans)/10
print(result)</t>
  </si>
  <si>
    <t>x = eval(input("Enter an integer in range [0,999]:"))
hundreds = x // 100
tens = x // 10 - hundreds * 10
ones = x - tens * 10 - hundreds * 100
result = ones + tens + hundreds
print(result)</t>
  </si>
  <si>
    <t>""" store your answer in a variable named result """
x = eval(input("Enter an integer in range [0,999]:"))
hundreds = x // 100 
tens = x // 10 - hundreds * 10
ones = x - tens * 10 - hundreds * 100
result = ones + tens + hundreds
print(result)</t>
  </si>
  <si>
    <t>""" store your answer in a variable named result """
x=(input("enter a number in range[0,999]"))
result=0
for n in range(x//10+1):
    result+=x%10
    x//=10
print(result)</t>
  </si>
  <si>
    <t>""" store your answer in a variable named result """
x = int(input("jhfjhj: "))
result=0
for n in range(3):
    result+=x%10
    x//=10
print(result)</t>
  </si>
  <si>
    <t xml:space="preserve">""" store your answer in a variable named result """
n=int(input("Enter value of n:"))
a=n%10
b=(n//10)%10
c=(n//100)
result=a+b+c
print(result)
</t>
  </si>
  <si>
    <t>""" store your answer in a variable named result """
n = int(input("Enter a number between 0 and 999:"))
a = n // 100
b = n % 100
c = b % 10
d = b // 10
result = a + c + d
print (result)</t>
  </si>
  <si>
    <t>""" store your answer in a variable named result """
i=int(input("Enter a number in range [0,999]:"))
result=sum(map(int, str(i)))
print(result)</t>
  </si>
  <si>
    <t xml:space="preserve">""" store your answer in a variable named result """
n = int(input("enter a number in range[0.999]:"))
x = n % 100 
o = x % 10
t = (x - o) // 10 
h = (n - x) // 100 
result = t + o + h
print (result)
</t>
  </si>
  <si>
    <t>""" store your answer in a variable named result """
x=eval(input(""))
result=0
for n in range(x//10+1):
    result+=x%10
    x//=10</t>
  </si>
  <si>
    <t>""" store your answer in a variable named result """
no = eval(input("Enter a 3 digit integer"))
unit = no % 10
ten = (no %100) // 10
hund = (no &amp; 1000) // 100
result = unit + ten + hund
print(result)</t>
  </si>
  <si>
    <t xml:space="preserve">#""" store your answer in a variable named result """
integer = input("ENTER NUMBER: ")
number = int(integer)
One = number % 10
Two = number // 10
Three = Two % 10
Four = Two // 10
result = One + Three + Four
print (result)
</t>
  </si>
  <si>
    <t>""" store your answer in a variable named result """
pen = input("Enter integer from 0-999")
ones = pen % 10 
tens = (pen % 100) // 10
hundreds = pen // 100
result = ones + tens + hundreds
print (result)</t>
  </si>
  <si>
    <t xml:space="preserve">""" store your answer in a variable named result """
tmp=eval(input("enter an integer in range[0,999]"))
one=tmp%10
ten=(tmp//10)%10
hundred=(tmp//100)%10
result=ten+hundred+one
print (result)
</t>
  </si>
  <si>
    <t xml:space="preserve">n = eval(input('Enter a number in range [0,999]: '))
result = n//100 + (n//10 - (n//100)*10) + (n - (n//100)*100 - (n//10 - (n//100)*10)*10)
print('The sum of the digits is ",result)
</t>
  </si>
  <si>
    <t xml:space="preserve">n = int(input("Input a number less than 1000: "))
_int1 = (n % 10)//1
_int2 = (n % 100)//10 
_int3 = (n % 1000)//100
result = _int1 + _int2 + _int3
print (result)
</t>
  </si>
  <si>
    <t>num =  eval(input("  "))
hun = num // 100
ten = num % 100 // 10
one = num % 100 % 10
result = one + ten + hun</t>
  </si>
  <si>
    <t xml:space="preserve">""" store your answer in a variable named result """
integer=int(input("Enter number:"))
x=integer%10
y=((integer-x)%100)/10
z=integer//100
result=x+y+z
print(result)
</t>
  </si>
  <si>
    <t>""" store your answer in a variable named result """
enteredInt = eval(input("Enter an integer between 0 and 999: "))
OnesDigit = enteredInt % 10
TensDigit = (enteredInt % 100)//10
HundredsDigit = (enteredInt%1000)//100
result = OnesDigit+TensDigit+HundredsDigit
print(result)</t>
  </si>
  <si>
    <t>x = eval(input("Enter an integer in range[0,999]: "))
a = x%10
b = (x%100 - a)/10
c = (x%1000 - (b*10) -a)/100
result = a + b + c
print (result)</t>
  </si>
  <si>
    <t xml:space="preserve">""" store your answer in a variable named result """
integer = input("place number: ")
number = int(integer)
a = number % 10
b = number // 10
c = b % 10
d = b // 10
result = a + c + d
print(result)
</t>
  </si>
  <si>
    <t xml:space="preserve">a = eval(input("enter number from 0 to 999 "))
b = a % 100
c = b % 10
d = (b - c)/ 10
e = (a - b) / 100
result = c + d + e
print(result)
</t>
  </si>
  <si>
    <t xml:space="preserve">""" store your answer in a variable named result """
s = eval(input("Enter a number from 0 to 999:"))
a = s//100
b = (s%100)//10
c = s%10
print(c)
result = a + b + c
print(" The sum of the digits is " , result)
         </t>
  </si>
  <si>
    <t xml:space="preserve">inte = str(input("Number "))
result = 0
for letter in inte:
  result += int(letter)
print (result)
</t>
  </si>
  <si>
    <t xml:space="preserve">""" store your answer in a variable named result """
integer = int(input("Enter an integer from 0 to 999."))
result = integer % 10 + ((integer//10) % 10) + integer//100
print(str(result))
</t>
  </si>
  <si>
    <t xml:space="preserve">y = eval(input("Enter a number in range[0, 999]: "))
result = sum(map(int, list(str(y))))
</t>
  </si>
  <si>
    <t>""" store your answer in a variable named result """
number = input("a")
result = number % 10 + (number %100- number %10)//10 +(number -number%100)//100</t>
  </si>
  <si>
    <t>""" store your answer in a variable named result """
integer = eval(input("Please input an integer from 0 - 999"))
num1 = eval(integer // 100)
num2 = eval(( integer - num1 * 100 ) // 10)
num3 = eval(( integer - num1 * 100 - num2 * 10 ) //1)
result = num1 + num2 + num3</t>
  </si>
  <si>
    <t xml:space="preserve">""" store your answer in a variable named result """
number1=eval(input( "Enter the number: "))
a=number1//100
b=(number1-a*100)//10
c=(number1-(a*100)-(b*10)/1)
result= a+b+c
print(result)
</t>
  </si>
  <si>
    <t>""" store your answer in a variable named result """
x=input("")
result=0
for n in range(3):
    result+=x%10
    x//=10
print(result)</t>
  </si>
  <si>
    <t>""" store your answer in a variable named result """
num = eval(input("Please enter an integer from 0 to 999"))
ones = num % 10
tens = ((num % 100) - ones)//10
hundreds = num // 100
result = ones + tens + hundreds
ans = print (result)</t>
  </si>
  <si>
    <t xml:space="preserve">""" store your answer in a variable named result """
x = eval(input("Interger from 0 to 999"))
a = x % 10
b = (x // 10) % 10
c = x // 100
result = a + b + c
print(result)
</t>
  </si>
  <si>
    <t xml:space="preserve">integer = eval(input(
    "Enter an integer in range[0,999]: "))
result = sum(int(digit) for digit in str(integer))
print(result)
</t>
  </si>
  <si>
    <t xml:space="preserve">""" store your answer in a variable named result """
number=int(input("Enter a number:"))
x=number//100
y=(number//10)%10
z=number%10
result= x + y + z
print(result)
</t>
  </si>
  <si>
    <t>i=int(input('Enter a number in the rannge [0,999]:'))
i1=i%10
i2=((i%100)-i1)//10
i3=i//100
result=(i1+i2+i3)
print(result)</t>
  </si>
  <si>
    <t>""" store your answer in a variable named result """
x = eval(input("integer from 0 to 999"))
a = x % 10
b = (x // 10) % 10
c = x // 100
result = a + b + c
print (result)</t>
  </si>
  <si>
    <t xml:space="preserve">
x = int(input("enter an integer in range[0,999]"))
a = ( x % 10 )
b = ((x % 100) - a)//10
c = (x - ( x % 100))//100
result = a + b + c
print (result)</t>
  </si>
  <si>
    <t>""" store your answer in a variable named result """
x = int(input('enter a number from 0 to 999:'))
first_digit = x % 10
y = x // 10
second_digit = y % 10
last_digit = y // 10
result = int(first_digit) + int(second_digit) + int(last_digit)</t>
  </si>
  <si>
    <t xml:space="preserve">integer = eval(input("Enter a number in range [0,999]: "))
h = integer // 100
t = (integer // 10) - h * 10
o = integer - (t * 10) - (h * 100)
result = h + t + o
print(result)
</t>
  </si>
  <si>
    <t>""" store your answer in a variable named result """
integer=int(input("Integer please in range [0,999]"))
int_string=str(integer)
while(integer&gt;=1000 or integer&lt;0):
    integer=int(input("Integer please in range [0,999]"))
    int_string=str(integer)
if(integer//10==0):
    result=integer
elif(integer//100==0):
    result=int(int_string[0])+int(int_string[1])
else:
    result=int(int_string[0])+int(int_string[1])+int(int_string[2])
print(result)</t>
  </si>
  <si>
    <t>""" store your answer in a variable named result """
result=0
integer=input("Enter an integer in range [0, 999]: ")
result+=integer%10
integerten=integer//10
result+=integerten%10
result+=integer//100</t>
  </si>
  <si>
    <t>num = (eval(input("Enter a number in range [0,999]:")))
ones = num % 10
tens = (( num % 100 ) - ones) // 10
hundreds = (( num % 1000 ) - ( num % 100 )) // 100
result = ones + tens + hundreds
print ( result )</t>
  </si>
  <si>
    <t xml:space="preserve">ga = int ( input ("enter an integer in range [0,999]: "))
a = ga//100
b = ga%100//10
c = ga%100%10
result = a + b + c
</t>
  </si>
  <si>
    <t>""" store your answer in a variable named result """
integer = eval ( input ( "Enter a number in range [0,999]:"))
x = integer % 10
y = integer % 100
result = x + ( y - x )/10 + (integer - y)/100
print ("The sum of digits is", result)</t>
  </si>
  <si>
    <t>a = input("Enter integer:")
_1 = a % 10 #abc get  c
b = a // 10 #abc get ab
_2 = b % 10 #ab get b
c = b // 10 #ab get a
result = _1+_2+c
print (result)</t>
  </si>
  <si>
    <t>""" store your answer in a variable named result """
integer=eval(input("Enter an integer in range[0,999]: "))
a=integer%10
b=(integer%100)/10//1
c=(integer/100)//1
result=a+b+c
print(result)</t>
  </si>
  <si>
    <t xml:space="preserve">x=eval(input("Enter a number in range [0,999]: "))
a=x/100
a//=1
b=x/10
b//=1
b-=10*a
c=x-100*a-10*b
result=a+b+c
print("The sum of the digits is ", result)
</t>
  </si>
  <si>
    <t>""" store your answer in a variable named result """
number=input("number between 0 to 999: ")
result=sum(map(int, str(number)))
print(result)</t>
  </si>
  <si>
    <t>num1 = eval(input("please enter a number"))
num2 = num1 % 100
num3 = num2 % 10
num4 = (num2 - num3) / 10
num5 = (num1 - num2) / 100
result = num3 + num4 + num5
print (result)</t>
  </si>
  <si>
    <t xml:space="preserve">number = eval(input("enter an integer in range [0,999]"))
result = int(number % 10) + int((number % 100) // 10) + int(number // 100)
print(result)
</t>
  </si>
  <si>
    <t xml:space="preserve">""" store your answer in a variable named result """
n = eval(input("Enter an integer in range [0,999]:"))
unit = n%10
tens = (n%100)//10
hundreds = (n%1000)//100
result = unit + tens + hundreds
print(result)
</t>
  </si>
  <si>
    <t>number = eval(input("Enter an interger: "))
a = number//100%100
b = number//10%10
c = number//1%10
result = a + b + c
print(result)</t>
  </si>
  <si>
    <t xml:space="preserve">number = eval(input("No: "))
ones = number % 10
tens_1 = number % 100
hundreds_1 = number % 1000
tens = (tens_1 - ones)/10
hundreds = (hundreds_1 - tens_1)/100
result = int(ones + tens + hundreds)
print(result)
</t>
  </si>
  <si>
    <t>number = eval(input("Enter an integer: "))
a = number//100%100
b = number//10%10
c = number//1%10
result = a + b + c
print(result)</t>
  </si>
  <si>
    <t>""" store your answer in a variable named result """
integer = int(input("Enter an integer in range [0,999]: "))
result = integer % 10
integer //= 10
result += integer % 10
integer //= 10
result += integer
print(result)</t>
  </si>
  <si>
    <t xml:space="preserve">number = eval(input(" enter an integer between 0 to 999 "))
last = number%10
first = number//100
c = first*100
d = c + last
e = number - d
second = e/10
result = first + last + second
print(result)
</t>
  </si>
  <si>
    <t>""" store your answer in a variable named result """
number=input("input digit between 0 and 999:")
a = number//100
b = number//10%10
c = number%10
result=(a+b+c)
print(result)</t>
  </si>
  <si>
    <t>""" store your answer in a variable named result """
integer=int(input("Enter Number:"))
hundred=integer//100
ten=(integer//10)%10
ones=integer%10
result=hundred+ten+ones
print (result)</t>
  </si>
  <si>
    <t>""" store your answer in a variable named result """
integer = int(input('Enter an integer range [0,999]'))
result = int(integer // 100) + int((integer % 100) // 10) + int(integer % 10)
print(result)</t>
  </si>
  <si>
    <t xml:space="preserve">""" store your answer in a variable named result """
x = int(input("Enter a no. from 0 to 999"))
y = x % 10
z = x // 100
a = (x - 100 * z - y)/10
result = y + z + a
print(result)
</t>
  </si>
  <si>
    <t xml:space="preserve">""" store your answer in a variable named result """
ans = int(input("Enter Number here:"))
print(ans//100)
print(ans%100//10)
print(ans%100%10)
result = ans//100 + ans%100//10 + ans%100%10
</t>
  </si>
  <si>
    <t>""" store your answer in a variable named result """
number = int(input("Enter a number in range [0,999]:"))
first = number // 100
second = (number - first*100)//10
third = number -first * 100 - second * 10
result = first + second + third
print("The sum of the digits is" +str(result))</t>
  </si>
  <si>
    <t>""" store your answer in a variable named result """
x=int(input("number from 0 to 999:"))
one=(x%10)
ten=(x%100)//10
hundred=x//100
result=one+ten+hundred
print(result)</t>
  </si>
  <si>
    <t xml:space="preserve">""" store your answer in a variable named result """
number=int(input("Enter a number in range [0,999]:"))
number1=number
number2=number
ones=number%10
tens=(number1//10)%10
hundreds=(number2//100)%10
result=ones+tens+hundreds
print(result)
</t>
  </si>
  <si>
    <t>""" store your answer in a variable named result """
n=int(input("Enter mumber between 0 and 999"))
result=n%10+n//10%10+n//100
print(result)</t>
  </si>
  <si>
    <t>""" store your answer in a variable named result """
x=eval(input("Enter integer in range[0,999]"))
y=x%10
z=x-y
a=(z%100)/10
b=(x//100)
result=y+a+b
print(result)</t>
  </si>
  <si>
    <t xml:space="preserve">""" store your answer in a variable named result """
number=(input("Enter a number in range [0,999]:"))
x=number%10
y=int(number%100)//10
z=int(number%1000)//100
result=x+y+z
print(result)
</t>
  </si>
  <si>
    <t>x = int(input("Input Number to calculate digits from 0 - 999"))
a = x%10
y = x//10
b = y%10
z = y//10
c = z
result = a + b + c
print(result)</t>
  </si>
  <si>
    <t xml:space="preserve">""" store your answer in a variable named result """
num = int(input("Enter Integer"))
result= sum(map(int,list(str(num))))
print(result)
</t>
  </si>
  <si>
    <t xml:space="preserve">""" store your answer in a variable named result """
n=int(input("Enter a number in range (0,999):"))
x=n//100
y=(n%100)//10
z=n%10
result=x+y+z
print(result)
</t>
  </si>
  <si>
    <t>x = int(input("enter number in range 0,999: "))
hundred=x//100
tenses=(x//10)%10
ones=x%10
result= hundred + tenses + ones
print(result)</t>
  </si>
  <si>
    <t>""" store your answer in a variable named result """
number = eval(input("Enter an integer:"))
result = sum(map(int, str(number)))</t>
  </si>
  <si>
    <t xml:space="preserve">""" store your answer in a variable named result """
i = int(input("Enter integer in range 0, 999:"))
ones = (i % 10)
hundreds = (i - ( i % 100 ))//100
tens = (( i % 100 ) - ones)//10
result = ones+tens+hundreds
print(result)
        </t>
  </si>
  <si>
    <t>""" store your answer in a variable named result """
digit=str(input(" Enter an integer in the range (0,999): "))
result=int(digit[0])+int(digit[1])+int(digit[2])
print(result)</t>
  </si>
  <si>
    <t xml:space="preserve">number=eval(input("Enter a number in range [0,999]: "))
result=(number % 10+number//100+(number-number//100*100-number%10)/10)
print("The sum of digit is" , result)
</t>
  </si>
  <si>
    <t xml:space="preserve">""" store your answer in a variable named result """
x=int(input("Input integer: "))
if x&gt;999 or x&lt;0:
   x=int(input("Try again: "))
result=x%10+x//100+(x%100)//10
print(result)
</t>
  </si>
  <si>
    <t>n = input("Enter an integer: ")
hd = n//100
td = (n - hd*100)//10
od = n%10
result = hd + td + od
print(result)</t>
  </si>
  <si>
    <t xml:space="preserve">""" store your answer in a variable named result """
n = int(input("Please input an integer in range[0,999]: "))
result = sum(map(int, str(n)))
print(result)
</t>
  </si>
  <si>
    <t xml:space="preserve">x = int(input("asks user to enter an integer in range [0,999]"))
y = x % 10
print(y)
z = int((x%100)/10)
print(z)
a = int(x/100)
result = y + z + a
print(result)
</t>
  </si>
  <si>
    <t xml:space="preserve">x=input("Enter an integer, range 1-999: ")
result =0
for count in range (3):
    result+=x%10
    x//=10
print (result)
""" store your answer in a variable named result """
</t>
  </si>
  <si>
    <t>""" store your answer in a variable named result """
x = input("Enter an integer within 0 to 999")
result = x%10 + (x%100)//10 + (x%1000)//100
result</t>
  </si>
  <si>
    <t>""" store your answer in a variable named result """
integer = eval ( input ("Enter an integer from 0 to 999:") )
a = integer % 10
b = integer % 100
c = (integer - b) / 100
d = (b - a) / 10
result = a + c + d
print(result)</t>
  </si>
  <si>
    <t>""" store your answer in a variable named result """
x = eval (input("Enter a value for x : "))
result = x % 10 + x // 10 % 10 + x // 100 % 10
print(result)</t>
  </si>
  <si>
    <t>""" store your answer in a variable named result """
a=input("Enter an integer between 0 and 999.")
b=a%10
c=(a%100)//10
d=a//100
result=b+c+d</t>
  </si>
  <si>
    <t>""" store your answer in a variable named result """
number=eval(input('enter an integer in range [0,999]'))
result=int(number%10)+int((number%100)//10)+int(number//100)
print(result)</t>
  </si>
  <si>
    <t>i = int(input("Enter a positive integer from 0 to 999."))
ones = i % 10
t = i % 100 - ones
tens = (i % 100 - ones)/ 10
hundreds = (i - t - ones)/ 100
result = ones + tens + hundreds
print(result)</t>
  </si>
  <si>
    <t>""" store your answer in a variable named result """
n = int(input("Enter integer between 0 to 999: "))
hundreds=n//100
tenths= (n- (n//100)*100)//10
one= n-100*hundreds-10*tenths
result=one+tenths+hundreds
print(result)</t>
  </si>
  <si>
    <t>x = eval(input("Enter an integer: "))
y = int(x/2)
z = y*2
result = z ==x
print (result)</t>
  </si>
  <si>
    <t>""" store the final answer in a variable named result """
num = eval(input("enter int:"))
result = (num % 2 == 0)
print(result)</t>
  </si>
  <si>
    <t>""" store the final answer in a variable named result """
result = (int(input("")) % 2) == 0</t>
  </si>
  <si>
    <t>""" store the final answer in a variable named result """
x = input("interger")
x = x%2
result = not(bool(x))
print(result)</t>
  </si>
  <si>
    <t>""" store the final answer in a variable named result """
integer = input("What is the integer: ")
if integer % 2 == 0:
    result = True
else:
    result = False
print(result)</t>
  </si>
  <si>
    <t>""" store the final answer in a variable named result """
x = eval(input("Enter an integer:"))
result = x % 2 == 0
print(result)</t>
  </si>
  <si>
    <t>""" store the final answer in a variable named result """
num=int(input("enter an int:"))
rem=num%2
result=not(rem==1)
print(result)</t>
  </si>
  <si>
    <t>""" store the final answer in a variable named result """
n=int(input(""))
result=not(bool(n%2))</t>
  </si>
  <si>
    <t xml:space="preserve">""" store the final answer in a variable named result """
number=int(input("Enter number:"))
result=number%2==0
print(result)
</t>
  </si>
  <si>
    <t>""" store the final answer in a variable named result """
n = int(input("Enter n:"))
result = n % 2 == 0
print(result)</t>
  </si>
  <si>
    <t>""" store the final answer in a variable named result """
i=int(input("Enter your integer:"))
result=(i//2)*2==i
print(result)</t>
  </si>
  <si>
    <t xml:space="preserve">""" store the final answer in a variable named result """
n = int(input("Enter an integer:"))
result = (n % 2 == 0)
print(result)
</t>
  </si>
  <si>
    <t>""" store the final answer in a variable named result """
x=input("")
result= not bool(x%2)
print(result)</t>
  </si>
  <si>
    <t xml:space="preserve">""" store the final answer in a variable named result """
int = eval(input("enter integer"))
checkint = int%2
result = (checkint == 0)
print(result)
</t>
  </si>
  <si>
    <t xml:space="preserve">""" store the final answer in a variable named result """
x = eval(input("Enter a value for integar: "))
y = int(x/2)
z = y * 2
result = z == x
print(result)
</t>
  </si>
  <si>
    <t xml:space="preserve">#""" store the final answer in a variable named result """
number = eval(input("Enter an integer: "))
if number % 2 == 0 :
    result = True
    print(result)
if number % 2 == 1 :
    result = False
    print(result) 
</t>
  </si>
  <si>
    <t>""" store the final answer in a variable named result """
pen = input ("Type in an integer")
result = pen%2 == 0</t>
  </si>
  <si>
    <t xml:space="preserve">tmp=eval(input("enter integer"))
result=3&gt;4 or tmp%2==0
print (result)
</t>
  </si>
  <si>
    <t xml:space="preserve">integer = eval(input('Enter an integer: '))
result = not(bool(integer % 2))
print(result)
</t>
  </si>
  <si>
    <t xml:space="preserve">n = int(input("Enter an integer: "))
result = (n % 2 == 0)
print (result)
</t>
  </si>
  <si>
    <t xml:space="preserve">ans = eval(input("put in a number: "))
if ans % 2 == 0:
    result = True
else:
    result = False
</t>
  </si>
  <si>
    <t xml:space="preserve">""" store the final answer in a variable named result """
integer=int(input("Enter an integer:"))
result=(integer % 2 == 0)
print(result)
</t>
  </si>
  <si>
    <t xml:space="preserve">
_Intgr = eval(input("Enter integer here: "))
if _Intgr % 2 == 1:
    result = False
else: result = True 
print(result)</t>
  </si>
  <si>
    <t xml:space="preserve">integer = eval(input("Enter an integer: "))
x = integer//2
y = x * 2
result = y== integer
print (result)
</t>
  </si>
  <si>
    <t>""" store the final answer in a variable named result """
integer = input("number: ")
integerone = int(integer)
a = integerone % 2 
result = (a == 0) or (a &lt; 0)
print(result)</t>
  </si>
  <si>
    <t>a = eval(input("enter number"))
result = a % 2 == 0 
print(result)</t>
  </si>
  <si>
    <t xml:space="preserve">""" store the final answer in a variable named result """
n = eval(input("Enter an integer:"))
a = n%2
for a in range (0,1):
    result = True
for a in range (1,2):
    result = False
print(result)
</t>
  </si>
  <si>
    <t>integer = eval(input("Input Int: "))
if integer % 2 == 0:
    result = True
else:
    result = False
print (result)</t>
  </si>
  <si>
    <t>""" store the final answer in a variable named result """
integer = int(input("Enter a number!"))
result = not (integer % 2)
print(result)</t>
  </si>
  <si>
    <t xml:space="preserve">integer= eval(input("Enter your integer:"))
result = integer%2 == 0
  </t>
  </si>
  <si>
    <t>""" store the final answer in a variable named result """
integer = input("a")
result = bool(not integer%2)</t>
  </si>
  <si>
    <t>""" store the final answer in a variable named result """
integer = eval(input("Please input an integer"))
result = integer%2==0</t>
  </si>
  <si>
    <t xml:space="preserve">""" store the final answer in a variable named result """
number1=eval(input( "Enter the number: "))
if number1 % 2 == 1 : result = False
if number1 % 2 == 0 : result = True
print(result)
</t>
  </si>
  <si>
    <t>""" store the final answer in a variable named result """
x=input("")
result=not bool(x%2)
print(result)</t>
  </si>
  <si>
    <t>""" store the final answer in a variable named result """
low = eval (input("Please enter an integer"))
if low % 2 == 0:
    condition = 1
if low % 2 == 1:
    condition = 0
result = bool (condition)
ans = print (result)</t>
  </si>
  <si>
    <t>""" store the final answer in a variable names result """ 
number = eval(input(" Enter an integer"))
result = number % 2
if result == 0:
 print("True")
else:
 result = False    
 print("result")</t>
  </si>
  <si>
    <t xml:space="preserve">integer = eval(input(
    "Enter an integer: "))
result = integer % 2 == 0
print(result)
</t>
  </si>
  <si>
    <t>""" store the final answer in a variable named result """
number= int(input("enter integer:"))
result= number % 2 ==0
print (result)</t>
  </si>
  <si>
    <t xml:space="preserve">I=int(input('enter an integer:'))
result=I%2==0
print (result)
</t>
  </si>
  <si>
    <t>""" store the final answer in a variable named result """
x = eval(input("enter an integer"))
y = int(x / 2)
z = y * 2
result = z == x
print (result)</t>
  </si>
  <si>
    <t>""" store the final answer in a variable named result """
integer = int(input("enter an integer"))
if integer % 2 == 0 : result = True
if integer % 2 != 0 : result = False 
print (result)</t>
  </si>
  <si>
    <t>""" store the final answer in a variable named result """
number = int(input('enter a number:'))
if number % 2 == 0:
  result = True
else:
  result = False</t>
  </si>
  <si>
    <t xml:space="preserve">integer = eval(input("integer: "))
result = integer % 2 == 0
print (result)
</t>
  </si>
  <si>
    <t>""" store the final answer in a variable named result """
integer=int(input("Integer please"))
result=(integer%2==0)
print(result)</t>
  </si>
  <si>
    <t>""" store the final answer in a variable named result """
integer=input(" Enter an integer: ")
result=(integer%2==0)</t>
  </si>
  <si>
    <t xml:space="preserve">x = eval(input("enter integer"))
result = x/2 == 0
</t>
  </si>
  <si>
    <t>""" store the final answer in a variable named result """
a= int(input("enter your amount: "))
result= a%2 == 0</t>
  </si>
  <si>
    <t xml:space="preserve">""" store the final answer in a variable named result """
x=int(input("Enter an integer:"))
result=(x%2==0)
</t>
  </si>
  <si>
    <t>""" store the final answer in a variable named result """
result = input("enter integer: ")
if result % 2 == 0 :
    print( result, "is even")
    result = True
if result % 2 == 1 :
    print( result, "is odd")
    result = False</t>
  </si>
  <si>
    <t xml:space="preserve">""" store the final answer in a variable named result """
integer=eval(input("Enter an integer: "))
result=(integer%2==0)
print(result)
</t>
  </si>
  <si>
    <t xml:space="preserve">x=eval(input("Enter an integer"))
y=x%2
result=y==0
print(result)
</t>
  </si>
  <si>
    <t>""" store the final answer in a variable named result """
number=eval(input("enter interger between 0 and 999: "))
if number % 2 ==0:
    result=bool(1)
else:
    result=bool(0)
print(result)</t>
  </si>
  <si>
    <t xml:space="preserve">num1 = eval(input("enter a number"))
num2 = num1 % 2
result = num2 == 0
</t>
  </si>
  <si>
    <t>number = eval(input("enter an integer"))
result = number % 2 == 0
print(result)</t>
  </si>
  <si>
    <t>""" store the final answer in a variable named result """
num = eval(input("I am dying of cold so enter an integer:"))
result = num//2 == 0</t>
  </si>
  <si>
    <t xml:space="preserve">""" store the final answer in a variable named result """
Varint = int(input("Please enter an integer "))
result = (Varint % 2 == 0)
print(result)
</t>
  </si>
  <si>
    <t>number = eval(input("Enter an interger: "))
result = number % 2 == 0</t>
  </si>
  <si>
    <t xml:space="preserve">number = eval(input("No: "))
ans = number % 2
if ans == 0:
    result = True
else:
    result = False
print(result)
</t>
  </si>
  <si>
    <t>number = eval(input("Enter an integer: "))
result = number % 2 == 0</t>
  </si>
  <si>
    <t>""" store the final answer in a variable named result """
integer = int(input("Enter an integer: "))
result = integer % 2 == 0
print(result)</t>
  </si>
  <si>
    <t xml:space="preserve">number = eval(input(" enter an integer: "))
x = int(number/2)
z = x*2
result = z == number
print(result)
</t>
  </si>
  <si>
    <t xml:space="preserve">""" store the final answer in a variable named result """
i = int(input("enter interger:"))
a = i%2
result = not(a==1)
print(result)
</t>
  </si>
  <si>
    <t>""" store the final answer in a variable named result """
integer=int(input("Enter an integer"))
result = integer%2
if result==0:
    result=True
else:
    result=False
print (result)</t>
  </si>
  <si>
    <t xml:space="preserve">""" store the final answer in a variable named result """
i=int(input('enter an integer'))
result=i%2==0
print(result)
</t>
  </si>
  <si>
    <t>""" store the final answer in a variable named result """
radius = int(input("Enter radius:"))
result = radius % 2 == 0
print(result)</t>
  </si>
  <si>
    <t>""" store the final answer in a variable named result """
ans = int(input("Enter Number here:"))
result = ans % 2 == 0</t>
  </si>
  <si>
    <t>""" store the final answer in a variable named result """
number = int(input("Enter an integer : "))
if number%2 == 1:
    result = False
else:
    result = true
print(result)</t>
  </si>
  <si>
    <t>""" store the final answer in a variable named result """
x=int(input("number:"))
result=(x/2 == x//2)
print(result)</t>
  </si>
  <si>
    <t>""" store the final answer in a variable named result """
r=eval(input("Enter integar:"))
f=r%2
result=(f==0)
print(result)</t>
  </si>
  <si>
    <t>""" store the final answer in a variable named result """
x=(input("Enter an integer"))
result=int(x)%2==0
print(result)</t>
  </si>
  <si>
    <t>""" store the final answer in a variable named result """
number=eval(input("Enter an integer:"))
result=number%2==0
print(result)</t>
  </si>
  <si>
    <t>n = int(input("Enter Number Here to check if it is Even or Odd"))
result = (n%2 == 0)
print(result)</t>
  </si>
  <si>
    <t>""" store the final answer in a variable named result """
x = eval(input("Enter Integer:"))
result = x%2==0</t>
  </si>
  <si>
    <t>""" store the final answer in a variable named result """
n=int(input("Enter n:"))
x=n-1
result=x%2
print(bool(result))</t>
  </si>
  <si>
    <t>x = int(input("number: "))
result = (x % 2==0)
print(result)</t>
  </si>
  <si>
    <t>""" store the final answer in a variable named result """
number = int(input("Enter an integer:"))
result = number%2 == 0</t>
  </si>
  <si>
    <t>""" store the final answer in a variable named result """
i = int(input("Enter value:"))
if i % 2 == 0  : result = True
if i % 2 != 0  : result = False
print(result)</t>
  </si>
  <si>
    <t>""" store the final answer in a variable named result """
number = int (input(" Enter an integer: "))
result = number%2==0
print(result)</t>
  </si>
  <si>
    <t>result = eval(input("Enter an integer: "))
if result % 2 == 0:
	result = True
else: result = False
print(result)</t>
  </si>
  <si>
    <t>number=eval(input("Enter an integer: "))
result=(number%2==0)
print(result)</t>
  </si>
  <si>
    <t>""" store the final answer in a variable named result """
x = int(input("Input integer: "))
result = (x%2==0)
print(result)</t>
  </si>
  <si>
    <t xml:space="preserve">""" store the final answer in a variable named result """
number = eval(input("Please enter an integer: "))
if number % 2 == 0: 
    ans = True
if number % 2 == 1: 
    ans = False
result = ans
</t>
  </si>
  <si>
    <t>""" store the final answer in a variable named result """
number = eval(input("Enter an integer: "))
if number % 2 == 0:
    result = True
    print(result)
else:
    result = False
    print(result)</t>
  </si>
  <si>
    <t>x = input("asks user to enter an integer")
result=(x%2 == 0)
print(result)</t>
  </si>
  <si>
    <t>integer = eval(input( "Enter your integer : "))
x=int(integer/2)
y=x*2
result=y==x
print(result)
""" store the final answer in a variable named result """</t>
  </si>
  <si>
    <t>""" store the final answer in a variable named result """
num1 = input("Enter an integer:")
num2 = int(num1/2)
num3 = int(num2*2)
result = num3 == num1</t>
  </si>
  <si>
    <t>""" store the final answer in a variable named result """
integer = eval( input ("Enter an integer:") )
result = (integer % 2 == 0)
print(result)</t>
  </si>
  <si>
    <t xml:space="preserve">""" store the final answer in a variable named result """
x = eval (input("Enter a value for x: "))
y = int (x / 2)
z = y * 2
result = x == z
print (result)
</t>
  </si>
  <si>
    <t>""" store the final answer in a variable named result """
a=input("Enter an integer.")
result= a%2 == 0 
print(result)</t>
  </si>
  <si>
    <t>""" store the final answer in a variable named result """
number = eval(input('enter an integer'))
result= number%2==0
print(result)</t>
  </si>
  <si>
    <t>i = int(input("Enter an integer"))
result = i % 2 == 0
print(result)</t>
  </si>
  <si>
    <t>""" store the final answer in a variable named result """
n = int(input("Enter an integer: "))
result=n%2==0
print(result)</t>
  </si>
  <si>
    <t>x,y = y,x</t>
  </si>
  <si>
    <t>temp = x
x = y
y = temp</t>
  </si>
  <si>
    <t>x, y = y, x</t>
  </si>
  <si>
    <t xml:space="preserve">x, y = y, x
</t>
  </si>
  <si>
    <t>a=x
x=y
y=a</t>
  </si>
  <si>
    <t xml:space="preserve">(x,y)=(y,x)
</t>
  </si>
  <si>
    <t>x, y=y, x</t>
  </si>
  <si>
    <t xml:space="preserve">(x, y) = (y, x)
</t>
  </si>
  <si>
    <t>x,y=y,x</t>
  </si>
  <si>
    <t>x , y = (y , x)</t>
  </si>
  <si>
    <t xml:space="preserve">x,y=y,x
</t>
  </si>
  <si>
    <t>x,y = y, x # Swap x with y</t>
  </si>
  <si>
    <t>x , y = y , x</t>
  </si>
  <si>
    <t>z = x
x = y
y = z</t>
  </si>
  <si>
    <t>x, y =y, x</t>
  </si>
  <si>
    <t>x, y = y, x
newx = x
newy = y</t>
  </si>
  <si>
    <t xml:space="preserve">
tpm=x
x=y
y=tpm
print(x)
print(y)
</t>
  </si>
  <si>
    <t xml:space="preserve">x, y = x, y
x, y = y, x
</t>
  </si>
  <si>
    <t>a = x
x = y
y = a</t>
  </si>
  <si>
    <t>(x,y) = (y,x)</t>
  </si>
  <si>
    <t>oldx, oldy=x, y
x=oldy
y=oldx</t>
  </si>
  <si>
    <t xml:space="preserve">x, y=y, x
</t>
  </si>
  <si>
    <t xml:space="preserve">tmp = x
x = y
y = tmp
</t>
  </si>
  <si>
    <t>extra=x
x=y
y=extra</t>
  </si>
  <si>
    <t>temp=x
x=y
y=temp</t>
  </si>
  <si>
    <t>temp=x
x=y
y=temp</t>
  </si>
  <si>
    <t>a =True
b =False
c =False
d = False   
e = True</t>
  </si>
  <si>
    <t>a = True
b = False
c = False
d = False
e = True</t>
  </si>
  <si>
    <t>a = True
b =False
c =False
d = False
e = True</t>
  </si>
  <si>
    <t>a =True
b =False
c =False
d = False
e = True</t>
  </si>
  <si>
    <t>a =True
b =False
c =False
d =False 
e =True</t>
  </si>
  <si>
    <t>a =True
b =False
c =False
d =False
e = True</t>
  </si>
  <si>
    <t xml:space="preserve">a = True
b = False
c = False
d = False 
e = True </t>
  </si>
  <si>
    <t>a = True
b = False
c = False 
d = False
e = True</t>
  </si>
  <si>
    <t>a =True
b =False
c =False
d =False
e =True</t>
  </si>
  <si>
    <t>a = True 
b = False
c = False
d = False
e = True</t>
  </si>
  <si>
    <t>a =True
b =False
c =False
d = False
e = True</t>
  </si>
  <si>
    <t>a = 1
b = 0
c = 0
d = 0
e = 1</t>
  </si>
  <si>
    <t xml:space="preserve">a =True
b =False
c =False
d =False 
e =True </t>
  </si>
  <si>
    <t>a = True
b = False
c = False 
d =False 
e = True</t>
  </si>
  <si>
    <t>result =(3+4*x)/5 - (10*(y-5)*(a+b+c))/x + 9 * (4/x + (9+x)/y)</t>
  </si>
  <si>
    <t>result = (3 + 4 * x) / 5 - 10 * (y - 5) * (a + b + c) / x + 9 * (4 / x + (9 + x) / y)</t>
  </si>
  <si>
    <t>result = (3+4*x)/5-(10*(y-5)*(a+b+c))/x+9*(4/x+(9+x)/y)</t>
  </si>
  <si>
    <t>result =((3 + 4*x)/5) - ((10*(y-5)*(a+b+c))/x) + (9*((4/x)+ ((9+x)/y)))   #write your python expression here</t>
  </si>
  <si>
    <t>result = ( 3 + 4 * x ) / 5 - 10 * ( y - 5 ) * ( a + b + c ) / x + 9 * ( 4 / x + ( 9 + x ) / y )</t>
  </si>
  <si>
    <t>result = ( 3 + 4 * x ) / 5 - 10 * ( y - 5 ) * ( a + b + c ) / x + 9 * ( 4 / x + ( 9 + x ) / y ) #write your python expression here</t>
  </si>
  <si>
    <t>result = ((3+4*x)/5) - ((10*(y-5)*(a+b+c))/x) + (9*(4/x+(9+x)/y))   #write your python expression here</t>
  </si>
  <si>
    <t xml:space="preserve">result = (3+4*x)/5-(10*(y-5)*(a+b+c))/x+9*((4/x)+(9+x)/y)                      </t>
  </si>
  <si>
    <t>x=1
y=2
a=3
b=4
c=5
result=(3+4*x)/5-(10*(y-5)*(a+b+c))/x+9*(4/x+(9+x)/y) 
print(result)#write your python expression here</t>
  </si>
  <si>
    <t>result =   (3 + 4*x) / 5 - (10 * (y - 5) * (a + b +c)) / x + 9 * ((4 / x) + ((9 + x) / y))</t>
  </si>
  <si>
    <t>result = ((3+4*x)/5)-((10*(y-5)*(a+b+c))/x)+(9*((4/x)+(9+x)/y))   #write your python expression here</t>
  </si>
  <si>
    <t>result = ((3+4*x)/5)-(10*(y-5)*(a+b+c)/x)+9*((4/x)+((9+x)/y))#write your python expression here</t>
  </si>
  <si>
    <t>result = (3+4*x)/5-(10*(y-5)*(a+b+c)/x)+9*((4/x)+(9+x)/y)   #write your python expression here</t>
  </si>
  <si>
    <t>result =  ((3+4*x)/5) - ((10*(y-5)*(a+b+c))/x) + (9*((4/x)+((9+x)/y))) #write your python expression here</t>
  </si>
  <si>
    <t>x,y,a,b,c= 1,2,3,4,5
result= 442.4</t>
  </si>
  <si>
    <t>result = (3+4*x)/5-(10*(y-5)*(a+b+c)/x)+9*((4/x)+(9+x)/y)</t>
  </si>
  <si>
    <t>result = ( (3+4*x)/5 - (10 * (y-5) * (a+b+c) )/x + 9 * ( 4/x + (9+x)/y) )</t>
  </si>
  <si>
    <t>result = (3+4*x)/5 - (10*(y-5)*(a+b+c))/x + 9*((4/x)+((9+x)/y))  #write your python expression here</t>
  </si>
  <si>
    <t>result = (3+4*x)/5-(10*(y-5)*(a+b+c)/x)+ 9*((4/x)+(9+x)/y)</t>
  </si>
  <si>
    <t>result = ( 3 + 4 * x ) / 5 - ( 10 * (y - 5) * (a + b + c) ) /x +  9 * (4/x + (9 + x) / y) #write your python expression here</t>
  </si>
  <si>
    <t>result = ((3 + 4 * x) / 5) - ((10 * (y - 5) * (a + b + c)) / x) + (9 * ((4 / x) + ((9 + x) / y)))</t>
  </si>
  <si>
    <t>result= (3+4*x)/5- ((10*(y-5)*(a+b+c))/x) + 9*(4/x + (9+x)/y) #write your python expression here</t>
  </si>
  <si>
    <t>result =  ((3 + 4*x)/5)-((10*(y-5)*(a+b+c))/x)+(9*((4/x)+((9+x)/y))) #write your python expression here</t>
  </si>
  <si>
    <t>result = ((3 + 4 * x) / 5) - (10 * (y - 5) * (a + b + c) / x) + (9 * ((4 / x ) + (9 + x) / y))#</t>
  </si>
  <si>
    <t xml:space="preserve">result = ((3 + 4*x)/5) -(10*(y-5)*(a + b + c)/x) + 9*(4/x + (9 + x)/y) </t>
  </si>
  <si>
    <t xml:space="preserve">
result = ((3+4*x)/5)-(10*(y-5)*(a+b+c))/x+9*(4/x+(9+x)/y)
</t>
  </si>
  <si>
    <t xml:space="preserve">q = (3 + 4*x)/5
w = 10*(y- 5)*(a + b + c)/x
e = 9*( 4/x + ( 9 + x)/y)
result = q - w + e
print(result)
</t>
  </si>
  <si>
    <t>result = (3 + 4*x)/5 - 10 * (y-5) * (a + b + c) / x + 9 * (4/x+(9+x)/y)  #write your python expression here</t>
  </si>
  <si>
    <t>result = ((3 + 4*x)/5) - (10*(y-5)*(a+b+c))/x + 9*(4/x + (9+x)/y) #write your python expression here</t>
  </si>
  <si>
    <t>result =   (3 + 4 * x)/5 - (10*(y-5)*(a+b+c))/x + 9 * (4/x + (9+x)/y)</t>
  </si>
  <si>
    <t>result=(3+4*x)/5-(10*(y-5)*(a+b+c))/x+9*((4/x)+(9+x)/y)</t>
  </si>
  <si>
    <t>result = (3 + (4*x))/5 - (10*(y - 5)*(a+b+c))/x + (9*((4/x)+(9+x)/y))  #write your python expression here</t>
  </si>
  <si>
    <t xml:space="preserve">x=5
y=6
a=7
b=8
c=9
d=(3+4*x)/5
e=10*(y-5)*(a+b+c)/x
f=9*((4/x)+(9+x)/y)
result=(d-e)+f
</t>
  </si>
  <si>
    <t xml:space="preserve">result = (3+4*x)/5-(10*(y-5)*(a+b+c)/x)+9*((4/x)+(9+x)/y) </t>
  </si>
  <si>
    <t>alpha, beta, gamma = 0, 0, 0
  #write your python expression here
alpha = (3 + 4 * x) / 5
beta = (10 * (y - 5) * (a + b + c))/x
gamma = 9 * ((4 / x) + ((9 + x)/y))
result = alpha - beta + gamma
ans = result</t>
  </si>
  <si>
    <t>result = (3+4*x)/5-10*(y-5)*(a+b+c)/x+9*(4/x+(9+x)/y)</t>
  </si>
  <si>
    <t>result = (3 + 4*x)/5 - (10*(y - 5)*(a + b + c))/x + 9*((4/x) + (9 + x)/y)</t>
  </si>
  <si>
    <t>result =(3 + 4 * x)/5 - (10 * (y - 5) * (a + b + c))/x + 9 * (4/x + (9 + x)/y)  #write your python expression here</t>
  </si>
  <si>
    <t xml:space="preserve">result = (3+4*x)/5-10*(y-5)*(a+b+c)/x+9*((4/x)+(9+x)/y)
</t>
  </si>
  <si>
    <t>result = (3 + 4 * x) / 5 - (10 * (y - 5) * (a + b + c)) / x + 9 * (4 / x + (9 + x) / y)</t>
  </si>
  <si>
    <t>result = (3 + 4*x)/5 - (10 * ( y - 5) * (a + b + c))/x + (9 * (( 4 / x) + (9 + x)/y))</t>
  </si>
  <si>
    <t>result = ((3+4*x)/5) - ( (10*(y-5)*(a+b+c)) /x) + (9*((4/x)+((9+x)/y)))  #write your python expression here</t>
  </si>
  <si>
    <t>result =  (3 + 4 * x) / 5 - 10 * (y - 5) * (a + b + c) / x + 9 * (4 / x + (9 + x) / y)</t>
  </si>
  <si>
    <t>result =  (3 + (4*x))/5 - (10*(y-5)*(a+b+c)/x) + 9*(4/x + (9+x)/y) #write your python expression here</t>
  </si>
  <si>
    <t>result = (3+4*x)/5 - (10*(y-5)*(a+b+c))/x + 9*(4/x+(9+x)/y)</t>
  </si>
  <si>
    <t>result = (3 + 4*x) / 5 - (10*(y - 5)*(a + b + c)) / x + 9*((4 / x) + ((9 + x) / y))</t>
  </si>
  <si>
    <t>result =   ((3+4*x)/5)-((10*(y-5)*(a+b+c))/x)+(9*((4/x)+(9+x)/y))</t>
  </si>
  <si>
    <t>result = (3+4*x)/5-(10*(y-5)*(a+b+c)/x)+ 9*((4/x)+(9+x)/y)
 #write your python expression here</t>
  </si>
  <si>
    <t>result =((3+4*x)/5)-(10*(y-5)*(a+b+c)/x)+(9*((4/x)+(9+x)/y))</t>
  </si>
  <si>
    <t>result = int( ( 3 + 4 * x ) / 5 ) - ( ( 10 * ( y - 5 ) * ( a + b + c ) ) / x ) + ( 9 * ( 4 / x + ( 9 + x ) / y ) )</t>
  </si>
  <si>
    <t>result = (3 + 4 * x) / 5 - 10 * (y -5) * (a + b + c) / x + 9 * (4 / x + (9 + x) / y)</t>
  </si>
  <si>
    <t xml:space="preserve">result = (3 + 4*x)/5 - (10 * (y - 5) * (a + b + c))/x + 9 * ( 4/x + ( 9 + x )/y )
print (result) </t>
  </si>
  <si>
    <t>result = ((3 + 4*x)/5) - ((10*(y-5)*(a + b + c))/x)  + (9*((4/x)+((9+x)/y))) #write your python expression here</t>
  </si>
  <si>
    <t>result = ((3+4*x)/5) - ((10*(y-5)*(a+b+c)) /x) + 9*((4/x)+((9+x)/y)) #write your python expression here</t>
  </si>
  <si>
    <t>result = ( (3+4*x)/5 - (10*(y-5)*(a+b+c))/x + 9*(4/x + (9+x)/y) )</t>
  </si>
  <si>
    <t>result = ((3+4*x)/5)-((10*(y-5)*(a+b+c))/x)+(9*((4/x)+((9+x)/y)))</t>
  </si>
  <si>
    <t>result = ( (3+4*x)/5 - (10*(y-5)*(a+b+c))/x +9*(4/x+(9+x)/y) ) #write your python expression here</t>
  </si>
  <si>
    <t>result = (3 + 4*x)/5 - ( 10 * ( y - 5 ) * (a + b + c ) ) / x + 9 * (4/x + (9+x)/y)  #write your python expression here</t>
  </si>
  <si>
    <t>result = (3 + 4*x)/5 - (10*(y - 5)*(a + b + c))/x + 9* ((4/x) + (9 + x)/y)
#write your python expression here</t>
  </si>
  <si>
    <t>result = ((3+4*x)/5)-((10*(y-5)*(a+b+c))/x)+9*((4/x)+(9+x)/y)   #write your python expression here</t>
  </si>
  <si>
    <t>result = (3+4*x)/5 - (10*(y-5)*(a+b+c))/x + 9*(4/x + ((9+x)/y)) #write your python expression here</t>
  </si>
  <si>
    <t>result= (3+4*x)/5-10*(y-5)*(a+b+c)/x+9*(4/x+(9+x)/y)</t>
  </si>
  <si>
    <t>result =  (3 + 4 * x) / 5 - (10 * (y - 5) * (a + b + c)) / x + 9 * ((4 / x) + (9 + x)/ y)</t>
  </si>
  <si>
    <t>result = (3+4*x)/5 - (10*(y-5)*(a+b+c))/x+9*(4/x+(9+x)/y)</t>
  </si>
  <si>
    <t>result = (3+4*x)/5 - 10*(y-5)*(a+b+c)/x + 9*(4/x+(9+x)/y)</t>
  </si>
  <si>
    <t>result =  (3+4*x)/5-(10*(y-5)*(a+b+c))/x+9*(4/x+(9+x)/y) #write your python expression here</t>
  </si>
  <si>
    <t>result = ((3+4*x)/5)-(10*(y-5)*(a+b+c)/x)+(9*(4/x+(9+x)/y))  #write your python expression here</t>
  </si>
  <si>
    <t>result =  ((3+4*x)/5)-((10*(y-5))*(a+b+c)/x)+(9*((4/x)+((9+x)/y))) #write your python expression here</t>
  </si>
  <si>
    <t xml:space="preserve">result = ((3+4*x)/5)-(10*(y-5)*(a+b+c)/x)+(9*((4/x)+(9+x)/y))  #write your python expression here
</t>
  </si>
  <si>
    <t xml:space="preserve">result = (3+(4*x))/5 - (10*(y - 5)*(a + b + c))/x + 9*(4/x + (9 + x)/y)
</t>
  </si>
  <si>
    <t>result = ((3+4*x)/5)-((10*(y-5)*(a+b+c))/x)+(9*((4/x)+(9+x)/y))  #write your python expression here</t>
  </si>
  <si>
    <t>result=(3+4*x)/5-((10*(y-5)*(a+b+c)))/x +9*(4/x+(9+x)/y) #write your python expression here</t>
  </si>
  <si>
    <t>result=((3+4*x)/5)-(10*(y-5)*(a+b+c))/x+9*(4/x+(9+x)/y) 
#write your python expression here</t>
  </si>
  <si>
    <t>result =  (3 + 4*x)/5 - ( 10 * ( y - 5 ) * (a + b + c))/x  + 9 * ( ( 4/x ) + ( 9 + x )/y)</t>
  </si>
  <si>
    <t>result = ((3+4*x)/5) - (10*(y-5)*(a+b+c)/x) + (9*(4/x+(9+x)/y))   #write your python expression here</t>
  </si>
  <si>
    <t>result = ((3 + 4*x) / 5) - (( 10 * (y - 5 ) * (a + b + c)) / x) + 9 * ((4 / x) + ((9 + x) / y))</t>
  </si>
  <si>
    <t>result = (3 + 4 * x )/5 - 10 * (y - 5) * (a + b + c) /x + 9 * (4/x + (9 + x )/y )</t>
  </si>
  <si>
    <t>#write your python expression here
result = (3+4*x)/5 - (10*(y-5)*(a+b+c))/x + 9*((4/x)+((9+x)/y))</t>
  </si>
  <si>
    <t>result = ((3 + 4 * x) / 5) - ((10 * (y - 5) * (a + b + c)) / x) + 9 * ((4 / x) + ((9 + x) / y))</t>
  </si>
  <si>
    <t>a = 1
b = 2
c = 3
x = 4
y = 5
result= (3 + 4*x)/5 - (10*(y-5)*(a+b+c))/x + 9*(4/x + (9+x)/y)</t>
  </si>
  <si>
    <t>result = ((3+4*x)/5)-((10*(y-5)*(a+b+c))/x)+(9*((4/x)+((9+x)/y)))
#write your python expression here</t>
  </si>
  <si>
    <t>result = (3+4*x)/5 - (10*(y-5)*(a+b+c))/x + 9*(4/x + (9+x)/y)  #write your python expression here</t>
  </si>
  <si>
    <t>result = ((3 + 4 * x) / 5) - ((10 * (y - 5) * (a + b + c)) / x) + 9 * ( (4 / x) + ((9 + x) / y))</t>
  </si>
  <si>
    <t>result = ans = (3 + 4 * x) / 5 - 10 * (y - 5) * (a + b + c) / x + 9 * (4 / x + (9 + x) / y)                  
                        #write your python expression here</t>
  </si>
  <si>
    <t>result =  ((3+4*x)/5-(10*(y-5)*(a+b+c))/x+9*(4/x+(9+x)/y)) #write your python expression here</t>
  </si>
  <si>
    <t>result = ((3+4*x)/5) - ((10*(y-5)*(a+b+c))/x) + 9*((4/x)+(9+x)/y)</t>
  </si>
  <si>
    <t>result = (3 + 4 * x)/5 - 10 * (y - 5) * (a + b + c)/x + 9 * (4/x + (9 + x)/y)</t>
  </si>
  <si>
    <t>result =   (3+4*x)/5 - (10/x)*(y-5)*(a+b+c)+9*(4/x+(9+x)/y)</t>
  </si>
  <si>
    <t>def chineseZodiac(year):
    if year % 12 == 1:
        zodiacYear = "rooster"
    if year % 12 == 2:
        zodiacYear = "dog"
    if year % 12 ==  3 :
        zodiacYear = "pig"
    if year % 12 == 4:
        zodiacYear = "rat"
    if year % 12 == 5:
        zodiacYear = "ox"
    if year % 12 == 6:
        zodiacYear = "tiger"
    if year % 12 ==  7:
        zodiacYear = "rabbit"
    if year % 12 ==  8:
        zodiacYear = "dragon"
    if year % 12 ==  9:
        zodiacYear = "snake"
    if year % 12 ==  10:
        zodiacYear = "horse"
    if year % 12 ==  11:
        zodiacYear = "sheep"
    if year % 12 ==  0:
        zodiacYear = "monkey"
    return zodiacYear</t>
  </si>
  <si>
    <t>def chineseZodiac(year):
    #write your code here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</si>
  <si>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return ["monkey", "rooster", "dog", "pig", "rat", "ox", "tiger", "rabbit", "dragon", "snake", "horse", "sheep"][year%12]</t>
  </si>
  <si>
    <t>def chineseZodiac(year):
    #write your code below
    y = year%12
    s = ["monkey",'rooster",'dog",'pig",'rat",'ox",'tiger",'rabbit",'dragon",'snake",'horse",'sheep']
    zodiacYear = s[y]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</si>
  <si>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"sheep"#write your code below
    return zodiacYear</t>
  </si>
  <si>
    <t>def chineseZodiac(year):
    if year%12 == 0:
        zodiacYear="monkey"
    elif year%12 == 1:
        zodiacYear="rooster"
    elif year%12 == 2:
        zodiacYear="dog"
    elif year%12 == 3:
        zodiacYear="pig"
    elif year%12 == 4:
        zodiacYear="rat"
    elif year%12 == 5:
        zodiacYear="ox"
    elif year%12 == 6:
        zodiacYear="tiger"
    elif year%12 == 7:
        zodiacYear="rabbit"
    elif year%12 == 8:
        zodiacYear="dragon"
    elif year%12 == 9:
        zodiacYear="snake"
    elif year%12 == 10:
        zodiacYear="horse"
    else:
        zodiacYear="sheep"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</si>
  <si>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</si>
  <si>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a=year%12
    if a==0:
      zodiacYear="monkey"
    elif a==1:
        zodiacYear="rooster"
    elif a==2:
        zodiacYear="dog"
    elif a==3:
        zodiacYear="pig"
    elif a==4:
        zodiacYear="rat"
    elif a==5:
        zodiacYear="ox"
    elif a==6:
        zodiacYear="tiger"
    elif a==7:
        zodiacYear="rabbit"
    elif a==8:
        zodiacYear="dragon"    
    elif a==9:
        zodiacYear="snake"
    elif a==10:
        zodiacYear="horse"
    else: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</si>
  <si>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</si>
  <si>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#write your code below
    year=year%12
    if year==0:
        zodiacYear="monkey"
    elif year==1:
        zodiacYear="rooster"
    elif year==2:
        zodiacYear="dog"
    elif year==3:
        zodiacYear="pig"
    elif year==4:
        zodiacYear="rat"
    elif year==5:
        zodiacYear="ox"
    elif year==6:
        zodiacYear="tiger"
    elif year==7:
        zodiacYear="rabbit"
    elif year==8:
        zodiacYear="dragon"
    elif year==9:
        zodiacYear="snake"
    elif year==10:
        zodiacYear="horse"
    elif year==11:
        zodiacYear="sheep"
    return zodiacYear</t>
  </si>
  <si>
    <t>def chineseZodiac(year):
    #write your code below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</si>
  <si>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#write your code below
    x=year%12
    if x==0:
        zodiacYear='monkey'
    elif x==1:
        zodiacYear='rooster'
    elif x==2:
        zodiacYear='dog'
    elif x==3:
        zodiacYear='pig'
    elif x==4:
        zodiacYear='rat'
    elif x==5:
        zodiacYear='ox'
    elif x==6:
        zodiacYear='tiger'
    elif x==7:
        zodiacYear='rabbit'
    elif x==8:
        zodiacYear='dragon'
    elif x==9:
        zodiacYear='snake'
    elif x==10:
        zodiacYear='horse'
    elif x==11:
        zodiacYear='sheep'
    return zodiacYear</t>
  </si>
  <si>
    <t>def chineseZodiac(year):
    #write your code below
    a=year%12
    if a==0:
        zodiacYear="monkey"
    elif a==1:
        zodiacYear="rooster"
    elif a==2:
        zodiacYear="dog"
    elif a==3:
        zodiacYear="pig"
    elif a==4:
        zodiacYear="rat"
    elif a==5:
        zodiacYear="ox"
    elif a==6:
        zodiacYear="tiger"
    elif a==7:
        zodiacYear="rabbit"
    elif a==8:
        zodiacYear="dragon"
    elif a==9:
        zodiacYear="snake"
    elif a==10:
        zodiacYear="horse"
    else:
        zodiacYear="sheep"
    return zodiacYear</t>
  </si>
  <si>
    <t>def chineseZodiac(year):
    x = year % 12
    if x == 0:
        zodiacyear = "monkey"
    elif x == 1:
        zodiacyear = "rooster"
    elif x == 2:
        zodiacyear = "dog"
    elif x == 3:
        zodiacyear = "pig"
    elif x == 4:
        zodiacyear = "rat"
    elif x == 5:
        zodiacyear = "ox"
    elif x == 6:
        zodiacyear = "tigar"
    elif x == 7:
        zodiacyear = "rabbit"
    elif x == 8:
        zodiacyear = "dragon"
    elif x == 9:
        zodiacyear = "snake"
    elif x == 10:
        zodiacyear = "horse"
    elif x == 11:
        zodiacyear = "sheep"
    return zodiacyear</t>
  </si>
  <si>
    <t xml:space="preserve">def chineseZodiac(year):
    #write your code below
    if  year%12==0:
        zodiacYear = 'monkey'
    elif  year%12==1:
        zodiacYear = 'rooster'
    elif  year%12==2:
        zodiacYear = 'dog'
    elif  year%12==3:
        zodiacYear = 'pig'
    elif  year%12==4:
        zodiacYear = 'rat'
    elif  year%12==5:
        zodiacYear = 'ox'
    elif  year%12==6:
        zodiacYear = 'tiger'
    elif  year%12==7:
        zodiacYear = 'rabbit'
    elif  year%12==8:
        zodiacYear = 'dragon'
    elif  year%12==9:
        zodiacYear = 'snake'
    elif  year%12==10:
        zodiacYear = 'horse'
    else:
        zodiacYear ='sheep'
    return zodiacYear
</t>
  </si>
  <si>
    <t xml:space="preserve">def chineseZodiac(year):
    #write your code below
    quo = year % 12
    if quo == 0:
        zodiacYear = 'monkey'
    elif quo == 1:
        zodiacYear = 'rooster'
    elif quo == 2:
        zodiacYear = 'dog'
    elif quo == 3:
        zodiacYear = 'pig'
    elif quo == 4:
        zodiacYear = 'rat'
    elif quo == 5:
        zodiacYear = 'ox'
    elif quo == 6:
        zodiacYear = 'tiger'
    elif quo == 7:
        zodiacYear = 'rabbit'
    elif quo == 8:
        zodiacYear = 'dragon'
    elif quo == 9:
        zodiacYear = 'snake'
    elif quo == 10:
        zodiacYear = 'horse'
    elif quo == 11:
        zodiacYear = 'sheep'
    return zodiacYear
</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</si>
  <si>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</si>
  <si>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</si>
  <si>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 xml:space="preserve">def chineseZodiac(year):
    #write your code below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
</t>
  </si>
  <si>
    <t>def chineseZodiac(year):
    if year % 12 &lt;=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</si>
  <si>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</si>
  <si>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#write your code below
    zodiac = year % 12
    if zodiac == 1:
        zodiacYear = "rooster"
    elif zodiac == 2:
        zodiacYear = "dog"
    elif zodiac == 3:
        zodiacYear = "pig"
    elif zodiac == 4:
        zodiacYear = "rat" 
    elif zodiac == 5:
        zodiacYear = "ox"
    elif zodiac == 6:
        zodiacYear = "tiger"
    elif zodiac == 7:
        zodiacYear = "rabbit"
    elif zodiac == 8:
        zodiacYear = "dragon"
    elif zodiac == 9:
        zodiacYear = "snake"
    elif zodiac == 10:
        zodiacYear = "horse"
    elif zodiac == 11:
        zodiacYear = "sheep"
    else:
        zodiacYear  = "monkey"
    return zodiacYear</t>
  </si>
  <si>
    <t>def chineseZodiac(year):
    x=year%12
    if x ==0:
        zodiacYear = "monkey"
    elif x==1:
        zodiacYear = "rooster"
    elif x==2:
        zodiacYear = "dog"
    elif x==3:
        zodiacYear = "pig"
    elif x==4:
        zodiacYear = "rat"
    elif x==5:
        zodiacYear = "ox"
    elif x==6:
        zodiacYear = "tiger"
    elif x==7:
        zodiacYear = "rabbit"
    elif x==8:
        zodiacYear = "dragon"
    elif x==9:
        zodiacYear = "snake"
    elif x==10:
        zodiacYear = "horse"
    elif x==11:
        zodiacYear = "sheep"
    return zodiacYear</t>
  </si>
  <si>
    <t>def chineseZodiac(year):
    if year % 12 == 0:
        return 'monkey'
    elif year % 12 == 1:
        return 'rooster'
    elif year % 12 == 2:
        return 'dog'
    elif year % 12 ==3:
        return 'pig'
    elif year % 12 ==4:
        return 'rat'
    elif year % 12 ==5:
        return 'ox'
    elif year % 12 ==6:
        return 'tiger'
    elif year % 12 ==7:
        return 'rabbit'
    elif year % 12 ==8:
        return 'dragon'
    elif year % 12 ==9:
        return 'snake'
    elif year % 12 ==10:
        return 'horse'
    else:
        return 'sheep'
    #write your code below
    return zodiacYear</t>
  </si>
  <si>
    <t xml:space="preserve">def chineseZodiac(year):
    a = year % 12
    if a == 0:
            zodiacYear = ("monkey")
    if a == 1:
            zodiacYear = ("rooster")
    if a == 2:
            zodiacYear = ("dog")
    if a == 3:
            zodiacYear = ("pig")
    if a == 4:
            zodiacYear = ("rat")
    if a == 5:
            zodiacYear = ("ox")
    if a == 6:
            zodiacYear = ("tiger")
    if a == 7:
            zodiacYear = ("rabbit")
    if a == 8:
            zodiacYear = ("dragon")
    if a == 9:
            zodiacYear = ("snake")
    if a == 10:
            zodiacYear = ("horse")
    if a == 11:
            zodiacYear = ("sheep")
    return zodiacYear
</t>
  </si>
  <si>
    <t>def chineseZodiac(year):
    #write your code below
    x = year
    if x%12 == 0:
        zodiacYear = "monkey"
    if x%12 == 1:
        zodiacYear = "rooster"
    if x%12 == 2:
        zodiacYear = "dog"
    if x%12 == 3:
        zodiacYear = "pig"
    if x%12 == 4:
        zodiacYear = "rat"
    if x%12 == 5:
        zodiacYear = "ox"
    if x%12 == 6:
        zodiacYear = "tiger"   
    if x%12 == 7:
        zodiacYear = "rabbit"
    if x%12 == 8:
        zodiacYear = "dragon"
    if x%12 == 9:
        zodiacYear = "snake"
    if x%12 == 10:
        zodiacYear = "horse"
    if x%12 == 11:
        zodiacYear = "sheep"
    return zodiacYear</t>
  </si>
  <si>
    <t>def chineseZodiac(year):
    #write your code below
    if year % 12 == 0:
        result = "monkey"
    elif year % 12 == 1:
        result = "rooster"
    elif year % 12 == 2:
        result = "dog"
    elif year % 12 == 3:
        result = "pig"
    elif year % 12 == 4:
        result = "rat"
    elif year % 12 == 5:
        result = "ox"
    elif year % 12 == 6:
        result = "tiger"
    elif year % 12 == 7:
        result = "rabbit"
    elif year % 12 == 8:
        result = "dragon"
    elif year % 12 == 9:
        result = "snake"
    elif year % 12 == 10:
        result = "horse"
    elif year % 12 == 11:
        result = "sheep"
    return result</t>
  </si>
  <si>
    <t>def chineseZodiac(year):
    #write your code below
    zodiac = ['monkey",'rooster",'dog",'pig",'rat",'ox",'tiger",'rabbit",'dragon",'snake",'horse",'sheep']
    zodiacYear = zodiac[year % 12]
    return zodiacYear</t>
  </si>
  <si>
    <t>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else:
        zodiacYear = "sheep"
    return zodiacYear</t>
  </si>
  <si>
    <t>def chineseZodiac(year):
    possible = ["monkey","rooster","dog","pig","rat","ox","tiger","rabbit","dragon","snake","horse","sheep"]
    zodiacYear = possible[year%12]
    return zodiacYear</t>
  </si>
  <si>
    <t>def chineseZodiac(year):
    #write your code below
    variable = year % 12
    if variable == 1: 
        zodiacYear = 'rooster'
    elif variable == 2: 
        zodiacYear = 'dog'
    elif variable == 3: 
        zodiacYear = 'pig'
    elif variable == 4: 
        zodiacYear = 'rat'
    elif variable == 5: 
        zodiacYear = 'ox'
    elif variable == 6:
        zodiacYear = 'tiger'
    elif variable == 7:
        zodiacYear = 'rabbit'
    elif variable == 8:
        zodiacYear = 'dragon'
    elif variable == 9:
        zodiacYear = 'snake'
    elif variable == 10:
        zodiacYear = 'horse'
    elif variable == 11:
        zodiacYear = 'sheep'
    else:
        zodiacYear = 'monkey'
    return zodiacYear</t>
  </si>
  <si>
    <t xml:space="preserve">def chineseZodiac(year):
    if year % 12 ==0 : zodiacYear = "monkey"
    if year % 12 ==1 : zodiacYear = "rooster"
    if year % 12 ==2 : zodiacYear = "dog"
    if year % 12 ==3 : zodiacYear = "pig"
    if year % 12 ==4 : zodiacYear = "rat"
    if year % 12 ==5 : zodiacYear = "ox"
    if year % 12 ==6 : zodiacYear = "tiger"
    if year % 12 ==7 : zodiacYear = "rabbit"
    if year % 12 ==8 : zodiacYear = "dragon"
    if year % 12 ==9 : zodiacYear = "snake"
    if year % 12 ==10 : zodiacYear = "horse"
    if year % 12 ==11 : zodiacYear = "sheep"
    return zodiacYear
</t>
  </si>
  <si>
    <t>def chineseZodiac(year):
    x = year
    if x % 12 == 0:
        zodiacYear = "monkey"
    elif x % 12 == 1:
        zodiacYear = "rooster"
    elif x % 12 == 2:
        zodiacYear = "dog"
    elif x % 12 == 3:
        zodiacYear = "pig"
    elif x % 12 == 4:
        zodiacYear = "rat"
    elif x % 12 == 5:
        zodiacYear = "ox"
    elif x % 12 == 6:
        zodiacYear = "tiger"
    elif x % 12 == 7:
        zodiacYear = "rabbit"
    elif x % 12 == 8:
        zodiacYear = "dragon"
    elif x % 12 == 9:
        zodiacYear = "snake"
    elif x % 12 == 10:
        zodiacYear = "horse"
    else:
            zodiacYear = "sheep"       
    return zodiacYear</t>
  </si>
  <si>
    <t>def chineseZodiac(year):
    #write your code below
    if (year % 12 == 0):
        zodiacYear = "monkey"
    elif (year % 12 == 1):
        zodiacYear = "rooster"
    elif (year % 12 == 2):
        zodiacYear = "pig"
    elif (year % 12 == 3):
        zodiacYear = "rat"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</si>
  <si>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</si>
  <si>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#write your code below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t>
  </si>
  <si>
    <t>def chineseZodiac(year):
    x = year % 12
    if x == 0:
        y = 'monkey'
    if x == 1:
        y = 'rooster'
    if x == 2:
        y = 'dog'
    if x == 3:
        y = 'pig'
    if x == 4:
        y = 'rat'
    if x == 5:
        y = 'ox'
    if x == 6:
        y = 'tiger'
    if x == 7:
        y = 'rabbit'
    if x == 8:
        y = 'dragon'
    if x == 9:
        y = 'snake'
    if x == 10:
        y = 'horse'
    if x == 11:
        y = 'sheep'
    return y</t>
  </si>
  <si>
    <t xml:space="preserve">def chineseZodiac(year):
    a = year % 12
    if a == 0:
        zodiacYear = "monkey"
    elif a == 1:
        zodiacYear = "rooster"
    elif a == 2:
        zodiacYear = "dog"
    elif a == 3:
        zodiacYear = "pig"
    elif a == 4:
        zodiacYear = "rat"
    elif a == 5:
        zodiacYear = "ox"
    elif a == 6:
        zodiacYear = "tiger"
    elif a == 7:
        zodiacYear = "rabbit"
    elif a == 8:
        zodiacYear = "dragon"
    elif a == 9:
        zodiacYear = "snake"
    elif a == 10:
        zodiacYear = "horse"
    elif a == 11:
        zodiacYear = "sheep"
    return zodiacYear
</t>
  </si>
  <si>
    <t xml:space="preserve">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
</t>
  </si>
  <si>
    <t>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else:
        zodiacYear = 'sheep'
    return zodiacYear</t>
  </si>
  <si>
    <t>def chineseZodiac(year):
    n = year % 12
    if n == 1:
        a = "rooster"
    elif n == 2:
        a = "dog"
    elif n == 3:
        a = "pig"
    elif n == 4:
        a = "rat"
    elif n == 5:
        a = "ox"
    elif n == 6:
        a = "tiger"
    elif n == 7:
        a = "rabbit"
    elif n == 8:
        a = "dragon"
    elif n == 9:
        a = "snake"
    elif n == 10:
        a = "horse"
    elif n == 11:
        a = "sheep"
    else:
        a = "monkey"
    zodiacyear = a
    return zodiacyear</t>
  </si>
  <si>
    <t>def chineseZodiac(year):
    #write your code below
    x0="monkey"
    x1="rooster"
    x2="dog"
    x3="pig"
    x4="rat"
    x5="ox"
    x6="tiger"
    x7="rabbit"
    x8="dragon"
    x9="snake"
    x10="horse"
    x11="sheep"
    if(year%12==0):
        zodiacYear=x0
    elif(year%12==1):
        zodiacYear=x1
    elif(year%12==2):
        zodiacYear=x2
    elif(year%12==3):
        zodiacYear=x3
    elif(year%12==4):
        zodiacYear=x4
    elif(year%12==5):
        zodiacYear=x5
    elif(year%12==6):
        zodiacYear=x6
    elif(year%12==7):
        zodiacYear=x7
    elif(year%12==8):
        zodiacYear=x8
    elif(year%12==9):
        zodiacYear=x9
    elif(year%12==10):
        zodiacYear=x10
    else:
        zodiacYear=x11
    return zodiacYear</t>
  </si>
  <si>
    <t>def chineseZodiac(year):
    zodiacYear=year%12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else: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</si>
  <si>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</si>
  <si>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</si>
  <si>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</si>
  <si>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t>
  </si>
  <si>
    <t>def chineseZodiac(year):
    #write your code below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else:
        zodiacYear="sheep"
    return zodiacYear</t>
  </si>
  <si>
    <t xml:space="preserve">
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elif year%12 == 11:
        zodiacYear = "sheep"
    return zodiacYear
</t>
  </si>
  <si>
    <t>def chineseZodiac(year):
    #write your code below
    if year == 1900:
        zodiacYear="rat"
    elif year == 2015:
        zodiacYear="sheep"
    elif year == 2016:
        zodiacYear="monkey"
    return zodiacYear</t>
  </si>
  <si>
    <t>def chineseZodiac(year):
    #write your code below
    a = year % 12
    if a == 0:
        zodiacYear = ("monkey")
    if a == 1:
        zodiacYear = ("rooster")
    if a == 2:
        zodiacYear = ("dog")
    if a == 3:
        zodiacYear = ("pig")
    if a == 4:
        zodiacYear = ("rat")
    if a == 5:
        zodiacYear = ("ox")
    if a == 6:
        zodiacYear = ("tiger")
    if a == 7:
        zodiacYear = ("rabbit")
    if a == 8:
        zodiacYear = ("dragon")
    if a == 9:
        zodiacYear = ("snake")
    if a == 10:
        zodiacYear = ("horse")
    if a == 11:
        zodiacYear = ("sheep")
    return zodiacYear</t>
  </si>
  <si>
    <t>def chineseZodiac(year):
    zodiacYear = year % 12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
    return zodiacYear</t>
  </si>
  <si>
    <t>def chineseZodiac(year):
    num = year % 12
    animals = ["monkey", "rooster", "dog", "pig", "rat", "ox", "tiger", "rabbit", "dragon", "snake", "horse", "sheep"]
    zodiacYear = animals[num]
    return zodiacYear</t>
  </si>
  <si>
    <t xml:space="preserve">def chineseZodiac(year):
    #write your code below
    if year%12==0:
       return"monkey"
    if year%12==4:
       return"rat"
    if year%12==11:
       return"sheep"
    zodiacYear=year
    return zodiacYear
print(chineseZodiac(2016))
</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</si>
  <si>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</si>
  <si>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#write your code below
    a = year % 12
    if a == 0:
        zodiacYear = "monkey"
    elif a == 1:
        zodiacYear = "rooster"
    elif a == 2:
        zodiacYear = "dog"
    elif a == 3:
        zodiacYear = "pig"
    elif a == 4:
        zodiacYear = "rat"
    elif a == 5:
        zodiacYear = "ox"
    elif a == 6:
        zodiacYear = "tiger"
    elif a == 7:
        zodiacYear = "rabbit"
    elif a == 8:
        zodiacYear = "dragon"
    elif a == 9:
        zodiacYear = "snake"
    elif a == 10:
        zodiacYear = "horse"
    elif a == 11:
        zodiacYear = "sheep"
    return zodiacYear</t>
  </si>
  <si>
    <t>def chineseZodiac(year):
    #write your code below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elif year % 12==11:
        zodiacYear="sheep"
    return zodiacYear</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</si>
  <si>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</si>
  <si>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 % 12 == 0:
        result = zodiacYear = "monkey"
    elif year % 12 == 1:
        result = zodiacYear = "rooster"
    elif year % 12 == 2:
        result = zodiacYear = "dog"
    elif year % 12 == 3:
        result = zodiacYear = "pig"
    elif year % 12 == 4:
        result = zodiacYear = "rat"
    elif year % 12 == 5:
        result = zodiacYear = "ox"
    elif year % 12 == 6:
        result = zodiacYear = "tiger"
    elif year % 12 == 7:
        result = zodiacYear = "rabbit"
    elif year % 12 == 8:
        result = zodiacYear = "dragon"
    elif year % 12 == 9:
        result = zodiacYear = "snake"
    elif year % 12 == 10:
        result = zodiacYear = "horse"
    elif year % 12 == 11:
        result = zodiacYear = "sheep"
    return zodiacYear</t>
  </si>
  <si>
    <t>def chineseZodiac(year):
    x=year%12
    if x==0:
       zodiacYear="monkey"
    elif x==1:
        zodiacYear="rooster"
    elif x==2:
        zodiacYear="dog"
    elif x==3:
        zodiacYear="pig"
    elif x==4:
        zodiacYear="rat"
    elif x==5:
        zodiacYear="ox"
    elif x==6:
        zodiacYear="tiger"
    elif x==7:
        zodiacYear="rabbit"
    elif x==8:
        zodiacYear="dragon"
    elif x==9:
        zodiacYear="snake"
    elif x==10:
        zodiacYear="horse"
    elif x==11:
        zodiacYear="sheep"
    return zodiacYear</t>
  </si>
  <si>
    <t xml:space="preserve">def chineseZodiac(year):
    #write your code below
    zodiacYear=""
    ans=year%12
    if ans==0:
        zodiacYear = "monkey"
    elif ans==1:
        zodiacYear = "rooster"
    elif ans==2:
        zodiacYear = "dog"
    elif ans==3:
        zodiacYear = "pig"
    elif ans==4:
        zodiacYear = "rat"
    elif ans==5:
        zodiacYear = "ox"
    elif ans==6:
        zodiacYear = "tiger"
    elif ans==7:
        zodiacYear = "rabbit"
    elif ans==8:
        zodiacYear = "dragon"
    elif ans==9:
        zodiacYear = "snake"
    elif ans==10:
        zodiacYear = "horse"
    elif ans==11:
        zodiacYear = "sheep"
    return zodiacYear
</t>
  </si>
  <si>
    <t>def chineseZodiac(year):
    if year%12==4:
      zodiacYear="rat"
    if year%12==11:
      zodiacYear="sheep"
    if year%12==0:
      zodiacYear="monkey"
    return zodiacYear</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</si>
  <si>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"rabbit"
    elif year % 12 == 9:
        zodiacYear = "snake"
    elif year % 12 == 10:
        zodiacYear = "horse"
    else:
        zodiacYear = "sheep"
    return zodiacYear</t>
  </si>
  <si>
    <t xml:space="preserve">def chineseZodiac(year):
    asd = year%12
    if asd == 0:
        return "monkey"
    elif asd == 1:
        return "rooster"
    elif asd == 2:
        return "dog"
    elif asd == 3:
        return "pig"
    elif asd == 4:
        return "rat"
    elif asd == 5:
        return "ox"
    elif asd == 6:
        return "tiger"
    elif asd == 7:
        return "rabbit"
    elif asd == 8:
        return "dragon"
    elif asd == 9:
        return "snake"
    elif asd == 10:
        return "horse"
    else:
        return "sheep"
</t>
  </si>
  <si>
    <t>def chineseZodiac(year):
    zodiacnumber = year%12
    zodiacanimal = ["monkey","rooster","dog","pig","rat","ox","tiger","rabbit","dragon","snake","horse","sheep"]
    zodiacYear = zodiacanimal[zodiacnumber]
    return zodiacYear</t>
  </si>
  <si>
    <t xml:space="preserve">def chineseZodiac(year):
    x=year%12
    if x == 0: 
        zodiacyear = str('monkey');
    if x == 1: 
        zodiacyear = str('rooster');
    if x == 2: 
        zodiacyear = str('dog');
    if x == 3:
        zodiacyear = str('pig');
    if x == 4:    
        zodiacyear = str("rat");
    if x == 5: 
        zodiacyear = str('ox');
    if x == 6: 
        zodiacyear = str('tiger');
    if x == 7: 
        zodiacyear = str('rabbit');
    if x == 8: 
        zodiacyear = str('dragon');
    if x == 9:
        zodiacyear = str('snake');
    if x == 10: 
        zodiacyear = str('horse');
    if x == 11:     
        zodiacyear = str('sheep');
    return zodiacyear
</t>
  </si>
  <si>
    <t xml:space="preserve">
    #write your code below
def chineseZodiac(year):
    zodiacYear=year%12
    if zodiacYear==0:
        result=("monkey")
    elif zodiacYear==1:
        result=("rooster")
    elif zodiacYear==2:
        result=("dog")
    elif zodiacYear==3:
        result=("pig")
    elif zodiacYear==4:
        result=("rat")
    elif zodiacYear==5:
        result=("ox")
    elif zodiacYear==6:
        result=("tiger")
    elif zodiacYear==7:
        result=("rabbit")
    elif zodiacYear==8:
        result=("dragon")
    elif zodiacYear==9:
        result=("snake")
    elif zodiacYear==10:
        result=("horse")
    else:
        result=("sheep")
    return result
print(chineseZodiac(1900))
</t>
  </si>
  <si>
    <t xml:space="preserve">def chineseZodiac(year):
    #write your code below
    if year % 12 == 0:
        year="monkey"
        return year
    elif year % 12 == 1:
        year="rooster"
        return year
    elif year % 12 == 2:
        year="dog"
        return year
    elif year % 12 == 3:
        year="pig"
        return year
    elif year % 12 == 4:
        year="rat"
        return year
    elif year % 12 == 5:
        year="ox"
        return year
    elif year % 12 == 6:
        year="tiger"
        return year
    elif year % 12 == 7:
        year="rabbit"
        return year
    elif year % 12 == 8:
        year="dragon"
        return year
    elif year % 12 == 9:
        year="snake"
        return year
    elif year % 12 == 10:
        year="horse"
        return year
    else:
        year="sheep"
        return year
</t>
  </si>
  <si>
    <t>def chineseZodiac(year):
    #write your code below
    x=year%12
    if x==0:
        result="monkey"
    elif x==1:
        result="rooster"
    elif x==2:
        result="dog"
    elif x==3:
        result="pig"
    elif x==4:
        result="rat"
    elif x==5:
        result="ox"
    elif x==6:
        result="tiger"
    elif x==7:
        result="rabbit"
    elif x==8:
        result="dragon"
    elif x==9:
        result="snake"
    elif x==10:
        result="horse"
    elif x==11:
        result="sheep"
    return result</t>
  </si>
  <si>
    <t xml:space="preserve">def chineseZodiac(year):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
    </t>
  </si>
  <si>
    <t>def chineseZodiac(year):
    x = year%12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t>
  </si>
  <si>
    <t>def chineseZodiac(year):
    if year % 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elif year%12 == 11:
        zodiacYear = "sheep"
    return zodiacYear</t>
  </si>
  <si>
    <t xml:space="preserve">def chineseZodiac(year):
    #write your code below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
</t>
  </si>
  <si>
    <t>def chineseZodiac(year):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elif year % 12==11:
        zodiacYear="sheep"
    return zodiacYear</t>
  </si>
  <si>
    <t>def chineseZodiac(year):
    #write your code below
    if year%12==0:
        zodiacYear="monkey"
    elif year%12==4:
        zodiacYear="rat"
    elif year%12==11:
        zodiacYear="sheep"
    return zodiacYear</t>
  </si>
  <si>
    <t>def chineseZodiac(year):
    if year % 12 == 0:
        zodiacYear="monkey"
    elif year % 12 == 1:
        zodiacYear="rooster"
    elif year % 12 == 2:
        zodiacYear="dog"
    elif year % 12 == 3:
        zodiacYear="pig"
    elif year % 12 == 4:
        zodiacYear="rat"
    elif year % 12 == 5:
         zodiacYear="ox"
    elif year % 12 == 6:
        zodiacYear="tiger"
    elif year % 12 == 7:
        zodiacYear="rabbit"
    elif year % 12 == 8:
        zodiacYear="dragon"
    elif year % 12 == 9:
        zodiacYear="snake"
    elif year % 12 == 10:
        zodiacYear="horse"
    else:
        zodiacYear="sheep"
    return zodiacYear</t>
  </si>
  <si>
    <t xml:space="preserve">def chineseZodiac(year):
    #write your code below
    if year % 12 == 0:
        result = "monkey"
    elif year % 12 == 1:
        result = "rooster"
    elif year % 12 == 2:
        result = "dog"    
    elif year % 12 == 3:
        result = "pig"
    elif year % 12 == 4:
        result = "rat"
    elif year % 12 == 5:
        result = "ox"
    elif year % 12 == 6:
        result = "tiger"
    elif year % 12 == 7:
        result = "rabbit"
    elif year % 12 == 8:
        result = "dragon"
    elif year % 12 == 9:
        result = "snake"
    elif year % 12 == 10:
        result = "horse"
    elif year % 12 == 11:
        result = "sheep"
    return result
</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</si>
  <si>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else:
        zodiacYear="sheep"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</si>
  <si>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</si>
  <si>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if year % 12 == 0:
        zodiacYear= "monkey"
    elif year % 12 ==1:
        zodiacYear= "rooster"
    elif year % 12 ==2:
        zodiacYear= "dog"
    elif year % 12 ==3:
        zodiacYear= "pig"
    elif year % 12 ==4:
        zodiacYear= "rat"
    elif year % 12 ==5:
        zodiacYear= "ox"
    elif year % 12 ==6:
        zodiacYear= "tiger"
    elif year % 12 ==7:
        zodiacYear= "rabbit"
    elif year % 12 ==8:
        zodiacYear= "dragon"
    elif year % 12 ==9:
        zodiacYear= "snake"
    elif year % 12 ==10:
        zodiacYear= "horse"
    else:
        zodiacYear= "sheep"
    return zodiacYear</t>
  </si>
  <si>
    <t>def chineseZodiac(year):
    if year % 12 ==0:
        zodiacYear="monkey"
    elif year % 12 ==4:
        zodiacYear="rat"
    elif year % 12 ==11:
        zodiacYear="sheep"
    return zodiacYear</t>
  </si>
  <si>
    <t>def chineseZodiac(year):
    possible = ["monkey", "rooster", "dog", "pig", "rat", "ox", "tiger", "rabbit", "dragon", "snake", "horse", "sheep"]
    result = possible[year % 12]
    return result</t>
  </si>
  <si>
    <t>def chineseZodiac(year):
    if year%12 == 1:
        result= "rooster"
    elif year%12 == 2:
        result= "dog"
    elif year%12 == 3:
        result= "pig"
    elif year%12 == 4:
        result= "rat"
    elif year%12 == 5:
        result= "ox"
    elif year%12 == 6:
        result= "tiger"
    elif year%12 == 7:
        result= "rabbit"
    elif year%12 == 8:
        result= "dragon"
    elif year%12 == 9:
        result= "snake"
    elif year%12 == 10:
        result= "horse"
    elif year%12 == 11:
        result= "sheep"
    elif year%12 == 0:
        result = "monkey"
    return result</t>
  </si>
  <si>
    <t>def chineseZodiac(year):
    if year%12==4:
        zodiacYear="rat"
    elif year%12==5:
        zodiacYear="ox"
    elif year%12==6:
        zodiacYear="tiger"
    elif year%12==7:
        zodiacYear="rabbit"
    elif year%12==8:
        zodiacYear="dragon"
    elif year%12==9:
        zodiacYear="snake"
    elif year%12==10:
        zodiacYear="horse"
    elif year%12==11:
        zodiacYear="sheep"
    elif year%12==0:
        zodiacYear="monkey"
    elif year%12==1:
        zodiacYear="rooster"
    elif year%12==2:
        zodiacYear="dog"
    elif year%12==3:
        zodiacYear="pig"
    #write your code below
    return zodiacYear</t>
  </si>
  <si>
    <t>def chineseZodiac(year):
    if year%12 == 0:
        zodiacYear = "monkey"
        return zodiacYear
    elif year%12==1:
        zodiacYear = "rooster"
        return zodiacYeaer
    elif year%12==2:
        zodiacYear = "dog"
        return zodiacYear
    elif year%12==3:
        zodiacYear = "pig"
        return zodiacYear
    elif year%12==4:
        zodiacYear = "rat"
        return zodiacYear
    elif year%12==5:
        zodiacYear = "ox"
        return zodiacYear
    elif year%12==6:
        zodiacYear = "tiger"
        return zodiacYear
    elif year%12==7:
        zodiacYear = "rabbit"
        return zodiacYear
    elif year%12==8:
        zodiacYear = "dragon"
        return zodiacYear
    elif year%12==9:
        zodiacYear = "snake"
        return zodiacYear
    elif year%12==10:
        zodiacYear = "horse"
        return zodiacYear
    elif year%12==11:
        zodiacYear = "sheep"
        return zodiacYear</t>
  </si>
  <si>
    <t>def chineseZodiac(year):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else:
        zodiacYear = "sheep"
    return zodiacYear</t>
  </si>
  <si>
    <t>def chineseZodiac(year):
    #write your code below
    z = year % 12
    if z == 0:
        zodiacYear = ("monkey")
    elif z == 1:
        zodiacYear = ("rooster")
    elif z == 2:
        zodiacYear= ("dog")
    elif z == 3:
        zodiacYear  = ("pig")
    elif z == 4:
        zodiacYear = ("rat")
    elif z == 5:
        zodiacYear= ("ox")
    elif z == 6:
        zodiacYear= ("tiger")
    elif z == 7:
        zodiacYear = ("rabbit")
    elif z == 8:
        zodiacYear = ("dragon")
    elif z == 9:
        zodiacYear = ("snake")
    elif z == 10:
        zodiacYear = ("horse")
    elif z == 11:
        zodiacYear =  ("sheep")
    return zodiacYear</t>
  </si>
  <si>
    <t>def chineseZodiac(year):
   if year%12==0:
        zodiacYear="monkey"
   elif year%12==1:
        zodiacYear="rooster"
   elif year&amp;12==2: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</si>
  <si>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if year % 12 == 0:
        chineseZodiac = "monkey"
    elif year % 12 == 1:
        chineseZodiac = "rooster"
    elif year % 12 == 2:
        chineseZodiac = "dog"
    elif year % 12 == 3:
        chineseZodiac = "pig"
    elif year % 12 == 4:
        chineseZodiac = "rat"
    elif year % 12 == 5:
        chineseZodiac = "ox"
    elif year % 12 == 6:
        chineseZodiac = "tiger"
    elif year % 12 == 7:
        chineseZodiac = "rabbit"
    elif year % 12 == 8:
        chineseZodiac = "dragon"
    elif year % 12 == 9:
        chineseZodiac = "snake"
    elif year % 12 == 10:
        chineseZodiac = "horse"
    else:
        chineseZodiac = "sheep"
    return chineseZodiac
print(chineseZodiac(2016))</t>
  </si>
  <si>
    <t>def chineseZodiac(year):
    yellow = year % 12
    if yellow &lt;= 0:
        zodiacYear = "monkey"
    elif yellow &lt;= 1:
        zodiacYear = "rooster"
    elif yellow &lt;= 2:
        zodiacYear = "dog"
    elif yellow &lt;= 3:
        zodiacYear = "pig"
    elif yellow &lt;= 4:
        zodiacYear = "rat"
    elif yellow &lt;= 5:
        zodiacYear = "ox"
    elif yellow &lt;= 6:
        zodiacYear = "tiger"
    elif yellow &lt;= 7:
        zodiacYear = "rabbit"
    elif yellow &lt;= 8:
        zodiacYear = "dragon"
    elif yellow &lt;= 9:
        zodiacYear = "snake"
    elif yellow &lt;= 10:
        zodiacYear = "horse"
    elif yellow &lt;= 11:
        zodiacYear = "sheep"
    return zodiacYear</t>
  </si>
  <si>
    <t>def chineseZodiac(year):
    #write your code below
    if year%12==0:
        zodiacYear="monkey"
    elif year%12==1:
        zodiacYear="rooster"
    elif year%12==2:
        zodiacYear="dog"
    elif year%12==3:
        zodiacYear="pig"
    elif year%12==4:
        zodiacYear="rat"
    elif year%12==5:
        zodiacYear="cow"
    elif year%12==6:
        zodiacYear="tiger"
    elif year%12==7:
        zodiacYear="rabbit"
    elif year%12==8:
        zodiacYear="dragon"
    elif year%12==9:
        zodiacYear="snake"
    elif year%12==10:
        zodiacYear="horse"
    else: 
        year%12==11
        zodiacYear="sheep"
    return zodiacYear</t>
  </si>
  <si>
    <t>def smaller(num1, num2):
    if num1 &lt; num2:
        result = num1
    if num2 &lt; num1:
        result = num2
    return result#do not edit. This should be the last line</t>
  </si>
  <si>
    <t>def smaller(num1, num2):
    #write your code below
    return min(num1, num2)</t>
  </si>
  <si>
    <t>def smaller(num1, num2):
    #write your code below
    if num1 &gt; num2:
        result = num2
    else:
        result = num1
    return result#do not edit. This should be the last line</t>
  </si>
  <si>
    <t>def smaller(num1, num2):
    result=min(num1, num2)
    return result#do not edit. This should be the last line</t>
  </si>
  <si>
    <t>def smaller(num1, num2):
    if num1 &lt; num2:
        result = num1
    elif num2 &lt; num1:
        result = num2    #write your code below
    return result#do not edit. This should be the last line</t>
  </si>
  <si>
    <t>def smaller(num1, num2):
    if num1&lt;num2:
        result=num1
    elif num1&gt;num2:
        result=num2
    return result</t>
  </si>
  <si>
    <t>def smaller(num1, num2):
    result = min(num1, num2)
    return result</t>
  </si>
  <si>
    <t>def smaller(num1, num2):
    result=min(num1,num2)
    return result</t>
  </si>
  <si>
    <t>def smaller(num1, num2):
    if num1 &gt;= num2:
        result = num2
    else:
        result = num1
    return result#do not edit. This should be the last line</t>
  </si>
  <si>
    <t>def smaller(num1, num2):
    #write your code below
    a=num1-num2
    if a &gt;=0:
        result=num2
    else:
        result=num1
    return result#do not edit. This should be the last line</t>
  </si>
  <si>
    <t>def smaller(num1, num2):
    #write your code below
    if num1&gt;num2:
        result=num2
    else:result=num1
    return result#do not edit. This should be the last line</t>
  </si>
  <si>
    <t>def smaller(num1, num2):
    #write your code below
    result = min(num1,num2)
    return result#do not edit. This should be the last line</t>
  </si>
  <si>
    <t>def smaller(num1, num2):
    #write your code below
    result=num1 if num1&lt;num2 else num2
    return result#do not edit. This should be the last line</t>
  </si>
  <si>
    <t>def smaller(num1, num2):
    if num1 &lt; num2:
       result = num1
    elif num1 == num2:
       result = num1
    elif num1 &gt; num2:
       result = num2
    return result#do not edit. This should be the last line
print(smaller(90,23)) #sample test case</t>
  </si>
  <si>
    <t>def smaller(num1, num2):
    result = min(num1,num2)
    return result#do not edit. This should be the last line</t>
  </si>
  <si>
    <t>def smaller(num1, num2):
    #write your code below
    result = min(num1, num2)
    return result#do not edit. This should be the last line</t>
  </si>
  <si>
    <t>def smaller(num1, num2):
    result=min(num1,num2)
    return result#do not edit. This should be the last line</t>
  </si>
  <si>
    <t xml:space="preserve">def smaller(num1, num):
    if num1 &gt; num:
        result = num
    else:
        result = num1
    return result
</t>
  </si>
  <si>
    <t>def smaller(num1, num2):
    result = min(num1,num2)
    return result#do not edit. This should be the last line</t>
  </si>
  <si>
    <t>def smaller(num1, num2):
    result = min(num1, num2)
    return result#do not edit. This should be the last line</t>
  </si>
  <si>
    <t>def smaller(num1, num2):
    if num1 &gt; num2:
        result=num2
    else:
        result=num1
    return result#do not edit. This should be the last line</t>
  </si>
  <si>
    <t>def smaller(num1, num2):
    if num1 &lt; num2:
        result = num1
    else :
        result = num2
    return result</t>
  </si>
  <si>
    <t>def smaller(num1, num2):
    #write your code below
    if num1 &gt; num2:
        result=num2
    else: 
        result=num1
    return result#do not edit. This should be the last line</t>
  </si>
  <si>
    <t>def smaller(num1, num2):
     result = min(num1, num2)
     return result</t>
  </si>
  <si>
    <t>def smaller(num1, num2):
    if num1 &gt; num2:
        result = num2
    else:
        result = num1
    return result</t>
  </si>
  <si>
    <t>def smaller(num1, num2):
    #write your code below
    if num1 &lt; num2:
        result = num1
    else:
        result = num2
    return result#do not edit. This should be the last line</t>
  </si>
  <si>
    <t>def smaller(num1, num2):
    #write your code below
    result = num1 if num1 &lt; num2 else num2
    return result#do not edit. This should be the last line</t>
  </si>
  <si>
    <t>def smaller(num1, num2):
    if num1&lt;num2:
        result = num1
    else:
        result = num2
    return result#do not edit. This should be the last line</t>
  </si>
  <si>
    <t xml:space="preserve">def smaller ( num1,num2):
 if num1&gt;num2 : result = num2
 if num1&lt;num2 : result = num1
 return result 
</t>
  </si>
  <si>
    <t>def smaller(num1, num2):
    if num1 &lt; num2:
        result = num1
    else:
        result = num2
    return result</t>
  </si>
  <si>
    <t>def smaller(num1, num2):
    if num1 &gt;= num2:
        result = num2
    else:
        result = num1
    return result
#do not edit. This should be the last line</t>
  </si>
  <si>
    <t xml:space="preserve">def smaller(num1, num2):
    if num1 &lt; num2:
        result = num1
    else:
        result = num2
    return result
print(smaller(1,2)) 
</t>
  </si>
  <si>
    <t>def smaller(num1, num2):
    if num1 &gt; num2:
        result = num2
    else:
        result = num1
    return result#do not edit. This should be the last line</t>
  </si>
  <si>
    <t>def smaller(num1, num2):
    #write your code below
    min= num1 if num1&lt;num2 else num2
    result=min
    return result#do not edit. This should be the last line</t>
  </si>
  <si>
    <t>def smaller(y,x):
    if y&lt;x:
        result = y
    else:
        result = x
    return result</t>
  </si>
  <si>
    <t xml:space="preserve">def smaller(num1, num2):
    if num1 &gt; num2:
        result = num2
    else:
        result = num1
    return result
</t>
  </si>
  <si>
    <t xml:space="preserve">
def smaller(num1, num2):
    #write your code below
    if num1 &lt; num2:
        result = num1
    else:
        result = num2
    return result
print (smaller(1,2))
</t>
  </si>
  <si>
    <t xml:space="preserve">def smaller(num1, num2):
    #write your code below
    if num1&lt;num2:
        result = num1
    else:
        result = num2
    return result#do not edit. This should be the last line
print(smaller(1,2)) #sample test </t>
  </si>
  <si>
    <t>def smaller(num1, num2):
    result = min(num1,num2)
    return result</t>
  </si>
  <si>
    <t xml:space="preserve">def smaller(num1, num2):
    if(num1&lt;num2):
        result=num1
    else:
        result=num2
    #write your code below
    return result#do not edit. This should be the last line
</t>
  </si>
  <si>
    <t>def smaller(num1, num2):
    if num1&lt;num2:
        return num1
    else:
        return num2</t>
  </si>
  <si>
    <t>def smaller(num1, num2):
   if num1&lt;num2:
       result = num1
   else:
       result = num2
   return result</t>
  </si>
  <si>
    <t>def smaller(num1, num2):
    result = num2 if num1 &gt; num2 else num1
    return result</t>
  </si>
  <si>
    <t>def smaller(num1, num2):
    if num1&gt;num2:
        result=num2
    else:
        result=num1
    return result</t>
  </si>
  <si>
    <t>def smaller(num1, num2):
    result = min(num1, num2)
    return result#do not edit. This should be the last line</t>
  </si>
  <si>
    <t>def smaller(num1, num2):
    #write your code below
    if num1&gt;num2:
        result=num2
    else:
        result=num1
    return result#do not edit. This should be the last line</t>
  </si>
  <si>
    <t>def smaller(num1, num2):
    result=min(num1, num2)
    return result#do not edit. This should be the last line</t>
  </si>
  <si>
    <t xml:space="preserve">def smaller(num1, num2):
    if num1 &lt; num2:
        result=num1
    else:
        result=num2
    return result#do not edit. This should be the last line
print(smaller(1,2)) #sample test case
</t>
  </si>
  <si>
    <t>def smaller(num1, num2):
    #write your code below
    result=min(num1, num2)
    return result#do not edit. This should be the last line</t>
  </si>
  <si>
    <t>import math
def smaller(num1, num2):
    #write your code below
    result = min(num1,num2)
    return result#do not edit. This should be the last line</t>
  </si>
  <si>
    <t>import math
def smaller(num1, num2):
    #write your code below
    result=min(num1,num2)
    return result#do not edit. This should be the last line</t>
  </si>
  <si>
    <t>def smaller(num1, num2):
    if num1&gt;num2:
        result=num2
    else:
        result=num1  
    return result</t>
  </si>
  <si>
    <t>def smaller(num1, num2):
    x=num1-num2
    if x &gt;= 0:
        result=num2
    else:
        result=num1
    return result
print(smaller(1,2))</t>
  </si>
  <si>
    <t>def smaller(num1, num2):
    #write your code below
    if num1&gt;num2:
        result=num2
    else:
        result=num1
    return result#do not edit. This should be the last line</t>
  </si>
  <si>
    <t>def smaller(num1, num2):
    #write your code below
    if num1 &lt; num2:
        result = num1
    else:
        result = num2
    return result#do not edit. This should be the last line</t>
  </si>
  <si>
    <t xml:space="preserve">def smaller(num1,num2):
    if num1 &lt; num2:
        return num1
    else:
        return num2
</t>
  </si>
  <si>
    <t xml:space="preserve">
def smaller(num1, num2):
    result=min(num1,num2)
    return result#do not edit. This should be the last line</t>
  </si>
  <si>
    <t>def smaller(num1, num2):
    if num1 &gt; num2:
        result=num2
    else:
        result=num1#write your code below
    return result#do not edit. This should be the last line</t>
  </si>
  <si>
    <t>def smaller(num1, num2):
    #write your code below
    result=min(num1,num2)
    return result#do not edit. This should be the last line</t>
  </si>
  <si>
    <t>def smaller(num1, num2):
    result = num1 if num1&lt;num2 else num2
    #write your code below
    return result#do not edit. This should be the last line</t>
  </si>
  <si>
    <t xml:space="preserve">def smaller(num1, num2):
    if num1 &lt; num2:
        result = num1
    else:
        result = num2
    return result
</t>
  </si>
  <si>
    <t>def smaller(num1, num2):
    result=min(num1,num2)
    #write your code below
    return result#do not edit. This should be the last line</t>
  </si>
  <si>
    <t>import math
def smaller(num1, num2):
    result = min(num1,num2)
    return result#do not edit. This should be the last line</t>
  </si>
  <si>
    <t xml:space="preserve">def smaller(num1, num2):
    #write your code below
    if num1 &lt; num2:
        result = num1
    else:
        result = num2  
    return result#do not edit. This should be the last line
print(smaller(7,200))
</t>
  </si>
  <si>
    <t>def smaller(num1, num2):
    if num1 &lt; num2:
        result=(num1)
    else:
        result=(num2)
    #write your code below
    return result#do not edit. This should be the last line</t>
  </si>
  <si>
    <t>def smaller(num1, num2):
    #write your code below
    if num1 &gt;= num2 :
        result = num2
    else :
        result = num1
    return result</t>
  </si>
  <si>
    <t>import math
def smaller(num1, num2):
    if num1 &lt; num2:
        result = num1
    else:
        result = num2
    return result</t>
  </si>
  <si>
    <t>def smaller(num1, num2):
    if num1 &gt; num2:
        result=num2
    else:
        result=num1#write your code below
    return result#do not edit. This should be the last line</t>
  </si>
  <si>
    <t>def smaller(num1,num2):
    if num1 &gt; num2:
        result= num2
    else:
        result= num1
    return result</t>
  </si>
  <si>
    <t>import math
def smaller(num1, num2):
    result=min(num1,num2)
#write your code below
    return result#do not edit. This should be the last line</t>
  </si>
  <si>
    <t>def smaller(num1,num2):
    if num1&gt;num2:
        result = num2
        return result
    else:
        result = num1
        return result</t>
  </si>
  <si>
    <t>def smaller(num1, num2):
    result = min(num1, num2)
    return result</t>
  </si>
  <si>
    <t>def smaller(num1, num2):
    #write your code below
    if num2 - num1 &gt;= 0:
        result = num1
    else: 
        result = num2
    return result#do not edit. This should be the last line</t>
  </si>
  <si>
    <t>import math
def smaller(num1, num2):
    if num1&gt;num2:
     result = num2 
    else:
      result = num1
    return result</t>
  </si>
  <si>
    <t>def smaller(num1, num2):
    if num1&gt;num2:
        result=num2
    else:
        result=num1
    return result</t>
  </si>
  <si>
    <t>def smaller(num1, num2):
    if num1 &gt; num2:
        result = num2
    else: 
        result = num1
    return result#do not edit. This should be the last line</t>
  </si>
  <si>
    <t>def smaller(num1, num2):
    #write your code below
    if num1&lt;num2:
        result=num1
    else:
        result=num2
    return result#do not edit. This should be the last line</t>
  </si>
  <si>
    <t xml:space="preserve">def leapYear(year):
    if (year % 4 == 0) and ((year %100 != 0) or (year % 400 == 0)):
        isLeapYear = True
    else: 
        isLeapYear = False
    return isLeapYear
print(leapYear(400))
</t>
  </si>
  <si>
    <t>def leapYear(year):
    if not year%400:
        return True
    if not year%100:
        return False
    if not year%4:
        return True
    return False</t>
  </si>
  <si>
    <t>def leapYear(year):
    #write your code below
    if (year % 400 == 0) :
        isLeapYear = True
    elif (year % 100 == 0):
        isLeapYear = False
    elif year % 4 == 0:
        isLeapYear = True
    else:
        isLeapYear = False
    return isLeapYear</t>
  </si>
  <si>
    <t>def leapYear(year):  
    if (year%4==0 and year%100 != 0) or year %400==0:
        return True
    else:
        return False</t>
  </si>
  <si>
    <t>def leapYear(year):
    #write your code below
    if year % 400 == 0:
        isLeapYear = True
    elif (year % 4) == 0 and (year % 10) != 0:
        isLeapYear = True
    else:
        isLeapYear = False
    return isLeapYear</t>
  </si>
  <si>
    <t>def leapYear(year):
    isLeapYear=False
    if year % 400 == 0:
        isLeapYear=True
    elif year % 100 &gt; 0:
        if year%4==0:
            isLeapYear=True
    elif year%2&gt;0:
        isLeapYear=False
    return isLeapYear</t>
  </si>
  <si>
    <t>def leapYear(year):
    if year % 400 == 0:
        isLeapYear = True
    elif year % 100 ==0:
        isLeapYear = False
    elif year % 4 ==0:
        isLeapYear = True
    else: isLeapYear = False
    return isLeapYear</t>
  </si>
  <si>
    <t>def leapYear(year):
    if year%4==0 and year%100!=0:
        isLeapYear=True
    elif year%400==0:
        isLeapYear=True
    else:
        isLeapYear=False   
    return isLeapYear</t>
  </si>
  <si>
    <t xml:space="preserve">def leapYear(year):
    if year % 4 == 0:
        if year % 100 != 0:
            isLeapYear = True
        else:
            isLeapYear = False
    else:
        isLeapYear = False
    if year % 400 == 0:
        isLeapYear = True
    return isLeapYear
</t>
  </si>
  <si>
    <t>def leapYear(year):
    #write your code below
    if year%400==0:
        isLeapYear=True
    elif year%100==0:
        isLeapYear=False
    elif year%4==0:
        isLeapYear=True
    else:
        isLeapYear=False
    return isLeapYear</t>
  </si>
  <si>
    <t>def leapYear(year):
    #write your code below
    isLeapYear = False
    if year % 400==0:
        isLeapYear=True
    elif year % 100 &gt; 0:
        if year % 4==0:
            isLeapYear=True
    return isLeapYear</t>
  </si>
  <si>
    <t>def leapYear(year):
    #write your code below
    if year%400==0:
        isLeapYear= True
    elif year%100==0:
        isLeapYear=False
    elif year%4==0:
        isLeapYear=True
    else:
        isLeapYear=False
    return isLeapYear</t>
  </si>
  <si>
    <t>def leapYear(year):
    #write your code below
    isLeapYear=False
    if year%100==0 and year%400!=0:
        isLeapYear = False
    elif year%4==0:
        isLeapYear = True
    return isLeapYear</t>
  </si>
  <si>
    <t>def leapYear(year):
    if year % 400 == 0:
        isLeapYear = True
    elif year % 100 == 0:
        isLeapYear = False
    elif year % 4 == 0:
        isLeapYear = True
    else :
        isLeapYear = False
    return isLeapYear</t>
  </si>
  <si>
    <t>def leapYear(year):
    if year%400==0:
        isLeapYear=True
    elif year%100==0:
        isLeapYear=False
    elif year%4==0:
        isLeapYear=True
    else:
        isLeapYear=False
    return isLeapYear</t>
  </si>
  <si>
    <t>def leapYear(year):
    #write your code below
    if year % 400 == 0:
        isLeapYear = True
    elif year % 100 == 0:
        isLeapYear = False
    elif year % 4 == 0:
        isLeapYear = True
    else:
        isLeapYear = False
    return isLeapYear</t>
  </si>
  <si>
    <t>def leapYear(year):
    if year%4==0 and year%100!=0:
        isLeapYear=True
    elif year%400==0:
        isLeapYear=True
    else:
        isLeapYear=False
    return isLeapYear</t>
  </si>
  <si>
    <t xml:space="preserve">def leapYear(year):
    if year % 4 == 0 and year % 100 != 0 or year % 400 == 0:
        isLeapYear = True
    else:
        isLeapYear = False
    return isLeapYear
</t>
  </si>
  <si>
    <t xml:space="preserve">def leapYear(year):
    if (year % 4 == 0 and year % 100 !=0) or year % 400 == 0:
        isLeapYear = True
    else:
        isLeapYear = False
    return isLeapYear
</t>
  </si>
  <si>
    <t>def leapYear(year):
    if year % 400 == 0:
        isLeapYear = True
    elif year % 100 == 0:
        isLeapYear = False
    elif year % 4 == 0:
        isLeapYear = True
    else:
        isLeapYear = False
    return isLeapYear</t>
  </si>
  <si>
    <t>def leapYear(year):
    if year % 4 == 0 and year % 100 != 0 :
        isLeapYear =True
    elif year % 400 ==  0 :
        isLeapYear =True  
    else :
        isLeapYear =False
    return isLeapYear</t>
  </si>
  <si>
    <t>def leapYear(year):
    #write your code below
    if year % 4 == 0 and (year % 100 != 0 or year % 400 == 0):
        isLeapYear = True
    else:
        isLeapYear = False
    return isLeapYear</t>
  </si>
  <si>
    <t>def leapYear(year):
    x = year
    if x%400 ==0:
        isLeapYear = True
    elif x%100 ==0:
        isLeapYear = False
    elif x%4 == 0:
        isLeapYear = True
    else:
        isLeapYear = False
    return isLeapYear</t>
  </si>
  <si>
    <t>def leapYear(year):
    if (year % 4 == 0)  and (year % 100 !=0) == True:
        return True
    elif (year%400) == 0:
        return True
    else:
        return False
    #write your code below
    return isLeapYear</t>
  </si>
  <si>
    <t>def leapYear(year):
    a = year % 4
    b = year % 100
    c = year % 400
    if c == 0:
        isLeapYear = True
    elif a == 0 and b != 0:
        isLeapYear = True
    elif a != 0:
        isLeapYear = False
    elif b == 0:
        isLeapYear = False
    return isLeapYear</t>
  </si>
  <si>
    <t>def leapYear(year):
    if year%100 != 0 and year%4 == 0:
        isLeapYear = True
    if year%4 != 0:
        isLeapYear = False
    if year%100 == 0 and year%400 != 0:
        isLeapYear = False
    if year%400 == 0:
        isLeapYear = True
    return isLeapYear</t>
  </si>
  <si>
    <t>def leapYear(year):
    if year % 400 == 0:
        isLeapYear = True
    elif year % 4 == 0 and year % 100 != 0:
        isLeapYear = True
    else:
        isLeapYear = False
    return isLeapYear</t>
  </si>
  <si>
    <t>def leapYear(year):
    #write your code below
    if year % 100 == 0:
        if year % 400 == 0:
            isLeapYear = True
        else:
            isLeapYear = False
    elif year % 4 != 0:
        isLeapYear = False
    else:
        isLeapYear = True
    return isLeapYear</t>
  </si>
  <si>
    <t>def leapYear(year):
    if year%400==0:
        isLeapYear=True
    elif year%100==0:
        isLeapYear=False
    elif year%4==0:
        isLeapYear=True
    else:
        isLeapYear=False
    return isLeapYear</t>
  </si>
  <si>
    <t>def leapYear(year):
    if year%400 == 0:
        return True
    elif year%4 == 0 and year%100 != 0:
        return True
    else:
        return False</t>
  </si>
  <si>
    <t>def leapYear(year):
    #write your code below
    if year % 4 == 0 and year % 100 != 0 or year % 400 ==0:
        isLeapYear = True
    else:
        isLeapYear = False
    return isLeapYear</t>
  </si>
  <si>
    <t>def leapYear(year):
    if year %4 == 0 and year%100 !=0: result = True
    elif year%400 ==0 : result = True
    else : result = False
    return result</t>
  </si>
  <si>
    <t>def leapYear(year):
    if year % 4 == 0 and year % 100 != 0 or year % 400 == 0:
        isLeapYear = True
    else:
        isLeapYear = False
    return isLeapYear</t>
  </si>
  <si>
    <t xml:space="preserve">def leapYear(year):
    if year % 4 == 0 and year % 400 == 0:
        isLeapYear = True
    elif year % 4 == 0 and year % 100 == 0:
        isLeapYear = False
    elif year % 4 == 0:
        isLeapYear = True
    else:
        isLeapYear = False
    return isLeapYear
</t>
  </si>
  <si>
    <t>def leapYear(year):
    if (year % 4 == 0) and (year % 100 !=0):
        isLeapYear = True
    elif (year % 400 == 0):
        isLeapYear = True
    else:
        isLeapYear = False
    return isLeapYear</t>
  </si>
  <si>
    <t xml:space="preserve">
def leapYear(year):
    isLeapYear = year % 4
    if year % 4 == 0 and year % 100 != 0:
        isLeapYear = True
    elif year % 400 == 0:
        isLeapYear = True
    else:
        isLeapYear = False
    return isLeapYear</t>
  </si>
  <si>
    <t xml:space="preserve">def leapYear(year):
    #write your code below
    if year%100==0 and year%400==0:
        isLeapYear=True
    elif year%100!=0 and year%4 ==0:
        isLeapYear=True
    else:
        isLeapYear=False
    return isLeapYear
</t>
  </si>
  <si>
    <t>def leapYear(year):
    if (year%4 ==0 and year%100!=0) or (year%400==0):
        isLeapYear = True
    else:
        isLeapYear=False
    return isLeapYear</t>
  </si>
  <si>
    <t>def leapYear(year):
    isLeapYear = True
    if year % 100 == 0:
        if year % 400 == 0:
            isleapYear = True
        else:
            isLeapYear = False
    elif year % 4 == 0:
        isLeapYear = True
    else:
        isLeapYear = False
    return isLeapYear</t>
  </si>
  <si>
    <t>def leapYear(year):
    #write your code below
    if year % 4 == 0 and year % 100 != 0 or year % 400 == 0:
        isLeapYear = True
    else:
        isLeapYear = False
    return isLeapYear</t>
  </si>
  <si>
    <t>def leapYear(year):
    if year%100 == 0:
         if year%400 == 0:
             isLeapYear = True
         else:
             isLeapYear = False
    elif year%4 == 0:
        isLeapYear = True
    else:
        isLeapYear = False
    return isLeapYear</t>
  </si>
  <si>
    <t xml:space="preserve">def leapYear(year):
    if year % 4 == 0 and year % 100!= 0 or year % 400 == 0:
        a = True
    else:
        a = False
    isLeapYear = a
    return isLeapYear
</t>
  </si>
  <si>
    <t>def leapYear(year):
    #write your code below
    if(year%400==0):
        isLeapYear=True
    elif(year%100==0):
        isLeapYear=False
    elif(year%4==0):
        isLeapYear=True
    else:
        isLeapYear=False
    return isLeapYear</t>
  </si>
  <si>
    <t>def leapYear(year):
    if year % 400 == 0:
        isLeapYear = True
    elif year % 4 == 0 and year % 100 &gt; 0:
        isLeapYear = True
    else:
        isLeapYear = False
    return isLeapYear</t>
  </si>
  <si>
    <t>def leapYear(year):
    if year % 400 == 0:
        isLeapYear = True
    elif (year % 4 == 0) and (year % 100 != 0):
        isLeapYear = True
    else:
        isLeapYear = False
    return isLeapYear</t>
  </si>
  <si>
    <t>def leapYear(year):
    #write your code below
    if year%4==0:
        if year%100==0:
            if year%400==0:
                isLeapYear=True
            else:
                isLeapYear=False
        else:
            isLeapYear=True
    else:
        isLeapYear=False
    return isLeapYear</t>
  </si>
  <si>
    <t>def leapYear(year):
    if year % 400 == 0:
        isLeapYear = True
    elif year % 100 == 0:
        isLeapYear = False
    elif year % 4 == 0:
        isLeapYear = True
    elif year % 4 != 0:
        isLeapYear = False
    return isLeapYear</t>
  </si>
  <si>
    <t>def leapYear(year):
    #write your code below
    if year%4==0 and year%100!=0 or year%400==0:
        isLeapYear=True
    else:
        isLeapYear=False
    return isLeapYear</t>
  </si>
  <si>
    <t>def leapYear(year):
    if year%400 == 0:
        isLeapYear=True
    elif year%100 == 0:
        isLeapYear=False
    elif year%4 == 0:
        isLeapYear=True
    else:
        isLeapYear=False
    return isLeapYear</t>
  </si>
  <si>
    <t>def leapYear(year):
    #write your code below
    isLeapYear= False
    if year % 400 == 0:
        isLeapYear= True
    elif year % 100 &gt; 0:
        if year % 4 == 0:
            isLeapYear=True
    elif year % 2 &gt; 0:
        isLeapYear= False
    return isLeapYear</t>
  </si>
  <si>
    <t xml:space="preserve">def leapYear(year):
    #write your code below
    a = year % 4
    b = year % 400
    c = year % 100
    if b == 0:
        isLeapYear = True
    elif a == 0 and c !=0:
        isLeapYear = True
    elif a != 0:
        isLeapYear = False
    elif c == 0:
        isLeapYear = False
    return isLeapYear
</t>
  </si>
  <si>
    <t xml:space="preserve">def leapYear(year):
    isLeapYear = year % 4
    if (year % 400 == 0 and year % 100==0)or(year%4==0 and year%100!=0):
        isLeapYear = True
    if (year % 400 == 0 and year % 100==0)or(year%4==0 and year%100!=0):
        isLeapYear = True
    else:
        isLeapYear = False
    return isLeapYear
</t>
  </si>
  <si>
    <t>def leapYear(year):
    if year % 4 == 0 and year % 100 != 0:
        isLeapYear = True
    elif year % 400 == 0:
        isLeapYear = True
    else:
        isLeapYear = False
    return isLeapYear</t>
  </si>
  <si>
    <t>def leapYear(year):
    #write your code below
    if (year%4==0 and year%100!=0)or(year%400==0 and year%100==0):
        isLeapYear=True
    else:
        isLeapYear=False
    return isLeapYear</t>
  </si>
  <si>
    <t>def leapYear(year):
    isLeapYear = (year % 4 == 0) and (year % 100 != 0) or (year % 400 == 0)
    return isLeapYear</t>
  </si>
  <si>
    <t>def leapYear(year) :
    isLeapYear = (year % 4 == 0) and (year % 100 != 0) or (year % 400 == 0)
    return isLeapYear</t>
  </si>
  <si>
    <t>def leapYear(year):
    #write your code below
    if year % 400 == 0:
        isLeapYear = True
    elif year % 4 == 0:
        if year % 100 == 0:
            isLeapYear = False
        else:
            isLeapYear = True
    else:
        isLeapYear = False
    return isLeapYear</t>
  </si>
  <si>
    <t>def leapYear(year):
    isLeapYear = False
    if year %400 == 0:
        isLeapYear = True
    elif year %100 &gt; 0:
        if year % 4 == 0:
            isLeapYear = True
    elif year %2 &gt; 0 :
        isLeapYear =False
    return isLeapYear</t>
  </si>
  <si>
    <t>def leapYear(year):
    x=year%4
    y=year%100
    z=year%400
    if x==0 and y!=0:
        isLeapYear=True
    elif x==0 and z==0:
        isLeapYear=True
    else:
        isLeapYear=False
    return isLeapYear</t>
  </si>
  <si>
    <t>def leapYear(year):
    #write your code below
    isLeapYear=""
    if year%4==0:
        if year%100==0:
            if year%400==0:
                isLeapYear = True
            else:
                isLeapYear = False
        else:
            isLeapYear = True
    else:
        isLeapYear = False
    return isLeapYear</t>
  </si>
  <si>
    <t>def leapYear(year):
   if year % 400 == 0:
      isLeapYear = True
   elif year % 100==0:
      isLeapYear= False
   elif year % 4==0:
      isLeapYear= True
   else:
      isLeapYear = False
   return isLeapYear</t>
  </si>
  <si>
    <t xml:space="preserve">def leapYear(year):
    if year % 4 == 0 and year % 100 != 0 or year % 400 == 0:
        isLeapYear = True
    else:
        isLeapYear = False
    return isLeapYear
print(leapYear(1900))
</t>
  </si>
  <si>
    <t>def leapYear(year):
    if year % 100 == 0:
        if year % 400 != 0:
            return False
    if year % 4 == 0:
        return True 
    else:
        return False</t>
  </si>
  <si>
    <t>def leapYear(year):
    if (year%4 == 0 and year%100 != 0) or year%400 == 0:
        isLeapYear = True
    else:
        isLeapYear = False
    return isLeapYear</t>
  </si>
  <si>
    <t>def leapYear(year):
    if year%4==0 and year%100!=0:
        isLeapYear = True
    if year%400==0:
        isLeapYear = True
    if year%4!=0 or year%100==0 and year%400!=0:
        isLeapYear = False
    return isLeapYear</t>
  </si>
  <si>
    <t>def leapYear(year):
    if year%4==0 and year%100!=0 or year%400==0:
        isLeapYear=True
    else:
        isLeapYear=False
    return isLeapYear</t>
  </si>
  <si>
    <t>def leapYear(year):
    #write your code below
    if ((year%4==0)and(year%100!=0))or(year%400==0):
        year=0==0
    else:
        year=1==0
    return year</t>
  </si>
  <si>
    <t>def leapYear(year):
    if (year%4==0 and year%100!=0) or year%400==0:
        result=True
    else:
        result=False
    return result</t>
  </si>
  <si>
    <t>def leapYear(year):
    if (year%4==0 and year%100!=0) or year%400==0:
        isLeapYear = True
    else:
        isLeapYear=False
    return isLeapYear</t>
  </si>
  <si>
    <t xml:space="preserve">def leapYear(year):
    if year%400 == 0:
            isLeapYear = True
    else:
        if year%4 == 0:
            if year%100 == 0:
                isLeapYear = False
            else:
                isLeapYear = True
        else:
            isLeapYear = False
    return isLeapYear
</t>
  </si>
  <si>
    <t xml:space="preserve">def leapYear(year):
    if year % 400 == 0:
        return True
    if year % 100 == 0:
        return False
    if year % 4 == 0:
        return True
    else:
        return False
</t>
  </si>
  <si>
    <t>def leapYear(year):
    #write your code below
    isLeapYear = False
    if year % 400 == 0:
        isLeapYear = True
    elif year % 100 &gt; 0:
        if year % 4 == 0:
            isLeapYear = True
    elif year % 2 &gt; 0:
        isLeapYear = False
    return isLeapYear</t>
  </si>
  <si>
    <t>def leapYear(year):
    #write your code below
    if year % 400 ==0:
        isLeapYear = True
    elif year % 4 ==0 and year % 100 != 0:
        isLeapYear = True
    else:
        isLeapYear = False
    return isLeapYear</t>
  </si>
  <si>
    <t>def leapYear(year):
    if year % 4 == 0 and year %100 != 0 or year % 400 == 0:
        isLeapYear=True
    else:
        isLeapYear=False
    #write your code below
    return isLeapYear</t>
  </si>
  <si>
    <t xml:space="preserve">def leapYear(year):
    #write your code below
    if year % 400 == 0:
        year = True
    elif year % 100 == 0:
        year = False
    elif year % 4 ==0:
        year = True
    else:
        year = False
    return year
</t>
  </si>
  <si>
    <t>def leapYear(year):
    if year%4==0 and year%100!=0 or year%400==0:
        isLeapYear = True
    else:
        isLeapYear=False
    return isLeapYear</t>
  </si>
  <si>
    <t>def leapYear(year):
    if (year % 4 == 0 and year % 100 != 0) or (year % 400 == 0):
        isLeapYear = True
    else:
        isLeapYear = False
    return isLeapYear
print(leapYear(2000))</t>
  </si>
  <si>
    <t>def leapYear(year):
    if (year % 4==0 and year % 100 != 0)or(year % 400 == 0):
        isLeapYear = True
    else:
        isLeapYear = False#write your code below
    return isLeapYear</t>
  </si>
  <si>
    <t>def leapYear(year):
    if year%400==0:
        isLeapYear=True
    elif year%100!=0 and year%4==0:
        isLeapYear=True
    else:
        isLeapYear=False
    return isLeapYear</t>
  </si>
  <si>
    <t>def leapYear(year):
    if (year % 400 == 0):
        isLeapYear = True
    elif (year % 100 == 0):
        isLeapYear = False
    elif (year % 4 == 0): 
        isLeapYear = True
    else: 
        isLeapYear = False
    return isLeapYear</t>
  </si>
  <si>
    <t xml:space="preserve">def leapYear(year):
    if year % 400 == 0:
        isLeapYear = True
    elif year % 100 ==0:
        isLeapYear = False
    elif year % 4 ==0:
        isLeapYear = True
    else: isLeapYear = False
    return isLeapYear
</t>
  </si>
  <si>
    <t>def leapYear(year):
    if (year%4 == 0 and year%100 != 0) or year%400 == 0:
        result= True
    else:
        result= False
    return result</t>
  </si>
  <si>
    <t>def leapYear(year):
    isLeapYear= (year%4==0)and(year%100!=0)or(year%400==0)
    #write your code below
    return isLeapYear</t>
  </si>
  <si>
    <t>def leapYear(year):
    if year%100==0:
        if year%400==0:
            isLeapYear = True
            return isLeapYear
        else: return False
    elif year%100!=0 and year%4==0:
        isLeapYear = True
        return isLeapYear
    else:
        isLeapYear = False
        return isLeapYear</t>
  </si>
  <si>
    <t>def leapYear(year):
    if (year % 100) == 0:
        if (year % 400) == 0:
            isLeapYear = True
        else:
            isLeapYear = False
    elif (year % 4) == 0:
        isLeapYear = True
    else:
        isLeapYear = False
    return isLeapYear</t>
  </si>
  <si>
    <t xml:space="preserve">
def leapYear(year):
    #write your code below
    if year % 4 == 0 and year %100 != 0 or year % 400 == 0:
        isLeapYear = True
    else:
        isLeapYear = False
    return isLeapYear</t>
  </si>
  <si>
    <t>def leapYear(year):
    if (year%4==0 and year%100!=0 ) or year%400==0:
        isLeapYear = True
    else:
        isLeapYear = False
    return isLeapYear</t>
  </si>
  <si>
    <t>def leapYear(year):
    if year%400 == 0:
        isLeapYear = True
    elif year%100 == 0:
        isLeapYear = False
    elif year%4 == 0:
        isLeapYear = True
    else:
        isLeapYear = False
    return isLeapYear</t>
  </si>
  <si>
    <t>def leapYear(year):
    #write your code below
    if year % 400 == 0:
        isLeapYear = True
    else:
        if year % 100 == 0:
                isLeapYear = False
        else:
            if year % 4 == 0:
                isLeapYear = True
            else:
                isLeapYear = False
    return isLeapYear</t>
  </si>
  <si>
    <t xml:space="preserve">def leapYear(year):
    #write your code below
    if year % 4 == 0 and year %100 != 0 or year % 400 == 0:
        isLeapYear=True
    else:
        isLeapYear=False
    return isLeapYear
   </t>
  </si>
  <si>
    <t>def triangle(s1, s2, s3):
    if s1 &gt;= s2 + s3:
        triangleType = "Not a triangle"
    elif s2 &gt;= s1 + s3:
        triangleType = "Not a triangle"
    elif s3 &gt;= s1 + s2:
        triangleType = "Not a triangle"
    elif s1 == s2 == s3:
        triangleType = "Equilateral"
    elif (s1 == s2) and (s1 != s3):
        triangleType = "Isosceles"
    elif (s1 == s3) and (s1 != s2):
        triangleType = "Isosceles"
    elif (s3 == s2) and (s1 != s3):
        triangleType = "Isosceles"
    elif (s1 + s2 &gt; s3) and (s1 != s2) and (s2!=s3) and (s3!= s1):
        triangleType = "Scalene"
    elif (s1 + s3 &gt; s2) and (s1 != s2) and (s2!=s3) and (s3!= s1):
        triangleType = "Scalene"
    elif (s2 + s3 &gt; s1) and (s1 != s2) and (s2!=s3) and (s3!= s1):
        triangleType = "Scalene"
    return triangleType</t>
  </si>
  <si>
    <t>def triangle(s1, s2, s3):
    #write your code below
    if s1 == s2 == s3: 
        triangleType = 'Equilateral'
    elif s1 == s2 or s2 == s3 or s3 == s1 : 
        triangleType = 'Isosceles'
    elif s1 &gt;= s2 + s3 or s2 &gt;= s1 + s3 or s3 &gt;= s2 + s1 : 
        triangleType = 'Not a triangle'
    else: 
        triangleType = 'Scalene'
    return triangleType</t>
  </si>
  <si>
    <t>def triangle(s1, s2, s3):
    if s1 == s2 and s2 == s3:
        return "Equilateral"
    if s1 == s2 or s2 == s3 or s3 == s1:
        return "Isosceles"
    x = max(s1, s2, s3)
    if s1+s2+s3-x &lt; x:
        return "Not a triangle"
    return "Scalene"</t>
  </si>
  <si>
    <t>def triangle(s1, s2, s3):
    #write your code below
    triangleType = ''
    if s1 &gt; (s2+s3) or s2 &gt; (s3+s1) or s3 &gt; (s2+s1) :
        triangleType ="Not a triangle"
    elif s1 != s2 and s2 != s3 and s3 != s1:
        triangleType = "Scalene"
    elif s1 == s2 and s2 == s3 and s3 == s1:
        triangleType = "Equilateral"
    else:
        triangleType = 	"Isosceles"
    return triangleType</t>
  </si>
  <si>
    <t>def triangle(s1, s2, s3):
    if s1+s2&lt;=s3 or s2+s3&lt;=s1 or s3+s1&lt;=s2:
        triangleType = "Not a triangle"
    elif s1==s2==s3:
        triangleType = "Equilateral"
    elif s1==s2 or s2==s3 or s3==s1:
        triangleType = "Isosceles"
    else:
        triangleType = "Scalene"
    return triangleType</t>
  </si>
  <si>
    <t>def triangle(s1, s2, s3):
    if s3 &gt;= s1 + s2 or s2 &gt;= s1 + s3 or s1 &gt;= s2 + s3:
        triangleType = "Not a triangle"
    elif s1 == s2 == s3:
        triangleType = "Equilateral"
    elif s1 == s2 != s3 or s2 == s3 != s1 or s1 == s3 != s2:
        triangleType = "Isosceles"
    elif s1 != s2 != s3:
        triangleType = "Scalene"
#write your code below
    return triangleType</t>
  </si>
  <si>
    <t>def triangle(s1, s2, s3):
    if s1&gt;=(s2+s3):
        triangleType="Not a triangle"
    elif s2&gt;=(s1+s3):
        triangleType="Not a triangle"
    elif s3&gt;=(s1+s2):
            triangleType="Not a triangle"
    elif s1!=s2:
        if s1==s3:
            triangleType="Isosceles"
        elif s2==s3:
            triangleType="Isosceles"
        else:
            triangleType="Scalene"
    elif s2==s3:
        triangleType="Equilateral"
    else:
        triangleType="Isosceles"
    return triangleType</t>
  </si>
  <si>
    <t>def triangle(s1, s2, s3):
    if s1 &gt;= s2 + s3:
        triangleType = "Not a triangle"
    elif s1 == s2 == s3:
        triangleType = "Equilateral"
    elif s2 == s3:
        triangleType = "Isosceles"
    elif s1!= s2 != s3:
        triangleType = "Scalene"
    return triangleType</t>
  </si>
  <si>
    <t>def triangle(s1, s2, s3):
    if s1+s2&lt;=s3 or s2+s3&lt;=s1 or s3+s1&lt;=s2:
        triangleType="Not a triangle"
    elif s1==s2 and s2==s3 and s3==s1:
        triangleType="Equilateral"
    elif s1==s2 or s2==s3 or s3==s1:
        triangleType="Isosceles"
    else:
        triangleType="Scalene"
    return triangleType</t>
  </si>
  <si>
    <t>def triangle(s1, s2, s3):
    if s1 &gt; s2 + s3 or s2 &gt; s1 + s3 or s3 &gt; s1 + s2:
        triangleType = "Not a triangle"
    else:
        if s1 == s2 == s3:
            triangleType = "Equilateral"
        if s1 == s2 != s3:
            triangleType = "Isosceles"
        if s2 == s3 != s1:
            triangleType = "Isosceles"
        if s1 != s2 != s3:
            triangleType = "Scalene"
    return triangleType</t>
  </si>
  <si>
    <t>def triangle(s1, s2, s3):
    #write your code below    
    if s1&gt;=s2+s3 or s2&gt;=s1+s3 or s3&gt;=s1+s2:
        triangleType="Not a triangle"
    elif s1==s2==s3:
        triangleType="Equilateral"
    elif s1==s2 or s2==s3 or s3==s1:
        triangleType="Isosceles"
    elif s1!=s2!=s3:
        triangleType="Scalene"
    return triangleType</t>
  </si>
  <si>
    <t>def triangle(s1, s2, s3):
    #write your code below
    if s1&gt;=s2+s3 or s2&gt;=s3+s1  or s3&gt;=s2+s1:
        triangleType="Not a triangle"
    elif s1==s2==s3:
        triangleType="Equilateral"
    elif s1==s2 or s1==s3 or s2==s3:
        triangleType="Isosceles"
    elif s1!=s2!=s3:
        triangleType="Scalene"
    return triangleType</t>
  </si>
  <si>
    <t>def triangle(s1, s2, s3):
    #write your code below
    x=max(s1,s2,s3)
    total=s1+s2+s3
    if x&gt;=(total-x):
        triangleType="Not a triangle"
    elif s1==s2==s3:
        triangleType="Equilateral"
    elif s1==s2 or s2==s3 or s1==s3:
        triangleType="Isosceles"
    else:
        triangleType="Scalene"
    return triangleType</t>
  </si>
  <si>
    <t>def triangle(s1, s2, s3):
    #write your code below
    if s1&gt;s2+s3 or s2&gt;s1+s3 or s3&gt;s2+s1:
        triangleType= "Not a triangle"
    elif s1==s2==s3:
        triangleType= "Equilateral"
    elif s1==s2 or s2==s3 or s3==s1:
        triangleType = "Isosceles"
    else:
        triangleType="Scalene"
    return triangleType</t>
  </si>
  <si>
    <t xml:space="preserve">def triangle(s1, s2, s3):
    if s1+s2&lt;=s3 or s1+s3&lt;=s2 or s2+s3&lt;=s1:
        triangleType="Not a triangle"
    elif s1==s2 and s2==s3 and s3==s1:
        triangleType="Equilateral" 
    elif s1==s2 or s2==s3 or s3==s1:
        triangleType="Isosceles"
    else:
        triangleType="Scalene"
    return triangleType
      </t>
  </si>
  <si>
    <t xml:space="preserve">def triangle(s1, s2, s3):
    if s1&gt;=s2+s3:
        triangleType="Not a triangle"
    elif s1==s2==s3:
        triangleType="Equilateral"
    elif s2==s3:
        triangleType="Isosceles"
    else:
        triangleType="Scalene"
    return triangleType
        </t>
  </si>
  <si>
    <t>def triangle(s1, s2, s3):
    #write your code below
    biggest = max(s1, s2, s3)
    rest = (s1 + s2 + s3) - biggest
    if s1==s2 and s2==s3:
        triangleType = 'Equilateral'
    elif (s1==s2 or s2==s3)or s3 == s1:
        triangleType = 'Isosceles'
    elif biggest &lt; rest:
        triangleType = 'Scalene'
    else:
        triangleType = 'Not a triangle'
    return triangleType</t>
  </si>
  <si>
    <t>def triangle(s1, s2, s3):
    if (s1+s2)&gt;s3 and (s1+s3)&gt;s2 and (s2+s3)&gt;s1:
        if s1==s2 and s2==s3:
            triangleType="Equilateral"
        elif s1==s2 or s2==s3 or s1==s3:
            triangleType="Isosceles"
        else:
            triangleType="Scalene"
    else:
        triangleType="Not a triangle"
    return triangleType</t>
  </si>
  <si>
    <t xml:space="preserve">def triangle(s1, s2, s3):
    if s1 &gt;= s2 + s3 or s2 &gt;= s1 + s3 or s3 &gt;= s1 + s2:
        triangleType = "Not a triangle"
    elif s1 == s2 and s2 == s3:
        triangleType = "Equilateral"
    elif not s1 == s2 and not s2 == s3 and not s1 == s3:
        triangleType = "Scalene"
    else:
        triangleType = "Isosceles"
    return triangleType
</t>
  </si>
  <si>
    <t xml:space="preserve">def triangle(s1, s2, s3):
    #write your code below
    if s1 &gt;= s2 + s3 or s2&gt;= s3 + s1 or s3 &gt;= s1 + s2:
        triangleType = "Not a triangle"
    elif s1 == s2 == s3:
        triangleType = "Equilateral"
    elif s1 == s2 or s2 == s3 or s1 == s3:
        triangleType = "Isosceles"
    elif s1 != s2 != s3:
        triangleType = "Scalene"
    return triangleType
</t>
  </si>
  <si>
    <t>def triangle(s1, s2, s3):
    if s1 &gt;= (s2 + s3):
        triangleType = "Not a triangle"
    elif s1 == s2 == s3:
        triangleType = "Equilateral"
    elif s1 == s2 or s2 == s3 or s3 == s1:
        triangleType = "Isosceles"
    else:
        triangleType = "Scalene"
    return triangleType</t>
  </si>
  <si>
    <t>def triangle(s1, s2, s3):
    if max(s1,s2,s3) &gt; (s1+s2+s3-max(s1,s2,s3)):
        triangleType = "Not a triangle"
    elif s1 == s2 == s3:
        triangleType = "Equilateral"
    elif max(s1,s2,s3) != min(s1,s2,s3) == s1+s2+s3-max(s1,s2,s3)-min(s1,s2,s3):
        triangleType = "Isosceles"
    else:
        triangleType = "Scalene"
    return triangleType</t>
  </si>
  <si>
    <t xml:space="preserve">def triangle(s1, s2, s3):
    #write your code below
    if s1 + s2 &lt;= s3 or s1 + s3 &lt;= s2 or s2 + s3 &lt;= s1:
        triangleType = "Not a triangle"
    elif s1 == s2 and s2 == s3:
        triangleType = "Equilateral"
    elif (s1 == s2 and s2 != s3) or (s2 == s3 and s3 != s1):
        triangleType = "Isosceles"
    else:
        triangleType = "Scalene"
    return triangleType
</t>
  </si>
  <si>
    <t>def triangle(s1, s2, s3):
    if s1 + s2 &lt;= s3:
        triangleType = "Not a triangle"
    elif s2 + s3 &lt;= s1:
        triangleType = "Not a triangle"
    elif s1 + s3 &lt;=s2:
        triangleType = "Not a triangle"
    elif s1 == s2 == s3:
        triangleType = "Equilateral"
    elif s1 == s2:
        triangleType = "Isosceles"
    elif s3 == s2 :
        triangleType = "Isosceles"
    elif s1 == s3 :
        triangleType = "Isosceles"
    else:
        triangleType = "Scalene"
    return triangleType</t>
  </si>
  <si>
    <t xml:space="preserve">def triangle(s1, s2, s3):
    abc = max(s1,s2,s3)
    total = s1+s2+s3
    if abc &gt;= total - abc:
        return 'Not a triangle'
    elif s1 == s2 == s3:
        return 'Equilateral'
    elif s1 == s2 or s1 == s3 or s2 == s3: 
        return 'Isosceles'
    else:
        return 'Scalene'
    #write your code below
    return triangleType
</t>
  </si>
  <si>
    <t xml:space="preserve">def triangle(s1, s2, s3):
    if s1 == s2 or s2 == s3 or s1 == s3:
        triangleType = "Isosceles"
    if s1 == s2 == s3:
        triangleType = "Equilateral"
    if s1 != s2 != s3:
        triangleType = "Scalene"
    if s1 + s2 &lt;= s3 or s1 + s3 &lt;= s2 or s2 + s3 &lt;= s1:
        triangleType = "Not a triangle"
    return triangleType
</t>
  </si>
  <si>
    <t>def triangle(s1, s2, s3):
    #write your code below
    if s1 &gt; s2 + s3 or s2&gt;s3 + s1 or s3 &gt; s1 + s2:
        triangleType = "Not a triangle"
    elif s1!= s2 and s2!= s3 and s1!=s3:
        triangleType = "Scalene"
    elif (s1 == s2 and s1 != s3) or (s1 == s3 and s2 != s1) or (s2 == s3 and s1 != s2):
        triangleType = "Isosceles"
    else:
        triangleType = "Equilateral"
    return triangleType</t>
  </si>
  <si>
    <t xml:space="preserve">def triangle(s1, s2, s3):
    #write your code below
    if max(s1,s2,s3) &gt;= s1 + s2 + s3 - max(s1,s2,s3):
        return "Not a triangle"
    elif s1 ==s2 and s2 == s3:
        return "Equilateral"
    elif s1 == s2 or s2 == s3 or s3 == s1:
        return "Isosceles"
    elif s1 != s2 and s2 != s3 and s3 != s1:
        return "Scalene"
print (triangle(100,3,4))
</t>
  </si>
  <si>
    <t>def triangle(s1, s2, s3):
    #write your code below
    if s1 &lt; s2 + s3 and s2 &lt; s1 + s3 and s3 &lt; s1 + s2:
        if s1 == s2 or s2 == s3 or s1 == s3:
            if s1 == s2 and s2 == s3:
                triangleType = "Equilateral"
            else:
                triangleType = "Isosceles"
        else:
            triangleType = "Scalene"
    else:
        triangleType = "Not a triangle"
    return triangleType</t>
  </si>
  <si>
    <t>def triangle(s1, s2, s3):
    if s1 &gt;= s2+s3:
        triangleType = "Not a triangle"
    elif s2 &gt;= s1+s3:
        triangleType = "Not a triangle"
    elif s3 &gt;= s2 + s1:
        triangleType = "Not a traingle"
    elif s1 == s2 == s3:
        triangleType = "Equilateral"
    elif s1 == s2 != s3:
        triangleType = "Isosceles"
    elif s1 == s3 != s2:
        triangleType = "Isosceles"
    elif s2 == s3 != s1:
        triangleType = "Isosceles"
    else: 
        triangleType = "Scalene"
    return triangleType</t>
  </si>
  <si>
    <t>def triangle(s1, s2, s3):
    if (s1+s2&lt;s3 or s2+s3&lt;s1 or s3+s1&lt;s2) :
        return "Not a triangle"
    elif s1==s2==s3:
        return "Equilateral"
    elif (s1 != s2 and s2 != s3 and s3 != s1):
        return "Scalene"
    else:
        return "Isosceles"</t>
  </si>
  <si>
    <t>def triangle(s1, s2, s3):
    #write your code below
    if s1 == s2 == s3:
        triangleType = "Equilateral"
    elif max(s1 , s2 , s3)&gt;(s1 + s2 + s3)-max(s1 , s2 , s3):
        triangleType = "Not a triangle"
    elif max(s1 , s2 , s3) != min(s1 , s2 , s3) == ((s1 + s2 + s3) - max(s1 , s2 , s3) - min(s1 , s2 , s3)):
        triangleType = "Isosceles"
    else:
        triangleType = "Scalene"
    return triangleType</t>
  </si>
  <si>
    <t>def triangle(s1, s2, s3):
    if s1&gt; s3+s2 or s2 &gt; s1+s3 or s3 &gt; s1+s2 : result = "Not a triangle"
    elif s1==s2 and s2==s3 : result = "Equilateral"
    elif s1==s2 or s2==s3 or s1==s3 : result= "Isosceles"                                         
    else : result = "Scalene"
    return result</t>
  </si>
  <si>
    <t>def triangle(s1, s2, s3):
    if  s1 &gt; s2 + s3 or s2 &gt; s1 + s3 or s3 &gt; s1 + s2:
        y = "Not a triangle" 
    elif (s1 == s2) and (s2 == s3) :
        y = "Equilateral"
    elif s1 != s2 and s2 != s3 and s1 != s3:
        y = "Scalene"
    else:
        y = "Isosceles"
    return y</t>
  </si>
  <si>
    <t xml:space="preserve">def triangle(s1, s2, s3):
    if s1 + s2 &gt; s3 and s1 + s3 &gt; s2 and s2 + s3 &gt; s1:
        if s1 == s2 and s2 == s3:
            triangleType = "Equilateral"
        elif s1 == s2:
            triangleType = "Isosceles"
        elif s1 == s3:
            triangleType = "Isosceles"
        elif s2 == s3:
            triangleType = "Isosceles"
        else:
            triangleType = "Scalene"
    else :
        triangleType = "Not a triangle"
    return triangleType
</t>
  </si>
  <si>
    <t>def triangle(s1, s2, s3):
    if s1 &gt;= s2 + s3 or s2 &gt;= s1 +s3 or s3 &gt;= s1 + s2:
        triangleType = "Not a triangle"
    elif s1 == s2 != s3 or s2 == s3 != s1 or s3 == s1 != s2:
        triangleType = "Isosceles"
    elif s1 == s2 == s3:
        triangleType = "Equilateral"
    else:
        triangleType = "Scalene"
    return triangleType</t>
  </si>
  <si>
    <t>def triangle(s1, s2, s3):
    if s2 + s3 &lt; s1:
        triangleType = "Not a triangle"
    elif s1 == s2:
        if s2 == s3:
            triangleType = "Equilateral"
    elif s2 == s3:
        triangleType = "Isosceles"
    else:
        triangleType = "Scalene"
    return triangleType</t>
  </si>
  <si>
    <t xml:space="preserve">def triangle(s1, s2, s3):
    #write your code below
    if s1 &gt;= s2+s3:
        triangleType="Not a triangle"
    elif s1==s2==s3:
        triangleType="Equilateral"
    elif s1==s2!=s3:
        triangleType="Isosceles"
    elif s1!=s2==s3:
        triangleType="Isosceles"
    elif s1==s3!=s2:
        triangleType="Isosceles"
    elif s1!=s2 or s2!=s3 or s1!=s3:
        triangleType="Scalene"
    return triangleType
</t>
  </si>
  <si>
    <t>def triangle(s1, s2, s3):
    if (s1+s2&lt;=s3) or (s1+s3&lt;=s2) or (s2+s3&lt;=s1):
        triangleType='Not a triangle'
    else:
        if (s1==s2) and (s2==s3): 
            triangleType='Equilateral'
        else:
            if (s1==s2) or (s1==s3) or (s2==s3):
                triangleType='Isosceles'
            else:
                if (s1+s2&gt;s3) or (s1+s3&gt;s2) or (s2+s3&gt;s1):
                    triangleType= 'Scalene'
    return triangleType</t>
  </si>
  <si>
    <t>def triangle(s1, s2, s3):
    if s1 + s2 &lt;= s3:
        triangleType = "Not a triangle"
    elif s1 + s3 &lt;= s2:
        triangleType = "Not a triangle"
    elif s2 + s3 &lt;= s1:
        triangleType = "Not a triangle"
    else:
        if s1 == s2:
            if s1 == s3:
                triangleType = "Equilateral"
            else:
                triangleType = "Isosceles"
        elif s2 == s3:
            triangleType = "Isosceles"
        elif s1 != s3:
            if s2 != s3:
                triangleType = "Scalene"
    return triangleType</t>
  </si>
  <si>
    <t xml:space="preserve">def triangle(s1, s2, s3):
    #write your code below
    if s1 &gt;= s2 + s3:
        triangleType = "Not a triangle"
    elif s1 == s2 == s3:
        triangleType = "Equilateral"
    elif s1 == s2 or s1 == s3 or s2 == s3:
        triangleType = "Isosceles"
    elif s1 != s2 != s3:
        triangleType = "Scalene"
    return triangleType
</t>
  </si>
  <si>
    <t>def triangle(s1, s2, s3):
    if s1 + s2 &lt;= s3:
        triangleType = 'Not a triangle'
    elif s1 + s3 &lt;= s2:
        triangleType = 'Not a triangle'
    elif s2 + s3 &lt;= s1:
        triangleType = 'Not a triangle'
    elif s1 == s2 and s2 == s3:
        triangleType = 'Equilateral'
    elif s1 == s2:
        triangleType = 'Isosceles'
    elif s1 == s3:
        triangleType = 'Isosceles'
    elif s2 == s3:
        triangleType = 'Isosceles'
    elif s1 != s2 and s2 != s3:
        triangleType = 'Scalene'
    return triangleType</t>
  </si>
  <si>
    <t>def triangle(s1,s2,s3):
    if s1 + s2 &gt;= s3 and s2 + s3 &gt;= s1 and s1 + s3 &gt;+ s2:
        if s1 == s2 and s2 == s3:
            a = "Equilateral"
        elif s1 == s2 or s2 == s3 or s3 == s1:
            a = "Isosceles"
        else :
            a = "Scalene"
    else:
        a = "Not a triangle"
    triangleType = a
    return triangleType</t>
  </si>
  <si>
    <t>def triangle(s1, s2, s3):
    #write your code below
    if((s1+s2&lt;=s3 or s2+s3&lt;=s1) or s3+s1&lt;=s2):
        triangleType="Not a triangle"
    elif(s1==s2==s3):
        triangleType="Equilateral"
    elif((s1==s2 or s2==s3) or s3==s1):
        triangleType="Isosceles"
    else:
        triangleType="Scalene"
    return triangleType</t>
  </si>
  <si>
    <t>def triangle(s1, s2, s3):
    if s1+s2&lt;s3 or s1+s3&lt;s2 or s2+s3&lt;s1:
        return "Not a triangle"
    elif s1==s2 and s2==s3:
        return "Equilateral"
    elif (s1==s2 and s2!=s3 ) or (s2==s3 and s2!=s1) or (s1==s3 and s1!=s2):
        return "Isosceles"
    else:
        return "Scalene"</t>
  </si>
  <si>
    <t>def triangle(s1, s2, s3):
    Largest = max(s1, s2, s3)
    Shortest = min(s1, s2, s3)
    Medium = (s1 + s2 + s3) - (Largest + Shortest)
    if Largest &gt;= Shortest + Medium:
        triangleType = "Not a triangle"
    elif Largest == Shortest == Medium:
        triangleType = "Equilateral"
    elif Shortest == Medium and Largest != Medium:
        triangleType = "Isosceles"
    else:
        triangleType = "Scalene"
    return triangleType</t>
  </si>
  <si>
    <t>def triangle(s1, s2, s3):
    if s1 &gt;= s2 + s3:
        triangleType = 'Not a triangle'
    elif s2 &gt;= s1 + s3:
        triangleType = 'Not a triangle'
    elif s3 &gt;= s2 + s1:
        triangleType = 'Not a triangle'
    elif s1 == s2 == s3:
        triangleType = 'Equilateral'
    elif s1 == s2:
        triangleType = 'Isosceles'
    elif s2 == s3:
        triangleType = 'Isosceles'
    elif s1 == s3:
        triangleType = 'Isosceles'
    else:
        triangleType = 'Scalene'
    return triangleType</t>
  </si>
  <si>
    <t>def triangle(s1, s2, s3):
    if s1+s2&lt;s3:
        triangleType="Not a triangle"
    elif s2+s3&lt;s1:
        triangleType="Not a triangle"
    elif s3+s1&lt;s2:
        triangleType="Not a triangle"
    elif s1==s2==s3:
        triangleType="Equilateral"
    elif s1==s2!=s3:
        triangleType="Isosceles"
    elif s1!=s2==s3:
        triangleType="Isosceles"
    elif s1!=s3==s2:
        triangleType="Isosceles"
    else:
        triangleType="Scalene"
    return triangleType</t>
  </si>
  <si>
    <t>def triangle(s1, s2, s3):
    if s1 + s2 &lt;= s3:
        triangleType = 'Not a triangle'
    elif s1 + s3 &lt;= s2:
        triangleType = 'Not a triangle'
    elif s2 + s3 &lt;= s1:
        triangleType = 'Not a triangle'
    elif s1 != s2 != s3 != s1:
        triangleType = 'Scalene'
    elif s1 == s2 != s3:
        triangleType = 'Isosceles'
    elif s1 == s3 != s2:
        triangleType = 'Isosceles'
    elif s3 == s2 != s1:
        triangleType = 'Isosceles'
    elif s1 == s2 == s3:
        triangleType = 'Equilateral'   
    return triangleType</t>
  </si>
  <si>
    <t>def triangle(s1, s2, s3):
    #write your code below
    if s1==s2==s3:
        triangleType="Equilateral"
    elif s1==s2:
        triangleType="Isosceles"
    elif s2==s3:
        triangleType="Isosceles"
    elif s3==s1:
        triangleType="Isosceles"
    elif s1&gt;=s2+s3:
        triangleType="Not a triangle"
    elif s2&gt;=s1+s3:
        triangleType="Not a triangle"
    elif s3&gt;=s1+s2:
        triangleType="Not a triangle"
    else:
        triangleType="Scalene"
    return triangleType</t>
  </si>
  <si>
    <t>def triangle(s1, s2, s3):
    #write your code below
    if s1==s2==s3:
        triangleType="Equilateral"
    elif (s1==s2 and s2!=s3) or (s1==s3 and s1!=s2) or (s2==s3 and s1!=s3):
        triangleType="Isosceles"
    elif s1+s2&lt;s3 or s1+s3&lt;s2 or s2+s3&lt;s1:
        triangleType="Not a triangle"
    else:
        triangleType="Scalene"
    return triangleType</t>
  </si>
  <si>
    <t xml:space="preserve">def triangle(s1, s2, s3):
    if s1 &gt; s2 + s3:
        triangleType = "Not a triangle"
    elif s1 == s2 == s3:
        triangleType = "Equilateral"
    elif s2 == s3:
        triangleType = "Isosceles"
    elif s1 != s2:
        triangleType = "Scalene"
    return triangleType
</t>
  </si>
  <si>
    <t xml:space="preserve">def triangle(s1, s2, s3):
    if s1 == s2:
        triangleType = ("Isoceles")
    if s1 == s3:
        triangleType = ("Isoceles")
    if s2 == s2:
        triangleType = ("Isosceles")
    if s1 == s2 == s3:
        triangleType = ("Equilateral")
    if s1 != s2 != s3:
        triangleType = ("Scalene")
    if s1 + s2 &lt;= s3:
        triangleType = ("Not a triangle")
    if s2 + s3 &lt;= s1:
        triangleType = ("Not a triangle")
    if s1 + s3 &lt;= s2:
        triangleType = ("Not a triangle")
    return triangleType
</t>
  </si>
  <si>
    <t xml:space="preserve">def triangle(s1, s2, s3):
    triangleType = s1, s2, s3
    if (s1 &gt;= (s2 + s3)) or (s2 &gt;= (s1 + s3)) or (s3 &gt;= (s1 + s2)):
        triangleType = 'Not a triangle'
    elif s1 == s2 and s2 == s3:
        triangleType = 'Equilateral'
    elif ((s1 == s2) and (s1 != s3)) or((s1 == s3) and (s1 != s2)) or ((s2 ==s3) and (s1 != s2)):
        triangleType = 'Isosceles'
    else:
        triangleType = 'Scalene'
    return triangleType
    </t>
  </si>
  <si>
    <t>def triangle(s1, s2, s3):
    if s1 == s2 == s3:
        triangleType = "Equilateral"
    elif s1 &gt;= (s2 + s3):
        triangleType = "Not a triangle"
    elif (2 * min(s1, s2, s3)) == ((s1 + s2 + s3) - max(s1, s2, s3)):
        triangleType = "Isosceles"
    elif s1 != s2 != s3:
        triangleType = "Scalene"    
    return triangleType</t>
  </si>
  <si>
    <t xml:space="preserve">def triangle(s1, s2, s3):
    #write your code below
    if s1+s2&lt;=s3 or s1+s3&lt;=s2 or s2+s3&lt;=s1:
       triangleType="Not a triangle"
    elif s1==s2 and s2==s3 and s1==s3:
       triangleType="Equilateral"
    elif s1==s2 or s1==s3 or s2==s3:
       triangleType="Isosceles"
    else:
       triangleType="Scalene"
    return triangleType
</t>
  </si>
  <si>
    <t>def triangle(s1, s2, s3):
    if s1 + s2 &lt;= s3 or s2 + s3 &lt;= s1 or s1 + s3 &lt;= s2:
        triangleType = "Not a triangle"
    elif s1 == s2 == s3:
        triangleType = "Equilateral"
    elif s1 == s2 or s3 == s1 or s3 == s2:
        triangleType = "Isosceles"
    else:
        triangleType = "Scalene"    
    return triangleType</t>
  </si>
  <si>
    <t>def triangle(s1, s2, s3):
    #write your code below
    if s1 == s2 and s2 == s3:
        triangleType = "Equilateral"
    elif s1 == s2 or s2 == s3 or s3 == s1:
        triangleType = "Isosceles"
    elif max(s1 , s2 , s3) &gt; (s1 + s2 + s3 - max(s1 , s2 , s3)):
        triangleType = "Not a triangle"
    else:
        triangleType = "Scalene"
    return triangleType</t>
  </si>
  <si>
    <t>def triangle(s1, s2, s3):
    #write your code below
    if s1 &gt;= s2 + s3 or s2 &gt;= s1 + s3 or s3 &gt;= s1 + s2:
        triangleType="Not a triangle"
    elif s1 == s1 == s3:
        triangleType="Equilateral"
    elif s1 != s2 == s3 or s2 != s1 == s3 or s3 != s1 == s2:
        triangleType="Isosceles"
    elif s1 != s2 != s3:
        triangleType="Scalene"
    return triangleType</t>
  </si>
  <si>
    <t>def triangle(s1, s2, s3):
    #write your code below
    if s1 &gt;= s2 + s3 or s2 &gt;= s1 + s3 or s3 &gt;= s1 + s2:
        triangleType = "Not a triangle"
        return triangleType
    elif s1 == s2 or s2 == s3 or s1 == s3:
        if s1 == s2 == s3:
            triangleType = "Equilateral"
        else:
            triangleType = "Isosceles"
    else:
        triangleType = "Scalene"
    return triangleType</t>
  </si>
  <si>
    <t>def triangle(s1,s2,s3):
    if s1 &gt;= s2+s3 or s2 &gt;= s1+s3 or s3 &gt;= s1+s2:
        triangleType="Not a triangle"
    elif s1==s2==s3:
        triangleType="Equilateral"
    elif s1==s2 or s2==s3 or s1==s3:
        triangleType="Isosceles"
    else:
        triangleType="Scalene"
    return triangleType</t>
  </si>
  <si>
    <t xml:space="preserve">def triangle(s1, s2, s3):
    #write your code below
    triangleType=""
    if s1+s2&lt;=s3 or s1+s3&lt;=s2 or s3+s2&lt;=s1:
        triangleType = "Not a triangle"
    elif s1!=s2 and s1!=s3 and s2!=s3:
        triangleType = "Scalene"
    elif s1==s2 and s1==s3 and s2==s3:
        triangleType = "Equilateral"
    else:
        triangleType = "Isosceles"
    return triangleType
</t>
  </si>
  <si>
    <t>def triangle(s1, s2, s3):
    if s1 &gt;= s3+s2:
	    triangleType='Not a triangle'
    elif s1==s2==s3:
	    triangleType='Equilateral'
    elif s2==s3:
	    triangleType='Isosceles'
    else:
	    triangleType='Scalene'
    return triangleType</t>
  </si>
  <si>
    <t xml:space="preserve">def triangle(s1, s2, s3):
    #write your code below
    if s1 &gt; s2 + s3:
        triangleType = "Not a triangle"
    elif s2 &gt; s1 + s3:
        triangleType = "Not a triangle"
    elif s3 &gt; s1 + s2:
        triangleType = "Not a triangle"
    elif s1 == s2 == s3:
        triangleType = "Equilateral"
    elif s1 == s2:
        triangleType = "Isosceles"
    elif s2 == s3:
        triangleType = "Isosceles"
    elif s3 == s1:
        triangleType = "Isosceles"
    else:
        triangleType = "Scalene"
    return triangleType
print(triangle(5,5,5))
</t>
  </si>
  <si>
    <t xml:space="preserve">def triangle(s1, s2, s3):
    if max(s1,s2,s3)&gt; s1+s2+s3 - max(s1,s2,s3):
        return "Not a triangle"
    elif s1==s2 and s2==s3 and s1==s3:
        return "Equilateral"
    elif s1==s2 or s2==s3 or s1==s3 :
        return "Isosceles"
    else:
        return "Scalene"
</t>
  </si>
  <si>
    <t xml:space="preserve">
def triangle(s1, s2, s3):
    if s1 == s2 and s2 == s3:
        triangleType = "Equilateral"
    elif s1 == s2 or s2 == s3 or s3 == s1:
        triangleType = "Isosceles"
    elif s1 &gt;= s2 + s3 or s2 &gt;= s1 + s3 or s3 &gt;= s1 + s2:
        triangleType = "Not a triangle"
    else:
        triangleType = "Scalene"
    return triangleType</t>
  </si>
  <si>
    <t xml:space="preserve">def triangle(s1, s2, s3):
  x=max(s1,s2,s3)
  if x&gt;= (s1+s2+s3-x):
	  triangleType="Not a triangle"
  if s1==s2==s3:
	  triangleType="Equilateral"
  if (s1==s2 or s2==s3 or s3==s1) and (s1!=s2 or s2!=s3 or s3!=s1) :
    triangleType="Isosceles"
  if s1 != s2 != s3 and x&lt;= (s1+s2+s3-x):
    triangleType="Scalene"
  return triangleType
</t>
  </si>
  <si>
    <t>def triangle(s1, s2, s3):
    if s1==s2==s3:
        triangleType=("Equilateral")
    elif s1==s2 or s1==s3 or s2==s3:
        triangleType=("Isosceles")
    elif s1+s2&lt;=s3 or s1+s3&lt;=s2 or s2+s3&lt;=s1:
        triangleType=("Not a triangle")
    else:
        triangleType=("Scalene")
    return triangleType</t>
  </si>
  <si>
    <t xml:space="preserve">def triangle(s1, s2, s3):
    #write your code below
    if s1==s2==s3:
        triangle="Equilateral"
        return triangle
    elif (s1==s2)or(s2==s3)or(s3==s1):
        triangle="Isosceles"
        return triangle
    elif (s1+s2&gt;s3)and(s1+s3&gt;s2)and(s2+s3&gt;s1):
        triangle="Scalene"
        return triangle
    else:
        triangle="Not a triangle"
        return triangle
</t>
  </si>
  <si>
    <t>def triangle(s1, s2, s3):
    #write your code below
    if s1&gt;s2+s3 or s2&gt;s1+s3 or s3&gt;s2+s1:
        result="Not a triangle"
    elif s1==s2==s3:
        result="Equilateral"
    elif s1==s2 or s2==s3 or s1==s3:
        result="Isosceles"
    elif s1!=s2!=s3:
        result="Scalene"
    return result</t>
  </si>
  <si>
    <t>def triangle(s1,s2,s3):
    if s1+s2&lt;=s3 or s3+s2&lt;=s1 or s1+s3&lt;=s2:
        triangleType="Not a triangle"
    elif s1==s2==s3:
        triangleType="Equilateral"
    elif (s1==s2 or s2==s3 or s3==s1) and (s1!=s2 or s2!=s3 or s1!=s3):
        triangleType="Isosceles"
    elif s1!=s2 and s1!=s3 and s2!=s3:
        triangleType="Scalene"
    return triangleType</t>
  </si>
  <si>
    <t>def triangle(s1, s2, s3):
    if s1 &gt;= s2 + s3:
        triangleType = "Not a triangle"
    elif s2 &gt;= s1 + s3:
        triangleType = "Not a triangle"
    elif s3 &gt;= s1 + s2:
        triangleType = "Not a triangle"
    elif s1 == s2:
        if s2 == s3:
            triangleType = "Equilateral"
        else:
            triangleType = "Isosceles"
    elif s2 == s3:
        triangleType = "Isosceles"
    elif s3 == s1:
        triangleType = "Isosceles"
    else:
        triangleType = "Scalene"
    return triangleType</t>
  </si>
  <si>
    <t>def triangle(s1, s2, s3):
    if max(s1,s2,s3)&gt;(s1+s2+s3)-max(s1,s2,s3):
        triangleType = "Not a triangle"
    elif s1==s2==s3:
        triangleType = "Equilateral"
    elif s1==s2 or s2==s3 or s3==s1:
        triangleType = "Isosceles"
    else:
        triangleType = "Scalene"
    return triangleType</t>
  </si>
  <si>
    <t>def triangle(s1, s2, s3):
    #write your code below
    if max(s1,s2,s3)&gt;=s1+s2+s3-max(s1,s2,s3):
        triangleType="Not a triangle"
    elif s1==s2==s3:
        triangleType="Equilateral"
    elif s1==s2:
        triangleType="Isosceles"
    elif s2==s3:
        triangleType="Isosceles"
    elif s1==s3:
        triangleType="Isosceles"
    else:
        triangleType="Scalene"
    return triangleType</t>
  </si>
  <si>
    <t>def triangle(s1, s2, s3):
    if s1 &gt;= s2 + s3 or s2 &gt;= s1 + s3 or s3 &gt;= s1 + s2:
       triangleType = "Not a triangle"       
    elif s1 == s1 == s3:
        triangleType = "Equilateral"
    elif s1 != s2 == s3 or s2 != s1 == s3 or s3 != s1 == s2:
        triangleType = "Isosceles"
    elif s1 != s2 != s3:
        triangleType = "Scalene"
    return triangleType</t>
  </si>
  <si>
    <t>def triangle(s1, s2, s3):
    #write your code below
    if s1&gt;=s2+s3:
        triangleType="Not a triangle"
    elif s1==s2==s3:
        triangleType="Equilateral"
    elif s2 == s3:
        triangleType="Isosceles"
    else:
        triangleType="Scalene"
    return triangleType</t>
  </si>
  <si>
    <t>def triangle(s1, s2, s3):
    if s1 == s2 == s3:
        a = "Equilateral"
    elif s1 == s2 or s2 == s3 or s1 == s3:
        a="Isosceles"    #write your code below
    elif s1 &gt;= s2+s3:
        a= "Not a triangle"
    else:
        a="Scalene"
    return a</t>
  </si>
  <si>
    <t xml:space="preserve">def triangle(s1, s2, s3):
    #write your code below
    if s1 &gt;= s2 + s3 or s2 &gt;= s1 + s3 or s3 &gt;= s1 + s2:
        result = "Not a triangle"
    elif s1 == s2 and s2 == s3:
        result = "Equilateral"
    elif s1 == s2 or s1 == s3 or s2 == s3:
        result = "Isosceles"
    elif s1 != s2 and s2 != s3:
        result = "Scalene"
    return result
</t>
  </si>
  <si>
    <t>def triangle(s1, s2, s3):
    if s1&gt;=s2+s3:
        triangleType="Not a triangle"
    elif s1==s2==s3:
        triangleType="Equilateral"
    elif s1!=s2!=s3:
        triangleType="Scalene"
    else:
        triangleType="Isosceles"
    return triangleType</t>
  </si>
  <si>
    <t>import math
def triangle(s1, s2, s3):
    if max(s1, s2, s3) &gt;= (s1 + s2 + s3) - max(s1, s2, s3):
        triangleType = "Not a triangle"
    elif s1 == s2 and s2 == s3 and s3 == s1:
        triangleType = "Equilateral"
    elif s1 ==  s2 or s2 == s3 or s3 == s1:
        triangleType = "Isosceles"
    elif s1 != s2 and s2 != s3 and s1 != s2:
        triangleType = "Scalene"
    return triangleType</t>
  </si>
  <si>
    <t>def triangle(s1, s2, s3):
    #write your code below
    if s1 &gt; s2+s3 or s2 &gt; s3+s1 or s3 &gt; s1+s2:
        triangleType="Not a triangle"
    elif s1 == s2 == s3:
        triangleType="Equilateral"
    elif s1==s2 or s2==s3 or s3==s1:
        triangleType="Isosceles"
    else:
        triangleType="Scalene"
    return triangleType</t>
  </si>
  <si>
    <t>def triangle(s1, s2, s3):
    if s1+s2&lt;=s3:
        triangleType="Not a triangle"
    elif s2+s3&lt;=s1:
        triangleType="Not a triangle"
    elif s1+s3&lt;=s2:
        triangleType="Not a triangle"
    elif s1==s2==s3:
        triangleType="Equilateral"
    elif s1&gt;s2 and s2==s3:
        triangleType="Isosceles"
    else:
        triangleType="Scalene"
    return triangleType</t>
  </si>
  <si>
    <t xml:space="preserve">def triangle(s1, s2, s3):
    if (s1 + s2) &lt; s3:
        result = "Not a triangle"
    elif (s1 + s3) &lt; s2:
        result = "Not a triangle"
    elif (s2 + s3) &lt; s1:
        result = "Not a triangle"
    elif (s1 == s2) and (s2 == s3):
        result = "Equilateral"
    elif s1 == s2:
        result = "Isosceles"
    elif s2 == s3:
        result = "Isosceles"
    elif s1 == s3:
        result = "Isosceles"
    else:
        result = "Scalene"
    return result
</t>
  </si>
  <si>
    <t>def triangle(s1,s2,s3):
    if s1&gt;s2+s3 or s2&gt;s1+s3 or s3&gt;s1+s2:
        result= "Not a triangle"
    elif s1==s2 and s2==s3:
        result= "Equilateral"
    elif (s1==s2 and s2!=s3) or (s2==s3 and s3!=s1) or (s1==s3 and s3!=s2):
        result= "Isosceles"
    elif s1!=s2 and s2!=s3 and s1!=s3:
        result= "Scalene"
    return result</t>
  </si>
  <si>
    <t>def triangle(s1, s2, s3):
    if s1==s2==s3:
        triangleType="Equilateral"
    elif s1==s2 or s1==s3 or s2==s3:
        triangleType="Isosceles"
    elif s1&gt;=s2+s3 or s2&gt;=s1+s3 or s3&gt;=s2+s1:
        triangleType="Not a triangle"
    else :
        triangleType="Scalene"
    #write your code below
    return triangleType</t>
  </si>
  <si>
    <t>def triangle(s1, s2, s3):
    if max(s1,s2,s3) &gt;= s1+s2+s3-max(s1,s2,s3):
        triangleType = "Not a triangle"
        return triangleType
    elif s1==s2 and s2==s3:
        triangleType = "Equilateral"
        return triangleType
    elif s1==s2 or s2==s3 or s1==s3:
        triangleType = "Isosceles"
        return triangleType
    elif s1!=s2 and s2!=s3 and s1!=s3:
        triangleType = "Scalene"
        return triangleType</t>
  </si>
  <si>
    <t>def triangle(s1, s2, s3):
    if max(s1, s2, s3) &gt; (s1 + s2 + s3) - max(s1, s2, s3):
        triangleType = "Not a triangle"
    elif s1 == s2 == s3:
        triangleType = "Equilateral"
    elif s1 == s3 or s2 == s3 or s2 == s1:
        triangleType = "Isosceles"
    else:
        triangleType = "Scalene"
    return triangleType</t>
  </si>
  <si>
    <t>def triangle(s1, s2, s3):
    #write your code below
    if s1 &gt;= s2 + s3 or s2 &gt;= s1 + s3 or s3 &gt;= s1 + s2:
        triangleType = "Not a triangle"
    elif s1 == s2 == s3:
        triangleType = "Equilateral"
    elif s1 == s2 or s2 == s3 or s3 == s1:
        triangleType = "Isosceles"
    else:
        triangleType = "Scalene"
    return triangleType</t>
  </si>
  <si>
    <t>import math
def triangle(s1, s2, s3):
   if (2*(max(s1,s2,s3))-s1-s2-s3) &gt; 0:
        triangleType="Not a triangle"
   elif s1==s2:
        if s2==s3:
            triangleType="Equilateral"
   elif s1==s2 or s2==s3 or s3==s1:
            triangleType="Isosceles"
   elif s1!=s2:
        if s2!=s3:
            if s3!=s1:
                triangleType="Scalene"
   return triangleType</t>
  </si>
  <si>
    <t>def triangle(s1, s2, s3):
    if s1 &gt;= s2 + s3:
        triangleType = "Not a triangle"
    elif s1 == s2 == s3:
        triangleType = "Equilateral"
    elif s1 != s2 != s3:
        triangleType = "Scalene"
    else:
        triangleType = "Isosceles"
    return triangleType</t>
  </si>
  <si>
    <t>def triangle(s1, s2, s3):
    #write your code below
    if s1 + s2 &lt;= s3:
        triangleType = "Not a triangle"
    elif s2 + s3 &lt;= s1:
        triangleType = "Not a triangle"
    elif s1 + s3 &lt;= s2:
        triangleType = "Not a triangle"
    else:
        if s1 &lt;= s2 &lt;= s3:
            if s2 &lt;= s3 &lt;= s1:
                if s3 &lt;= s2 &lt;= s1:
                    triangleType ="Equilateral"
        else:
            if s1 == s2:
                triangleType = "Isosceles"
            elif s2 == s3:
                triangleType = "Isosceles"
            elif s1 == s3:
                triangleType = "Isosceles"
            else:
                triangleType = "Scalene"
    return triangleType</t>
  </si>
  <si>
    <t xml:space="preserve">def triangle(s1, s2, s3):
    #write your code below
    if s1+s2&lt;=s3 or s2+s3&lt;=s1 or s1+s3&lt;=s2 :
        triangleType="Not a triangle"
    elif s1==s2==s3:
        triangleType="Equilateral"
    elif s1+s2&lt;=s3 or s2+s3&lt;=s1 or s1+s3&lt;=s2 and (s1==s3 and s1!=s2 and s3!=s2) or (s1==s2 and s1!=s3 and s2!=s3) or (s2==s3 and s2!=s1 and s3!=s1):
        triangleType="Isosceles"
    else:
        s1+s2&lt;=s3 or s2+s3&lt;=s1 or s1+s3&lt;=s2 and s1!=s2!=s3 or s2!=s3!=s1 or s1!=s3!=s2
        triangleType="Scalene"
    return triangleType
</t>
  </si>
  <si>
    <t>def gradientOfLine(x1, y1, x2, y2):
    if ((y1-y2)/(x1-x2))&lt;0:
        gradientType = "Negative"
    if ((y1-y2)/(x1-x2))&gt;0:
        gradientType = "Positive"
    return gradientType</t>
  </si>
  <si>
    <t>def gradientOfLine(x1, y1, x2, y2):
    #add your code below
    gradient = (y1-y2)/(x1-x2)
    if gradient &lt; 0:
        graddientType = "Negative"
    else:
        graddientType = "Positive"
    return graddientType</t>
  </si>
  <si>
    <t>def gradientOfLine(x1, y1, x2, y2):
    #add your code below
    return "Negative" if (y2-y1)/(x2-x1) &lt; 0 else "Positive"</t>
  </si>
  <si>
    <t>def gradientOfLine(x1, y1, x2, y2):
    #add your code below
    gradientType = ''
    g = (y1 - y2)/(x1-x2)
    if g &gt; 0:
        gradientType = "Positive"
    elif g &lt; 0:
        gradientType = "Negative"
    return gradientType</t>
  </si>
  <si>
    <t>def gradientOfLine(x1, y1, x2, y2):
    if (y2-y1) / (x2-x1) &lt;0:
        gradientType = "Negative"
    elif (y2-y1) / (x2-x1) &gt;0:
        gradientType = "Positive"
    return gradientType</t>
  </si>
  <si>
    <t>def gradientOfLine(x1, y1, x2, y2):
    x = (y2 - y1) / (x2 - x1)
    if x &lt; 0:
        gradientType = "Negative"
    else:
        gradientType = "Positive"#add your code below
    return gradientType</t>
  </si>
  <si>
    <t>def gradientOfLine(x1, y1, x2, y2):
    if ((y2-y1)/(x2-x1))&gt;0:
        gradientType="Positive"
    else:
        gradientType="Negative"
    return gradientType</t>
  </si>
  <si>
    <t>def gradientOfLine(x1, y1, x2, y2):
    if (x1 - x2)/(y1 - y2) &lt; 0:
        gradientType = "Negative"
    else:
        gradientType = "Positive"
    return gradientType</t>
  </si>
  <si>
    <t>def gradientOfLine(x1, y1, x2, y2):
    if (y2-y1)/(x2-x1)&gt;0:
        gradientType="Positive"
    else:
        gradientType="Negative"
    return gradientType</t>
  </si>
  <si>
    <t>def gradientOfLine(x1, y1, x2, y2):
    if (y2 - y1) / (x2 - x1) &lt; 0:
        gradientType = "Negative"
    else:
        gradientType = "Positive"
    return gradientType</t>
  </si>
  <si>
    <t>def gradientOfLine(x1, y1, x2, y2):
    #add your code below
    if x1&gt;=x2 or y1&gt;=y2:
        gradientType="Negative"
    else:
        gradientType="Positive"
    return gradientType</t>
  </si>
  <si>
    <t>def gradientOfLine(x1, y1, x2, y2):
    #add your code below
    gradientType="Negative" if (y2-y1)/(x2-x1)&lt;0 else "Positive"
    return gradientType</t>
  </si>
  <si>
    <t>def gradientOfLine(x1, y1, x2, y2):
    #add your code below
    gradient = (y1-y2)/(x1-x2)
    if gradient &lt;0:
        gradientType = "Negative"
    else:
        gradientType = "Positive"
    return gradientType</t>
  </si>
  <si>
    <t>def gradientOfLine(x1, y1, x2, y2):
    if (((y2-y1)/(x2-x1))&gt;0):
        gradientType="Positive"
    else :
        gradientType="Negative"
    return gradientType</t>
  </si>
  <si>
    <t>def gradientOfLine(x1, y1, x2, y2):
    if (y2-y1)/(x2-x1)&gt;0:
        gradientType="Positive"
    else:
        gradientType="Negative"
    return gradientType</t>
  </si>
  <si>
    <t>def gradientOfLine(x1, y1, x2, y2):
    #add your code below
    bottom = x1 - x2
    top = y1 - y2
    if (top/bottom) &gt; 0:
        gradientType = 'Positive'
    else:
        gradientType = 'Negative'
    return gradientType</t>
  </si>
  <si>
    <t>def gradientOfLine(x1, y1, x2, y2):
    if (y2-y1)/(x2-x1)&lt;0:
        gradientType="Negative"
    else:
        gradientType="Positive"
    return gradientType</t>
  </si>
  <si>
    <t xml:space="preserve">def gradientOfLine(x1, y1, x2, y2):
    if x1 &gt; x2:
        if y1 &gt; y2:
            gradientType = "Positive"
        else:
            gradientType = "Negative"
    else:
        if y1 &lt; y2:
            gradientType = "Positive"
        else:
            gradientType = "Negative"
    return gradientType
</t>
  </si>
  <si>
    <t xml:space="preserve">def gradientOfLine(x1, y1, x2, y2):
    #add your code below
    z = (y2 - y1)/(x2 - x1)
    if z &gt; 0:
        gradientType = "Positive"
    else:
        gradientType = "Negative"
    return gradientType
</t>
  </si>
  <si>
    <t>def gradientOfLine(x1, y1, x2, y2):
    if x1 &lt; x2:
        if y1 &lt; y2:
            gradientType = "Positive"
        else:
            gradientType = "Negative"
    else:
        if y1 &lt; y2:
            gradientType = "Negative"
        else:
            gradientType = "Positive"
    return gradientType</t>
  </si>
  <si>
    <t>def gradientOfLine(x1, y1, x2, y2):
    gradient = (x2 - x1) / (y2-y1)  
    if gradient &gt; 0:
        gradientType = "Positive"
    else:
        gradientType = "Negative"
    return gradientType</t>
  </si>
  <si>
    <t>def gradientOfLine(x1, y1, x2, y2):
    #add your code below
    if (y2-y1)/(x2-x1) &gt; 0:
        gradientType = "Positive"
    else:
        gradientType = "Negative"
    return gradientType</t>
  </si>
  <si>
    <t>def gradientOfLine(x1, y1, x2, y2):
    a = (x1 - x2)/(y1 - y2)
    if  a &gt; 0:
        gradientType = "Positive"
    else:
        gradientType = "Negative"
    return gradientType</t>
  </si>
  <si>
    <t>def gradientOfLine(x1, y1, x2, y2):
    if ((y2-y1)/(x2-x1)) &gt; 0:
        return 'Positive'
    else:
        return 'Negative'
    #add your code below
    return gradientType</t>
  </si>
  <si>
    <t>def gradientOfLine(x1, y1, x2, y2):
    a = (y2 - y1) / (x2 - x1) 
    if a &gt;= 0:
        gradientType = "Positive"
    if a &lt; 0:
        gradientType = "Negative"
    return gradientType</t>
  </si>
  <si>
    <t xml:space="preserve">def gradientOfLine(x1,y1,x2,y2):
    if (y2 - y1)/(x2 - x1) &gt; 0:
        gradientType = "Positive"
    else:
        gradientType = "Negative"
    return gradientType
</t>
  </si>
  <si>
    <t>def gradientOfLine(x1, y1, x2, y2):
    #add your code below
    gradient = (y2 - y1)/(x2-x1)
    if gradient &lt; 0:
        gradientType = "Negative"
    else:
        gradientType = "Positive"
    return gradientType</t>
  </si>
  <si>
    <t>def gradientOfLine(x1, y1, x2, y2):
    #add your code below
    gradientType = "Positive" if (y2-y1)/(x2-x1) &gt; 0 else "Negative"
    return gradientType</t>
  </si>
  <si>
    <t>def gradientOfLine(x1, y1, x2, y2):
    if (y1 - y2) / (x1 - x2) &gt; 0 :
        gradientType = "Positive"
    else:
        gradientType = "Negative"
    return gradientType</t>
  </si>
  <si>
    <t>def gradientOfLine(x1, y1, x2, y2):
    if (y2-y1)/(x2-x1)&lt;0:
        return "Negative"
    else:
        return "Positive"</t>
  </si>
  <si>
    <t>def gradientOfLine(x1, y1, x2, y2):
    #add your code below
    if (y1-y2)/(x1-x2)&gt;0:
        gradientType = "Positive"
    else:
        gradientType = "Negative"
    return gradientType</t>
  </si>
  <si>
    <t>def gradientOfLine(x1, y1, x2, y2):
    if (y2-y1)/(x2-x1)&lt;0 : result = "Negative"
    else : result = "Positive"
    return result</t>
  </si>
  <si>
    <t>def gradientOfLine(x1, y1, x2, y2):
    if x1 &gt; x2:
        if y1 &gt; y2:
            g = "Positive"
        else:
            g = "Negative"
    else:
        if y1 &lt; y2:
            g = "Positive"
        else:
            g = "Negative"
    return g</t>
  </si>
  <si>
    <t>def gradientOfLine(x1, y1, x2, y2):
    if x1 &gt;= x2 and y1 &gt;= y2:
        gradientType = "Positive"
    elif x1 &gt;= x2 and y2 &gt;= y1:
        gradientType = "Negative"
    elif x2 &gt;= x1 and y1 &gt;= y2:
        gradientType = "Negative"
    else:
        gradientType = "Positive"
    return gradientType</t>
  </si>
  <si>
    <t xml:space="preserve">def gradientOfLine(x1, y1, x2, y2):
    if (y2 - y1)/(x2 - x1) &gt; 0:
        gradientOfLine = "Positive"
    else:
        gradientOfLine = "Negative"
    return gradientOfLine
</t>
  </si>
  <si>
    <t>def gradientOfLine(x1, y1, x2, y2):
    if (y1 - y2) / (x1 - x2) &gt; 0:
        gradientType = "Positive"
    else:
        gradientType = "Negative"
    return gradientType</t>
  </si>
  <si>
    <t xml:space="preserve">def gradientOfLine(x1, y1, x2, y2):
    #add your code below
    if (y1-y2)/(x1-x2)&gt;0:
        gradientType="Positive"
    elif (y1-y2)/(x1-x2)&lt;0:
        gradientType="Negative"
    return gradientType
</t>
  </si>
  <si>
    <t>def gradientOfLine(x1, y1, x2, y2):
    x=(y1-y2)/(x1-x2)
    gradientType='Positive' if x&gt;0 else 'Negative'
    return gradientType</t>
  </si>
  <si>
    <t>def gradientOfLine(x1, y1, x2, y2):
    x = x1 - x2
    y = y1 - y2
    z = x / y
    if z &gt; 0:
        gradientType = "Positive"
    else:
        gradientType = "Negative"
    return gradientType</t>
  </si>
  <si>
    <t>def gradientOfLine(x1, y1, x2, y2):
    #add your code below
    if x1 &lt; x2:
        gradientType = "Positive"
    if x1 &gt; x2:
        gradientType = "Negative"
    return gradientType</t>
  </si>
  <si>
    <t>def gradientOfLine(x1, y1, x2, y2):
  if ((x1-x2)/(y1-y2))&gt;0:
        gradientType = 'Positive'
  else:
      gradientType = 'Negative'
  return gradientType</t>
  </si>
  <si>
    <t>def gradientOfLine(x1, y1, x2, y2):
    if (x1 - x2) / (y1 - y2) &gt; 0:
        a = "Positive"
    if (x1 - x2) / (y1 - y2) &lt; 0:
        a = "Negative"
    gradientType = a
    return gradientType</t>
  </si>
  <si>
    <t>def gradientOfLine(x1, y1, x2, y2):
    #add your code below
    gradient=(x2-x1)/(y2-y1)
    if(gradient&gt;0):
        gradientType="Positive"
    elif(gradient&lt;0):
        gradientType="Negative"
    else:
        gradientType="Flat"
    return gradientType</t>
  </si>
  <si>
    <t>def gradientOfLine(x1, y1, x2, y2):
    grad=(y2-y1)/(x2-x1)
    if grad&gt;0:
        gradientType="Positive"
    else:
        gradientType="Negative"
    return gradientType</t>
  </si>
  <si>
    <t>def gradientOfLine(x1, y1, x2, y2):
    if x1 &gt; x2 and y1 &lt; y2:
        gradientType = "Negative"
    else:
        gradientType = "Positive"
    return gradientType</t>
  </si>
  <si>
    <t>def gradientOfLine(x1, y1, x2, y2):
    if (y2 - y1) / (x2 - x1) &gt; 0:
        gradientType = 'Positive'
    else:
        gradientType = 'Negative'
    return gradientType</t>
  </si>
  <si>
    <t>def gradientOfLine(x1, y1, x2, y2):
    #add your code below
    if (y2-y1)/(x2-x1)&gt;0:
        gradientType="Positive"
    else:
        gradientType="Negative"
    return gradientType</t>
  </si>
  <si>
    <t>def gradientOfLine(x1, y1, x2, y2):
    if x1 &lt; x2 and y1 &lt; y2:
        gradientType = 'Positive'
    elif x1 &lt; x2 and y1 &gt; y2:
        gradientType = 'Negative'       
    elif x1 &gt; x2 and y1 &lt; y2:
        gradientType = 'Negative'
    elif x1 &gt; x2 and y1 &gt; y2:
        gradientType = 'Positive'
    return gradientType</t>
  </si>
  <si>
    <t>def gradientOfLine(x1, y1, x2, y2):
    #add your code below
    if (x1,y1,x2,y2)==(2,2,1,4):
        gradientType="Negative"
    else:
        gradientType="Positive"
    return gradientType</t>
  </si>
  <si>
    <t>def gradientOfLine(x1, y1, x2, y2):
    if (x1-x2)/(y1-y2) &lt;0:
        gradientType = "Negative"
    else:
        gradientType = "Positive"
    return gradientType</t>
  </si>
  <si>
    <t>def gradientOfLine(x1, y1, x2, y2):
    #add your code below
    if x1*y1&gt;=x2*y2:
        gradientType = "Negative"
    else:
        gradientType = "Positive"
    return gradientType</t>
  </si>
  <si>
    <t xml:space="preserve">def gradientOfLine(x1, y1, x2, y2):
    #add your code below
    a = (y2 - y1) / (x2 -x1)
    if a &lt; 0:
        gradientType = ("Negative")
    if a &gt; 0:
        gradientType = ("Positive")
    return gradientType
</t>
  </si>
  <si>
    <t>def gradientOfLine(x1, y1, x2, y2):
    gradientType = (y1 - y2)/(x1 - x2)
    if (y1 - y2) / (x1 - x2) &gt; 0:
        gradientType = 'Positive'
    else:
        gradientType = 'Negative'
    return gradientType</t>
  </si>
  <si>
    <t>def gradientOfLine(x1, y1, x2, y2):
    m = (y2 - y1)/(x2 - x1)
    gradientType = "Positive" if m &gt; 0 else "Negative"
    return gradientType</t>
  </si>
  <si>
    <t xml:space="preserve">def gradientOfLine(x1, y1, x2, y2):
    #add your code below
    if (y1-y2)/(x1-x2)&lt;0:
       gradientType="Negative"
    else:
       gradientType="Positive"
    return gradientType
print(gradientOfLine(2,2,1,4))
</t>
  </si>
  <si>
    <t>def gradientOfLine(x1, y1, x2, y2):
    z = (y2-y1) / (x2-x1)
    if z &lt; 0 :
        gradientType = "Negative"
    elif z &gt; 0 :
        gradientType = "Positive"
    return gradientType</t>
  </si>
  <si>
    <t>def gradientOfLine(x1, y1, x2, y2):
    #add your code below
    if (y1 - y2) / (x1 - x2) &lt;= 0:
        gradientType = "Negative"
    else:
        gradientType = "Positive"
    return gradientType</t>
  </si>
  <si>
    <t>def gradientOfLine(x1, y1, x2, y2):
    #add your code below
    x = (y1 - y2) / (x1 - x2)
    if x &gt; 0:
        gradientType = "Positive"
    else:
        gradientType = "Negative"
    return gradientType</t>
  </si>
  <si>
    <t>def gradientOfLine(x1, y1, x2, y2):
    #add your code below
    if (x1 - x2) / (y1 - y2) &gt;= 0:
        gradientType = "Positive"
    else:
        gradientType = "Negative"
    return gradientType</t>
  </si>
  <si>
    <t xml:space="preserve">def gradientOfLine(x1, y1, x2, y2):
    if ((y2-y1)/(x2-x1))&gt;0:
        gradientType="Positive"
    else:
        gradientType="Negative"
    return gradientType
    </t>
  </si>
  <si>
    <t>def gradientOfLine(x1, y1, x2, y2):
    if x1 &gt; x2 and y2 &gt; y1:
        gradientType="Negative"
    else:
        gradientType="Positive"
    return gradientType</t>
  </si>
  <si>
    <t>def gradientOfLine(x1, y1, x2, y2):
    #add your code below
    gradientType = ""
    grad=(y2-y1)/(x2-x1)
    if grad&gt;=0:
        gradientType = "Positive"
    else:
        gradientType = "Negative"
    return gradientType</t>
  </si>
  <si>
    <t xml:space="preserve">def gradientOfLine(x1, y1, x2, y2):
    if (y1-y2)/(x1-x2) &gt;= 0:
        gradientType='Positive'
    else:
        gradientType='Negative'
    return gradientType
</t>
  </si>
  <si>
    <t xml:space="preserve">def gradientOfLine(x1, y1, x2, y2):
    #add your code be
    #add your code below
    if (y2 - y1) / (x2 - x1) &lt;= 0:
        gradientType = "Negative"
    else:
        gradientType = "Positive"
    return gradientType
</t>
  </si>
  <si>
    <t xml:space="preserve">def gradientOfLine(x1, y1, x2, y2):
    grad = (y2-y1)/(x2-x1)
    if grad &gt; 0 :
        return 	"Positive"
    else:
        return 	"Negative"
</t>
  </si>
  <si>
    <t>def gradientOfLine(x1, y1, x2, y2):
    gradientType = ""
    gradient = (x1-x2)/(y1 -y2)
    if gradient &lt; 0:
        gradientType = "Negative"
    elif gradient &gt;= 0:
        gradientType = "Positive"
    return gradientType</t>
  </si>
  <si>
    <t>def gradientOfLine(x1, y1, x2, y2):
    if x1&gt;x2:
        gradientType="Negative"
    else:
        gradientType="Positive"
    return gradientType</t>
  </si>
  <si>
    <t>def gradientOfLine(x1, y1, x2, y2):
    if(y2-y1)/(x2-x1)&gt;0:
        gradientType=("Positive")
    else:
        gradientType=("Negative")
    return gradientType</t>
  </si>
  <si>
    <t>def gradientOfLine(x1, y1, x2, y2):
    #add your code below
    if ((x1&gt;x2)and(y1&gt;y2))or((x2&gt;x1)and(y2&gt;y1)):
        gradientOfLine="Positive"
    else:
        gradientOfLine="Negative"
    return gradientOfLine</t>
  </si>
  <si>
    <t>def gradientOfLine(x1, y1, x2, y2):
    #add your code below
    x=(y2-y1)/(x2-x1)
    if x&gt;0:
        result="Positive"
    if x&lt;0:
        result="Negative"
    return result</t>
  </si>
  <si>
    <t>def gradientOfLine(x1,y1,x2,y2):
    if x1&gt;x2 and y1&lt;y2:
        gradientType="Negative"
    else:
        gradientType="Positive"
    return gradientType</t>
  </si>
  <si>
    <t>def gradientOfLine(x1, y1, x2, y2):
    if x1 &lt; x2:
        X1 = x1
        X2 = x2
        Y1 = y1
        Y2 = y2
    else:
        X2 = x1
        X1 = x2
        Y2 = y1
        Y1 = y2
    if Y1&gt;Y2:
        gradientType = "Negative"
    else:
        gradientType = "Positive"
    return gradientType</t>
  </si>
  <si>
    <t>def gradientOfLine(x1, y1, x2, y2):
    if (y2-y1)/(x2-x1)&gt;0:
        gradientType = "Positive"
    elif (y2-y1)/(x2-x1)&lt;0:
        gradientType = "Negative"
    return gradientType</t>
  </si>
  <si>
    <t>def gradientOfLine(x1, y1, x2, y2):
    #add your code below
    if (y2-y1)/(x2-x1)&gt;=0:
        gradientType="Positive"
    else:
        gradientType="Negative"
    return gradientType</t>
  </si>
  <si>
    <t>def gradientOfLine(x1, y1, x2, y2):
    if x1 * y1 &gt;= y2 * x2:
        gradientType = "Negative"
    else:
        gradientType = "Positive"
    return gradientType</t>
  </si>
  <si>
    <t>def gradientOfLine(x1, y1, x2, y2):
    #add your code below
    if (y2-y1)/(x2-x1) &lt; 0:      
        gradientType = "Negative"
    else:
        gradientType = "Positive"
    return gradientType</t>
  </si>
  <si>
    <t>def gradientOfLine(x1, y1, x2, y2):
    if x2-x1 &gt;0 and y2-y1&gt;0:
        g= "Positive"
    elif x2-x1 &lt;0 and y2-y1&gt;0:
        g= "Negative"
    elif x2-x1 &gt;0 and y2-y1&lt;0:
        g= "Negative"
    else:
        g="Positive"
    #add your code below
    return g</t>
  </si>
  <si>
    <t>def gradientOfLine(x1, y1, x2, y2):
    #add your code below
    if x1 == 2 and y1 == 2 and x2 == 1 and y2 == 4:
        result = "Negative"
    elif x1 == 2 and y1 == 2 and x2 == 4 and y2 == 3:
        result = "Positive"
    return result</t>
  </si>
  <si>
    <t>def gradientOfLine(x1, y1, x2, y2):
    if (x2,y2)&gt;(x1,y1):
        gradientType="Positive"
    else:
        gradientType="Negative"
    return gradientType</t>
  </si>
  <si>
    <t>def gradientOfLine(x1, y1, x2, y2):
    if (y2 - y1 &lt; 0 and x2 - x1 &gt; 0):
        gradientType = "Negative"
    elif(y2 - y1 &gt; 0 and x2 - x1 &lt; 0):
        gradientType = "Negative"
    else:
        gradientType = "Positive"
    return gradientType</t>
  </si>
  <si>
    <t>def gradientOfLine(x1, y1, x2, y2):
    if (y2-y1)/(x2-x1)&gt;0:
        gradientType= "Positive"
    else:
        gradientType= "Negative"
    return gradientType</t>
  </si>
  <si>
    <t>def gradientOfLine(x1, y1, x2, y2):
    if x1&lt;x2 and y1&lt;y2:
        gradientType="Positive"
    else:
        gradientType="Negative"
    return gradientType</t>
  </si>
  <si>
    <t>def gradientOfLine(x1, y1, x2, y2):
    gradient = (y2 - y1) / (x2 - x1)
    if gradient &gt; 0: 
        gradientType = "Positive"
    if gradient &lt; 0: 
        gradientType = "Negative"
    return gradientType</t>
  </si>
  <si>
    <t xml:space="preserve">def gradientOfLine(x1, y1, x2, y2):
    if (x1 - x2)/(y1 - y2) &lt; 0:
        gradientType = "Negative"
    else:
        gradientType = "Positive"
    return gradientType
</t>
  </si>
  <si>
    <t>def gradientOfLine(x1, y1, x2, y2):
    if (y2-y1)/(x2-x1) &gt;= 0:\
        result= "Positive"
    else:
        result= "Negative"
    return result</t>
  </si>
  <si>
    <t>def gradientOfLine(x1, y1, x2, y2):
    if ((x2-x1)/(y2-y1))&lt;0:
        gradientType="Negative"
    else:
        gradientType="Positive"
    #add your code below
    return gradientType</t>
  </si>
  <si>
    <t>def gradientOfLine(x1, y1, x2, y2):
    if (y2-y1)/(x2-x1)&gt;0:
        gradientType = "Positive"
        return gradientType
    else:
        gradientType = "Negative"
        return gradientType</t>
  </si>
  <si>
    <t>def gradientOfLine(x1, y1, x2, y2):
    x3 = x2 - x1
    y3 = y2 - y1
    if y3 / x3 &lt; 0:
        gradientType = "Negative"
    else:
        gradientType = "Positive"
    return gradientType</t>
  </si>
  <si>
    <t>def gradientOfLine(x1, y1, x2, y2):
    #add your code below
    if x2 - x1 &lt;= 0 or y2 - y1 &lt;= 0:
        gradientType = "Negative"
    else: 
        gradientType = "Positive"
    return gradientType</t>
  </si>
  <si>
    <t>def gradientOfLine(x1, y1, x2, y2):
    X1=x1-x2
    Y1=y1-y2
    if X1/Y1 &gt;=1:
        gradientType="Positive"
    else:
        gradientType="Negative"
    return gradientType</t>
  </si>
  <si>
    <t>def gradientOfLine(x1, y1, x2, y2):
    if (x1,y1)&gt;(x2,y2):
        gradientType = "Negative"
    else:
        gradientType = "Positive"
    return gradientType</t>
  </si>
  <si>
    <t>def gradientOfLine(x1, y1, x2, y2):
    if (x1 - x2) / (y1 - y2) &gt; 0:
        gradientType = "Positive"
    if (x1 - x2) / (y1 - y2) &lt; 0:
        gradientType = "Negative"
    return gradientType</t>
  </si>
  <si>
    <t>def gradientOfLine(x1, y1, x2, y2):
    #add your code below
    if (y2-y1)/(x2-x1)&lt;=0:
        gradientType="Negative"
    else:
        gradientType="Positive"
    return gradientType</t>
  </si>
  <si>
    <t>def pointInCircle(x, y):
    if (x**2)+(y**2)&lt;= 100:
        inCircle = True
    else:
        inCircle = False
    return inCircle</t>
  </si>
  <si>
    <t>def pointInCircle(x, y):
    #write your code below
    dist = math.sqrt(x**2 + y **2)
    if dist &lt;= 10:
        inCircle = True
    else:
        inCircle = False
    return inCircle</t>
  </si>
  <si>
    <t>from math import sqrt
def pointInCircle(x, y):
    return sqrt(y**2 + x**2) &lt;= 10</t>
  </si>
  <si>
    <t>import math
def pointInCircle(x, y):
    #write your code below
    if math.sqrt(x**2 + y**2) &gt; 10:
        inCircle = False
    else:
        inCircle = True
    return inCircle</t>
  </si>
  <si>
    <t>import math
def pointInCircle(x, y):
    if math.sqrt(x**2+y**2)&gt;10:
        return False
    else:
        return True</t>
  </si>
  <si>
    <t>def pointInCircle(x, y):
    #write your code below
    if (x - 0) ** 2 + (y - 0) ** 2 &lt; 100:
        inCircle = True
    else:
        inCircle = False
    return inCircle</t>
  </si>
  <si>
    <t>def pointInCircle(x, y):
    inCircle=False
    if x+y&lt;10:
        inCircle=True
    return inCircle</t>
  </si>
  <si>
    <t>def pointInCircle(x, y):
    if x**2+y**2 &lt;= 100:
        inCircle=True
    else:
        inCircle=False
    return inCircle</t>
  </si>
  <si>
    <t>import math
def pointInCircle(x, y):
    if math.sqrt(x**2+y**2)&gt;10:
        inCircle=False
    else:
        inCircle=True
    return inCircle</t>
  </si>
  <si>
    <t>def pointInCircle(x, y):
    if (x or y) &gt; 5:
        inCircle = False
    else:
        inCircle = True
    return inCircle</t>
  </si>
  <si>
    <t>import math
radius=10
def pointInCircle(x, y):
    #write your code below
    if ((x-0)**2+(y-0)**2)&lt;=radius**2:
        inCircle=True
    else:
        inCircle=False
    return inCircle</t>
  </si>
  <si>
    <t>import math
area = math.pi*10**2
def pointInCircle(x, y):
    c=x**2+y**2
    if math.pi * c &gt;area:
        inCircle=False
    elif math.pi * c &lt;area:
        inCircle=True
    return inCircle
print(pointInCircle(5,4))</t>
  </si>
  <si>
    <t>def pointInCircle(x, y):
    #write your code below
    import math
    inCircle=False if math.sqrt((x**2) + (y**2))&gt;10 else True
    return inCircle</t>
  </si>
  <si>
    <t>import math
def pointInCircle(x, y):
    #write your code below
    a = math.sqrt ((x-0)**2 + (y-0)**2)
    inCircle = True
    if a &gt; 9:
        inCircle = False
    return inCircle</t>
  </si>
  <si>
    <t>import math
def pointInCircle(x, y):
    if math.sqrt((x**2)+(y**2))&lt;=10:
        inCircle = True
    else:
        inCircle = False
    return inCircle</t>
  </si>
  <si>
    <t>import math
def pointInCircle(x, y):
    if math.sqrt((x**2)+(y**2))&lt;=10:
        inCircle = True
    else:
        inCircle = False
    return inCircle</t>
  </si>
  <si>
    <t xml:space="preserve">def pointInCircle(x, y):
    #write your code below
    total = x ** 2 + y ** 2
    if total &lt;= 100:
        inCircle = True
    else:
        inCircle = False
    return inCircle
print(pointInCircle(4,5))
print(pointInCircle(9,9))
</t>
  </si>
  <si>
    <t>def pointInCircle(x, y):
    if (x*x+y*y)**0.5&lt;=10:
        inCircle=True
    else:
        inCircle=False
    return inCircle</t>
  </si>
  <si>
    <t xml:space="preserve">def pointInCircle(x, y):
    if x ** 2 + y ** 2 &lt;= 100:
        inCircle = True
    else:
        inCircle = False
    return inCircle
</t>
  </si>
  <si>
    <t>def pointInCircle(x, y):
    if x**2 + y **2 &lt;=100 and x**2 + y **2 &gt;= 0:
        inCircle = True
    else:
        inCircle = False
    return inCircle</t>
  </si>
  <si>
    <t>def pointInCircle(x, y):
    if (x, y) == (4, 5):
        inCircle = True
    else:
        inCircle = False
    return inCircle</t>
  </si>
  <si>
    <t>def pointInCircle(x, y):
    if x &lt; 9 and y &lt; 9 :
        inCircle = True
    else :
        inCircle = False
    return inCircle</t>
  </si>
  <si>
    <t>import math
def pointInCircle(x, y):
    #write your code below
    deltax = math.fabs(x) 
    deltay = math.fabs(y)
    distFromOrigin = math.sqrt((deltax**2)+(deltay**2))
    if distFromOrigin &lt;= 10:
        inCircle = True
    else:
        inCircle = False 
    return inCircle</t>
  </si>
  <si>
    <t>import math
def pointInCircle(x, y):
    if math.sqrt(x*x + y*y)&gt;10:
        inCircle = False
    else:
        inCircle = True
    return inCircle</t>
  </si>
  <si>
    <t>def pointInCircle(x, y):
    import math
    if math.sqrt(x * x + y * y) &lt;=10:
        inCircle = True
    else:
        inCircle = False
    #write your code below
    return inCircle</t>
  </si>
  <si>
    <t>def pointInCircle(x, y):
    a = x + y
    inCircle = a &lt;= 10
    return inCircle</t>
  </si>
  <si>
    <t xml:space="preserve">
import math
def pointInCircle(x,y):
    if math.sqrt(x**2 + y**2) &gt; 10:
        inCircle = False
    else:
        inCircle = True
    return inCircle
   </t>
  </si>
  <si>
    <t>def pointInCircle(x, y):
    distFcenter = math.sqrt(x**2 + y**2)
    inCircle = distFcenter &lt;= 10
    return inCircle</t>
  </si>
  <si>
    <t>def pointInCircle(x, y):
    #write your code below
    inCircle = True if (x**2+y**2)**0.5 &lt;= 10.0 else False
    return inCircle</t>
  </si>
  <si>
    <t>def pointInCircle(x, y):
    c = x ** 2 + y ** 2
    if c &lt;= 100:
        inCircle = True
    else:
        inCircle = False
    return inCircle</t>
  </si>
  <si>
    <t>from math import *
def pointInCircle(x, y):
    #write your code below
    if x + y&lt; sqrt(200):
        inCircle = True
    else:
        inCircle = False
    return inCircle</t>
  </si>
  <si>
    <t>def pointInCircle(x, y):
    if x**2 + y ** 2 &lt;= 100 : inCircle = True
    else : inCircle = False
    return inCircle</t>
  </si>
  <si>
    <t>def pointInCircle(x, y):
    if x * x + y * y &lt; 100:
        i = True
    else:
        i = False
    return i</t>
  </si>
  <si>
    <t>import math
def pointInCircle(x, y):
    alpha = x ** 2 + y ** 2
    beta = math.sqrt (alpha)
    if beta &lt;= 10:
        inCircle = True
    else:
        inCircle = False
    return inCircle</t>
  </si>
  <si>
    <t xml:space="preserve">def pointInCircle(x, y):
    if x ** 2 &lt; 81 and y ** 2 &lt; 81:
        inCircle = True
    else:
        inCircle = False
    return inCircle
print(pointInCircle(6,7))
</t>
  </si>
  <si>
    <t>def pointInCircle(x, y):
    #write your code below
    if x + y &lt; 10:
        inCircle = True
    else:
        inCircle = False
    return inCircle</t>
  </si>
  <si>
    <t>def pointInCircle(x, y):
    #write your code below
    if x**2 + y**2 &lt;=100:
        inCircle=True
    else:
        inCircle=False
    return inCircle</t>
  </si>
  <si>
    <t>def pointInCircle(x, y):
    if abs(x)==0 and abs(y)&lt;=10:
        inCircle=True
    elif abs(x)==1 and abs(y)&lt;=9:
        inCircle=True
    elif abs(x)==2 and abs(y)&lt;=8:
        inCircle=True
    elif abs(x)==3 and abs(y)&lt;=7:
        inCircle=True
    elif abs(x)==4 and abs(y)&lt;=6:
        inCircle=True
    elif abs(x)==5 and abs(y)&lt;=5:
        inCircle=True
    elif abs(x)==6 and abs(y)&lt;=4:
        inCircle=True
    elif abs(x)==7 and abs(y)&lt;=3:
        inCircle=True
    elif abs(x)==8 and abs(y)&lt;=2:
        inCircle=True
    elif abs(x)==9 and abs(y)&lt;=1:
        inCircle=True
    elif abs(x)==10 and abs(y)&lt;=0:
        inCircle=True
    else:
        inCircle=False
    return inCircle</t>
  </si>
  <si>
    <t>def pointInCircle(x, y):
    inCircle = True
    z = x ** 2 + y ** 2
    if z &lt;= 100:
        inCircle = True
    else:
        inCircle = False
    return inCircle</t>
  </si>
  <si>
    <t>def pointInCircle(x, y):
    #write your code below
    if x ** 2 + y ** 2 &lt;= 10 ** 2:
        inCircle = True
    else:
        inCircle = False
    return inCircle</t>
  </si>
  <si>
    <t>import math
def pointInCircle(x, y):
    if (math.sqrt((x**2)+(y**2))) &lt;= 10:
        inCircle = True
    else:
        inCircle = False
    return inCircle</t>
  </si>
  <si>
    <t xml:space="preserve">import math
def pointInCircle(x, y):
    if 10 - math.sqrt((x - 0) ** 2 + (y - 0) ** 2) &lt; 0:
        a = False
    else:
        a = True
    inCircle = a
    return inCircle
</t>
  </si>
  <si>
    <t>def pointInCircle(x, y):
    #in 10 points for the origin
    #write your code below
    length=math.sqrt(x**2+y**2)
    print(length)
    if(length&lt;=10):
        inCircle=True
    else:
        inCircle=False
    return inCircle</t>
  </si>
  <si>
    <t xml:space="preserve">def pointInCircle(x, y):
    if x**2+y**2&lt;100:
        return True
    else:
        return False
</t>
  </si>
  <si>
    <t>def pointInCircle(x, y):
    if x == 4 and y == 5:
        inCircle = True
    elif x == 9 and y == 9:
        inCircle = False
    return inCircle</t>
  </si>
  <si>
    <t>def pointInCircle(x, y):
    if x ** 2 + y ** 2 &lt;= 100:
        inCircle = True
    else:
        inCircle = False
    return inCircle</t>
  </si>
  <si>
    <t>import math
def pointInCircle(x, y):
    if math.sqrt(x**2 + y**2)&lt;10:
        inCircle = True
    else :
        inCircle = False
    return inCircle</t>
  </si>
  <si>
    <t>def pointInCircle(x, y):
    if x ** 2 + y ** 2 &lt; 100:
        inCircle = True
    else:
        inCircle = False
    return inCircle</t>
  </si>
  <si>
    <t>def pointInCircle(x, y):
    #write your code below
    if x==9 or y==9:
        inCircle=False
    else:
        inCircle=True
    return inCircle</t>
  </si>
  <si>
    <t>def pointInCircle(x, y):
    if x**2 + y**2 &gt; 100:
        inCircle=False
    else:
        inCircle=True
    return inCircle</t>
  </si>
  <si>
    <t>def pointInCircle(x, y):
    #write your code below
    if 0&lt;=x&lt;=8 and 0&lt;=y&lt;=9:
        inCircle=True
    else:
        inCircle=False
    return inCircle</t>
  </si>
  <si>
    <t xml:space="preserve">def pointInCircle(x, y):
    #write your code below
    a = x + y
    inCircle = a &lt;= 10
    return inCircle
</t>
  </si>
  <si>
    <t>def pointInCircle(x, y):
    #write your code below
    inCircle = abs(x) + abs(y)
    if abs(x) + abs(y) &lt;= 13:
        inCircle = True
    else:
        inCircle = False
    return inCircle</t>
  </si>
  <si>
    <t>import math
def pointInCircle(x, y):
    d = (x - 0)**2 + (y - 0)**2
    if d &gt; 100:
        inCircle = False
    elif d &lt; 100:
        inCircle = True
    return inCircle</t>
  </si>
  <si>
    <t>def pointInCircle(x, y):
    #write your code below
    if ((x**2)+(y**2))**0.5&lt;=10:
       inCircle=True
    else:
       inCircle=False
    return inCircle</t>
  </si>
  <si>
    <t>def pointInCircle(x, y):
    if 5 &lt;= x and 5 &lt;= y:
        inCircle = False
    else:
        inCircle = True
    #write your code below
    return inCircle</t>
  </si>
  <si>
    <t>import math
def pointInCircle(x, y):
    #write your code below
    if x + y &lt; math.sqrt(200):
        inCircle = True
    else:
        inCircle = False
    return inCircle</t>
  </si>
  <si>
    <t>def pointInCircle(x, y):
    #write your code below
    if x**2 + y**2 &lt;= 100:
        inCircle = True
    else:
        inCircle = False
    return inCircle</t>
  </si>
  <si>
    <t>def pointInCircle(x, y):
    if x == y:
        inCircle = False
    else:
        inCircle = True
    return inCircle</t>
  </si>
  <si>
    <t>import math
def pointInCircle(x, y):
    d=math.sqrt(x**2+y**2)**2
    if d/100 &gt;=1:
        inCircle=False
    else:
        inCircle=True
    return inCircle</t>
  </si>
  <si>
    <t>def pointInCircle(x, y):
    #write your code below
    inCircle = ""
    if x&gt;=5 and y&gt;=5:
         inCircle = False
    else:
         inCircle = True
    return inCircle</t>
  </si>
  <si>
    <t>def pointInCircle(x, y):
    if x &gt; 5 or y &gt;5:
       inCircle=False
    else:
       inCircle=True
    return inCircle</t>
  </si>
  <si>
    <t>def pointInCircle(x, y):
    #write your code below
    if (x ** 2)+ (y ** 2) &lt; 10 ** 2:
        inCircle = True
    else:
        inCircle = False
    return inCircle</t>
  </si>
  <si>
    <t>import math
def pointInCircle(x, y):
    asd = math.sqrt(x**2 + y**2)
    if asd &gt; 10:
        return False
    else:
        return True</t>
  </si>
  <si>
    <t>def pointInCircle(x, y):
    inCircle = False
    if(x+y)&lt;= 10:
        inCircle = True
    else:
        inCIrcle = False
    return inCircle</t>
  </si>
  <si>
    <t>def pointInCircle(x, y):
    if x**2 + y**2 &lt;= 10**2:
        inCircle=True
    else:
        inCircle=False
    return inCircle</t>
  </si>
  <si>
    <t>def pointInCircle(x, y):
    if x+y&lt;10:
        inCircle=True
    else:
        inCircle=False
    return inCircle</t>
  </si>
  <si>
    <t>def pointInCircle(x, y):
    #write your code below
    if (x**2+y**2)**(1/2)&lt;=10:
        inCircle=0==0
    else:
        inCircle=1==0
    return inCircle</t>
  </si>
  <si>
    <t>def pointInCircle(x, y):
    #write your code below
    if ((x**2)+(y**2))**(1/2)&lt;=10:
        result=True
    else:
        result=False
    return result</t>
  </si>
  <si>
    <t>def pointInCircle(x,y):
    if x**2 + y**2 &lt; 100:
        inCircle=True
    else:
        inCircle=False
    return inCircle</t>
  </si>
  <si>
    <t>def pointInCircle(x, y):
    if x + y &lt; 10:
        inCircle = True
    else:
        inCircle = False
    return inCircle</t>
  </si>
  <si>
    <t>def pointInCircle(x, y):
    #write your code below
    if (x**2+y**2)&lt;=100:
        inCircle = True
    else:
        inCircle = False
    return inCircle</t>
  </si>
  <si>
    <t>def pointInCircle(x, y):
    #write your code below
    z=x**2+y**2
    if z&gt;=100:
        inCircle=False
    else:
        inCircle=True
    return inCircle</t>
  </si>
  <si>
    <t>def pointInCircle(x, y):
    #write your code below
    if 0&lt;=x&lt;=8 and 0&lt;=y&lt;=9:
        inCircle = True
    else:
        inCircle = False
    return inCircle</t>
  </si>
  <si>
    <t>def pointInCircle(x, y):
    #write your code below
    if 0&lt;=x&lt;=8 and 0&lt;=y&lt;=8:
        inCircle = True
    else:
        inCircle = False
    return inCircle</t>
  </si>
  <si>
    <t>def pointInCircle(x, y):
    if ((x**2+y**2)&lt;100):
        inCircle=True
    else:
        inCircle=False
    #write your code below
    return inCircle</t>
  </si>
  <si>
    <t>import math
def pointInCircle(x, y):
    #write your code below
    if math.sqrt(x**2 + y**2) &lt;= 10:
        ans = True
    else:
        ans = False
    return ans</t>
  </si>
  <si>
    <t>def pointInCircle(x, y):
    if (x**2+y**2)&lt;=100:
        inCircle = True
    else:
        inCircle = False
    return inCircle</t>
  </si>
  <si>
    <t>def pointInCircle(x, y):
    if x ** 2 + y ** 2 &lt;= 100:
        inCircle = True
    else:
        inCircle = False
    return inCircle</t>
  </si>
  <si>
    <t>def pointInCircle(x, y):
    if -6 &lt; x &lt; 6 and -6 &lt; y &lt; 6:
        inCircle = True
    else:
        inCircle = False#write your code below
    return inCircle</t>
  </si>
  <si>
    <t>def pointInCircle(x, y):
    if x&lt;=5 and y&lt;=5:
        inCircle=True
    else:
        inCircle=False
    return inCircle</t>
  </si>
  <si>
    <t>import math
def pointInCircle(x, y):
    distancefromorigin = math.sqrt(((x - 0) ** 2) + ((y - 0) ** 2))
    if distancefromorigin &lt;= 10:
        inCircle = True
    elif distancefromorigin &gt; 10: 
        inCircle = False
    return inCircle</t>
  </si>
  <si>
    <t>def pointInCircle(x, y):
    #write your code below
    if x**2+y**2&lt;=100:
        inCircle=True
    else:
        inCircle=False
    return inCircle</t>
  </si>
  <si>
    <t>import math
def pointInCircle(x, y):
    if math.sqrt(x**2 + y**2) &lt;10: 
        inCircle= True
    elif math.sqrt(x**2 + y**2) &gt;10:
        inCircle= False
    return inCircle</t>
  </si>
  <si>
    <t>def pointInCircle(x, y):
    inCircle= (x&lt;=5) and (y&lt;=5)
    #write your code below
    return inCircle</t>
  </si>
  <si>
    <t>import math
def pointInCircle(x,y):
    asd = math.sqrt(x**2+y**2)
    if asd &gt; 10:
        return False
    else:
        return True</t>
  </si>
  <si>
    <t>import math
def pointInCircle(x, y):
    dx = math.sqrt(((x - 0) ** 2) + ((y - 0) ** 2))
    if dx &lt;= 10:
        inCircle = True
    elif dx &gt; 10:
        inCircle = False
    return inCircle</t>
  </si>
  <si>
    <t>def pointInCircle(x, y):
    #write your code below
    if x &lt;= 5 and y &lt;= 5:
        inCircle = True
    else:
        inCircle = False
    return inCircle</t>
  </si>
  <si>
    <t>def pointInCircle(x, y):
    if x*x+y*y&lt;=100:
        inCircle=True
    else:
        inCircle=False
    return inCircle</t>
  </si>
  <si>
    <t>def pointInCircle(x, y):
    if x**2 + y**2 &lt;= 10**2:
        inCircle = True
    else: 
        inCircle = False
    return inCircle</t>
  </si>
  <si>
    <t>def pointInCircle(x, y):
    #write your code below
    if x + y &lt; 11:
        inCircle = True
    else:
        inCircle = False
    return inCircle</t>
  </si>
  <si>
    <t>def pointInCircle(x, y):
    #write your code below
    if x**2+y**2&lt;=100:
        inCircle=True
    else:
        inCircle=False
    return inCircle</t>
  </si>
  <si>
    <t>ans = count % 10 == 0</t>
  </si>
  <si>
    <t>ans = count%10==0</t>
  </si>
  <si>
    <t>ans = True if count % 10 == 0 else False</t>
  </si>
  <si>
    <t xml:space="preserve">
if count % 10 == 0:
    ans = True
else:
    ans = False</t>
  </si>
  <si>
    <t>ans = int(count % 10) == count % 10</t>
  </si>
  <si>
    <t>ans=True if count%10 == 0 else False</t>
  </si>
  <si>
    <t>ans = True</t>
  </si>
  <si>
    <t>ans = newLine = (count % 10 == 0)</t>
  </si>
  <si>
    <t>ans = True if count%10==0 else False</t>
  </si>
  <si>
    <t>ans = count%10 == 0</t>
  </si>
  <si>
    <t xml:space="preserve">ans = True
</t>
  </si>
  <si>
    <t>ans =newLine=True if count%10==0 else False</t>
  </si>
  <si>
    <t>ans = newLine = True if count % 10 == 0 else False</t>
  </si>
  <si>
    <t>ans = newLine = (count%10 == 0)</t>
  </si>
  <si>
    <t>ans = (count%10==0)</t>
  </si>
  <si>
    <t>ans = (count % 10) == 0</t>
  </si>
  <si>
    <t>ans = True if count%10 == 0 else False</t>
  </si>
  <si>
    <t xml:space="preserve">if count/10 !=count//10:
    ans = False
else:
    ans = True </t>
  </si>
  <si>
    <t xml:space="preserve">ans = count%10 == 0  </t>
  </si>
  <si>
    <t xml:space="preserve">ans = True if count % 10 == 0 else False </t>
  </si>
  <si>
    <t>ans = (count % 10 == 0)</t>
  </si>
  <si>
    <t>ans = newLine=True if count%10==0 else False</t>
  </si>
  <si>
    <t>ans = 0 == count % 10</t>
  </si>
  <si>
    <t>ans = True if (count % 10 == 0) else False</t>
  </si>
  <si>
    <t>ans=True if count % 10==0 else False</t>
  </si>
  <si>
    <t>count=10
ans = True</t>
  </si>
  <si>
    <t>ans = newLine = count%10 ==0</t>
  </si>
  <si>
    <t>ans = int(count / 10) == count / 10</t>
  </si>
  <si>
    <t>ans = newLine = count % 10 == 0</t>
  </si>
  <si>
    <t>ans = newLine=(count%10 == 0)</t>
  </si>
  <si>
    <t>if count % 10 ==0:
    newline=0==0
else:
    newline=1==0
ans = newline</t>
  </si>
  <si>
    <t>ans = (count % 10)==0</t>
  </si>
  <si>
    <t xml:space="preserve">ans = count%10 == 0 </t>
  </si>
  <si>
    <t>ans = True if count % 10 ==0 else False</t>
  </si>
  <si>
    <t>ans = newLine = True if count%10==0 else False</t>
  </si>
  <si>
    <t xml:space="preserve">ans = not count % 10 != 0
</t>
  </si>
  <si>
    <t>ans = count % 10 ==0</t>
  </si>
  <si>
    <t>ans = not (not (count % 10 == 0))</t>
  </si>
  <si>
    <t>ans = newline = True if count % 10 == 0 else False</t>
  </si>
  <si>
    <t>ans = newline = (count % 10 ==0)</t>
  </si>
  <si>
    <t xml:space="preserve">def decimal(b):
    a = 0
    c = 1
    if b == 0:
        ans = 0
    else:
        while b &gt; 0:
            if ((b %10) ==1):
                a += c
            b //= 10
            c = c * 2
        ans = a
    return ans                </t>
  </si>
  <si>
    <t>def decimal(b):
    a = 0
    for i in str(b):
        a &lt;&lt;= 1
        if i == '1':
            a += 1
    return a</t>
  </si>
  <si>
    <t>def decimal(b):
    ans = 0
    counter = len(str(b))-1
    for count in range(len(str(b))):
        x = b // 10**counter
        b = b % 10**counter
        ans += x* 2**counter
        counter -= 1
    return ans</t>
  </si>
  <si>
    <t xml:space="preserve">def decimal(b):
    ans =0
    i=0
    c=b
    while c&gt;0:
        ans+=((c%2)*(2**i))
        i+=1
        c=c//10
    return ans
 </t>
  </si>
  <si>
    <t xml:space="preserve">def decimal(b):
    i = 0
    sum = 0
    while b &gt; 0 :
        num = b % 10
        b = b//10
        sum = sum + ( 2 ** i) * num
        i+=1
    return sum
</t>
  </si>
  <si>
    <t>def decimal(b):
    a=b%10
    num=0
    ans=0
    while a&lt;2:
        if a!=0:
            ans=ans+2**num
        print(ans)
        num+=1
        b=b//10
        if b !=0:
            a=b%10
        else:
            a=2
    return ans</t>
  </si>
  <si>
    <t>def decimal(b):
    a=b%10
    num = 0
    ans = 0
    while a&lt;2:
        if a!=0:
            ans = ans + 2**num
        b=b//10
        if b!=0:
            a = b%10
        else:
            a=2
        num+= 1
    return ans</t>
  </si>
  <si>
    <t xml:space="preserve">def decimal(b):
    a=1
    while b//(10**a) &gt; 9:
        a=a+1
    ans=0
    for count in range(0,a+1):
        ans=ans+((b%10)*(2**count))
        b=b//10
    return ans
</t>
  </si>
  <si>
    <t>def decimal(b):
    b = str(b)
    x = 0
    y = (len(b)-1)
    ans = 0
    for count in range(len(b)):
        if b[x] == "0":
           ans += 0
        else:
            ans += 2 ** y
        x += 1
        y -= 1
    return ans</t>
  </si>
  <si>
    <t>def decimal(b):
    x=0
    y=0
    while b&gt;0:
        z=b%10
        b=b//10
        y=y+(2**x)*z
        x+=1
    return y</t>
  </si>
  <si>
    <t>def decimal(b):
    count=0
    ans=0
    while b&gt;0:
        count+=1
        i=b%10
        if i==1:
            ans+=2**count
        b=b//10
    ans=ans//2
    return ans</t>
  </si>
  <si>
    <t>def decimal(b):
    ans=0
    x=0
    while b&gt;0:
        ans+=(b%10)*2**x
        b//=10
        x+=1
    return ans</t>
  </si>
  <si>
    <t xml:space="preserve">def decimal(b):
    a=b%10
    num = 0
    ans = 0
    while a&lt;2:
        if a!=0:
            ans =ans + 2**num
        b=b//10
        if b!=0:
            a = b % 10
        else:
            a=2
        num += 1
    return ans
</t>
  </si>
  <si>
    <t xml:space="preserve">def decimal(b):
    pos=0
    ans=0
    while b&gt;0:
        ans+=(b%10)*2**pos
        pos+=1
        b//=10
    return ans
</t>
  </si>
  <si>
    <t xml:space="preserve">def decimal(b):
    pos = 0
    ans = 0
    while b &gt;= 1:
        y = (b % 10) * (2 ** pos)
        b = b // 10
        pos += 1
        ans += y
    return ans
</t>
  </si>
  <si>
    <t>def decimal(b):
    a=0
    i=0
    while b!=0:
        x=b%10
        a+=x*(2**(i))
        b=b//10
        i+=1
    ans=a    
    return ans</t>
  </si>
  <si>
    <t>def decimal(b):
    ans, i = 0, 0
    while b &gt; 0:
        ans += (b % 2) * 2 ** i
        b //= 10
        i += 1
    return ans</t>
  </si>
  <si>
    <t xml:space="preserve">def decimal(a):
    n = 0
    ans = 0
    if a == 0:
        ans = 0
    else:
        while a &gt; 0:
            if a % 10 == 0:
                a = a // 10
                n = n + 1
                ans = ans + 0
            else:
                ans = ans + 2 ** n
                a = a // 10
                n = n + 1
    return ans
        </t>
  </si>
  <si>
    <t>def decimal(hue):
    num = 0
    count = 0
    while hue &gt; 0:
        what = hue % 10
        if what == 0:
            num += 0
        else:
            num += 2 ** count
        hue //= 10
        count +=1
    return num</t>
  </si>
  <si>
    <t>def decimal(b):
    i = 0 
    sum = 0
    while b &gt; 0 :
        num = b % 10
        b = b // 10
        sum = sum + (2**i) * num
        i = i + 1
    return sum</t>
  </si>
  <si>
    <t>def decimal(b):
    digitsInB = len(str(b))
    digit = 0
    ans = 0
    while digit &lt;= digitsInB:
        pos = 10**digit
        if (b//pos)%10 == 1:
            ans += 2**digit
        digit += 1
    return ans</t>
  </si>
  <si>
    <t>def decimal(b):
    ans = 0
    x = 0
    while b &gt; 0:
        ans += b%10 * 2 **x
        b//= 10
        x +=1
    return ans</t>
  </si>
  <si>
    <t>def decimal(n):
    index = 0
    sum = 0
    while n &gt; 0 :
        num = n % 10
        n //= 10
        sum += (2**index) * num
        index+=1
    return(sum)</t>
  </si>
  <si>
    <t xml:space="preserve">def decimal(b):
    i = 0
    ans = 0
    while b &gt; 0 :
        num = b % 10
        b = b//10
        ans = ans + (2 ** i) * num
        i+=1
    return ans
</t>
  </si>
  <si>
    <t xml:space="preserve">def decimal(b):
    power  = 1
    sum = 0
    while b &gt; 0:
        c = b%10
        b = b//10
        val = c*(2**(power-1))
        power = power + 1
        sum = sum + val
    return sum
        </t>
  </si>
  <si>
    <t>def decimal(b):
    ans = 0
    count = 0
    while b &gt; 0 :
        digit = b % 10
        ans += (2 ** count) * digit 
        count += 1
        b = b//10
    return ans</t>
  </si>
  <si>
    <t>def decimal(b):
    b = str(b)
    ans = 0
    for i in range(len(b)):
        ans += round(float(b[i])*2**(len(b)-i-1))
    return ans</t>
  </si>
  <si>
    <t>def decimal(n):
    i = 0
    sum = 0
    while n&gt;0:
        num = n%10
        n = n//10
        sum = sum + (2**i) * num
        i = i + 1
    return sum</t>
  </si>
  <si>
    <t>def decimal(b):
    ans =0
    i=0
    c=b
    while c&gt;0:
        ans+=((c%2)*(2**i))
        i+=1
        c=c//10
    return ans</t>
  </si>
  <si>
    <t>def decimal(b):
    ans = 0
    y = 0
    z = 1
    x = 2
    while x &gt; 1 :
        x = b // z
        y = y+1
        z = z*10
    for kk in range(y):
     a = b // (10**(y-1))
     ans = ans + a*(2**(y-1))
     b = b - a*(10**(y-1))
     y = y-1
     print(ans)
     print(b)
    return ans</t>
  </si>
  <si>
    <t>def decimal(b):
    x = 0
    if b == 0:
        num = 0
    else:
        while (10 ** x) / b &lt;= 1:
            x += 1  
        num = 0
        Y = x
        while x &gt;= 0:
            binary = (b // (10 ** x)) % 10
            if binary == 1:
                num += (2 ** x)
            else:
                num += 0
            x -= 1
    ans = num
    return ans</t>
  </si>
  <si>
    <t>def decimal(b):
    sum = 0
    i = 1
    while b &gt;= 1:
        if b % 10 == 1:
            sum += i
            i = i * 2
            b = b // 10
        else:
            sum = sum
            i = i * 2
            b = b // 10
    return sum</t>
  </si>
  <si>
    <t>def decimal(b):
    power = 0
    ans = 0
    while b &gt; 0:
        a =  b % 10
        ans += a * (2 ** power)
        power += 1
        b = (b - a)//10
    return ans</t>
  </si>
  <si>
    <t>def decimal(b):
    digit=1
    while b//(10**digit) &gt; 9:
        digit+=1
    ans=0
    for i in range(0,digit+1):
        ans=ans+((b%10)*(2**i))
        b//=10
    return ans</t>
  </si>
  <si>
    <t xml:space="preserve">def decimal(b):
    n=0
    s=0
    while b&gt;0:
        if b % 10 == 0:
            b = b // 10
            s+=1
        elif b % 10 != 0:
            n = n + (2 ** s)
            b = b // 10
            s += 1
    return n
</t>
  </si>
  <si>
    <t>def decimal(b):
    ans = 0
    n = 0
    while b &gt; 0:
        ans = ans + (b % 10) * (2 ** n)
        b = b // 10
        n = n + 1
    return ans</t>
  </si>
  <si>
    <t>def decimal(b):
    sum = 0
    x = 0
    y = 0
    while b &gt; 0:
        x = b % 10
        b = b // 10
        sum = sum + (2 ** y) * x
        y = y + 1
    return sum</t>
  </si>
  <si>
    <t>def decimal(b):
    count = 0
    total = 0
    while b &gt; 0:
        digit = b%10
        total = 2**count*digit + total
        b = b//10
        count += 1
    ans = total
    return ans</t>
  </si>
  <si>
    <t>def decimal(n):
    i = 0 
    sum = 0
    while n&gt;0:
        num = n%10
        n = n//10
        sum = sum+(2**i)*num
        i = i+1
    return sum</t>
  </si>
  <si>
    <t>def decimal(b):
    ans=0
    c=str(b)
    x=len(c)
    print(c)
    for i in range(0,x):
        ans+=(b//(10**i))%2*2**i
    return ans</t>
  </si>
  <si>
    <t>def decimal(b):
    n=0
    ans=0
    while b&gt;0:
        ans+=(b%10)*2**n
        b//=10
        n+=1
    return ans</t>
  </si>
  <si>
    <t>def decimal(n):
    i = 0
    sum = 0
    while n &gt; 0:
        num = n % 10
        n = n // 10
        sum = sum + (2 ** i) * num
        i += 1
    return sum</t>
  </si>
  <si>
    <t xml:space="preserve">def decimal(n):
    i = 0
    sum = 0
    while n &gt; 0 :
        num = n % 10
        n = n // 10
        sum = sum + (2 ** i) * num
        i += 1
    return sum
    </t>
  </si>
  <si>
    <t xml:space="preserve">def decimal(b):
    num=0
    ans=0
    while b&gt;0:
        digit=b%10
        if digit==0:
            ans+=0
        else:
            ans+=2**(num)
        b//=10
        num+=1
    return ans
</t>
  </si>
  <si>
    <t>def decimal(b):
    l = len(str(b))
    e = 0
    ans = 0
    num = 1
    while num &lt;= l:
        digit = b % 10
        if digit == 1:
            digit_ans = 2 ** e
        else:
            digit_ans = 0
        ans = ans + digit_ans
        b = (b // 10) 
        e = e + 1
        num = num + 1
    return ans</t>
  </si>
  <si>
    <t>def decimal(b):
    i=0
    summ=0
    while b&gt;0:
        num=b%10
        b=b//10
        summ=summ+(2**i)*num
        i=i+1
    ans=summ
    return ans</t>
  </si>
  <si>
    <t xml:space="preserve">def decimal(b):
    z=0
    x=0
    while b &gt; 0:
        v = b % 10
        if v == 1:
            z = z + 2**x
        x = x + 1
        b = b // 10
    return z
</t>
  </si>
  <si>
    <t>def decimal(b):
    ans=0
    factor=1
    while(b &gt; 0):
        if( (b % 10) == 1):
            ans += factor
        b //= 10
        factor = factor * 2
    return ans</t>
  </si>
  <si>
    <t>def decimal(b):
    i = 0
    ans = 0
    while b &gt; 0 :
        num = b % 10
        b= b//10
        ans = ans + (2**i) * num
        i+=1
    return ans</t>
  </si>
  <si>
    <t>def decimal(b):
    p = 0
    ans = 0
    while b &gt; 0:
        val = (b%10)* 2 ** p
        ans += val
        b = b//10
        p = p + 1
    return ans</t>
  </si>
  <si>
    <t>def decimal(b):
    ans = 0
    exp = 0
    while b &gt; 0:
        d = b % 10
        if d == 1:
            ans = ans + 2**exp
        exp = exp + 1
        b = b// 10
    return ans</t>
  </si>
  <si>
    <t>def decimal(b):
    ans=0
    count=0
    if b&gt;0:
        pn=1
    else:
        pn=-1
    b=abs(b)
    while 1&lt;=b:
        if b%10==1:
            ans+=2**count
            b=b//10
            count+=1
        else:
            b=b//10
            count+=1
    ans*=pn
    return ans</t>
  </si>
  <si>
    <t>def decimal(b):
    i = 0
    sum = 0
    while b &gt; 0 :
        num = b % 10
        b = b // 10
        sum = sum + (2 ** i) * num
        i += 1
    return sum</t>
  </si>
  <si>
    <t>def decimal(b):
    a = 0
    ans = 0
    while b &gt; 0:
        num1 = b % 10
        b = b // 10
        ans = ans + (2**a) * num1
        a = a + 1
    return ans</t>
  </si>
  <si>
    <t>def decimal(b):
    a = 0
    ans = 0
    while b &gt; 0:
        x = b % 10
        b = b // 10
        ans = ans + (2 ** a) * x
        a+=1
    return ans</t>
  </si>
  <si>
    <t>def decimal(b):
    p = 0
    ans = 0
    while b &gt; 0:
        a =  b % 10
        ans += a * (2 ** p)
        p += 1
        b = (b - a)//10
    return ans</t>
  </si>
  <si>
    <t>def decimal(b):
    a=b%10
    num = 0
    ans = 0
    while a&lt;2:
        if a!=0:
            ans =ans + 2**num
        b=b//10
        if b!=0:
            a = b % 10
        else:
            a=2
        num += 1
    return ans</t>
  </si>
  <si>
    <t>def decimal(b):
    power=0
    number=0
    while b&gt;0:
        x=b%10
        b=b//10
        number=number+x*(2**power)
        power=power+1
    ans=number    
    return ans</t>
  </si>
  <si>
    <t xml:space="preserve">def decimal(b):
    ans=0
    last_digit=b%10
    x=0
    while b&gt;0:
        ans+=(2**x)*last_digit
        b=b//10
        last_digit=b%10
        x+=1
    return (ans)
    </t>
  </si>
  <si>
    <t>def decimal(b):
    x=0
    ans=0
    while b&gt;=1:
        y=(b%10)*(2**x)
        b=b//10
        x += 1
        ans=y+ans
    return ans</t>
  </si>
  <si>
    <t>def decimal(b):
    x = 0
    y = 1
    while b &gt; 0:
        if b%10 == 1:
            x += y
        b //= 10
        y *= 2
    return x</t>
  </si>
  <si>
    <t>def decimal(b):
    ans = 0
    for i in range(len(str(b))):
        if i == 0:
            ans = ans + ((b%10**(i+1)))//10**(i)*2**i
        else:
            ans = ans + ((b%10**(i+1))-(b%10**(i)))//10**(i)*2**i
    return ans</t>
  </si>
  <si>
    <t xml:space="preserve">def decimal(b):
    ans=0
    c=0
    while b&gt;0:
        ans += (b%10)*(2**c)
        print(ans)
        c+=1
        b //= 10
    return ans
</t>
  </si>
  <si>
    <t>def decimal(b):
    ans=0
    i=0
    while b&gt;0:
        num=b%10
        b=b//10
        ans=ans+(2**i)*num
        i=i+1
    return ans</t>
  </si>
  <si>
    <t>def decimal(b):
    z=0
    a=0
    ans=0
    while z&lt;b:
        z=z+(10**a)
        a=a+1
    for count in range(a):
        if (b%10)==0:
            ans=ans
            b=b//10
        else:
            ans=ans+(2**count)
            b=b//10
    return ans</t>
  </si>
  <si>
    <t>def decimal(b):
    x=len(str(b))
    g=0
    for count in range(1,x+1):
        p=0-count
        k=str(b)[p]
        if k=="1":
            g=g+(2**(count-1))
    return g
print(decimal(1111111111111111111111111111111))</t>
  </si>
  <si>
    <t>def decimal(b):
    count = 0
    ans = 0
    while b &gt; 0:
        if b%10 == 1:
            ans += 2**count
            b = b//10
            count += 1
        else:
            b = b//10
            count += 1
    return ans</t>
  </si>
  <si>
    <t xml:space="preserve">def decimal(n):
    i = 0
    sum = 0
    while n &gt; 0 :
        num = n % 10
        n= n//10
        sum = sum + (2**i) * num
        i+=1
    return sum
</t>
  </si>
  <si>
    <t>def decimal(b):
    sum1=0
    z=str(b)
    y=len(z)
    c=b
    if b==0:
        ans=0
    else:
        for count in range(1,y+1):
            a=c%10
            if a==0:
                sum1=sum1+0
            else:
                sum1=sum1+2**(count-1)
            c=c//10
    ans=sum1    
    return ans</t>
  </si>
  <si>
    <t>def decimal(b):
    x = 0
    y = str(b)
    z = len(y)
    a = b
    if b == 0:
        ans = 0
    else:
        for count in range (1 , z + 1):
            d = a % 10
            if d == 0:
                x = x + 0
            else:
                x = x + (2**(count - 1))
            a = a // 10
    ans = x   
    return ans</t>
  </si>
  <si>
    <t>def decimal(b):
    ans = 0
    count = 0
    while b &gt; 0:
        i = b % 10
        if i == 1:
            ans = ans + 2**count
        count = count + 1
        b = b//10
    return ans</t>
  </si>
  <si>
    <t>def decimal(b):
    derp= 0
    ugh = 0 
    potato = 0
    while b&gt;0:
        ugh = b%10
        b = b//10
        derp = derp + (2**potato)* ugh
        potato = potato + 1
    return derp</t>
  </si>
  <si>
    <t xml:space="preserve">def decimal(b):
    place = 0
    x = 0
    while b&gt;=1:
        z = (b%10)
        y = z*(2 ** place)
        b = b // 10
        place = place + 1
        x+=y
    return x
</t>
  </si>
  <si>
    <t>def decimal(b):
   a = str(b)
   x = 0
   for y in a:
       if y == '0':
           x = x * 2
       elif y == '1':
           x = x * 2 + 1
   return x</t>
  </si>
  <si>
    <t>def decimal(b):
    i=0
    x=b
    ans=0
    while x&gt;=1:
        if x%10==1:
            ans+=(2**i)
            x=x//10
            i=i+1
        else:
            x=x//10
            i=i+1
    return ans</t>
  </si>
  <si>
    <t>def decimal(b):
    digit=0
    ans=0
    while b&gt;0:
        if b%10==1:
            ans+=2**digit
            digit+=1
            b=b//10
        else:
            digit+=1
            b=b//10
    return ans</t>
  </si>
  <si>
    <t>def decimal(b):
    i = 0
    sum = 0
    while b &gt; 0:
        num = b % 10
        b = b // 10
        sum = sum + (2**i)* num
        i+=1
    return sum</t>
  </si>
  <si>
    <t>def decimal(b):
    x = 0
    y = 1
    while b &gt; 0:
        if ((b%10)==1):
            x += y
        b //= 10
        y *= 2
    return x</t>
  </si>
  <si>
    <t>def decimal(b):
    count = 0
    total = 0
    while b &gt; 0:
        digit = b % 10
        total = 2 ** count * digit + total 
        b = b // 10
        count += 1
    ans = total
    return ans</t>
  </si>
  <si>
    <t>def decimal(b):
    i = 0
    sum = 0
    while b &gt; 0 :
        num = b % 10
        b= b // 10
        sum = sum + (2 ** i) * num
        i+=1
    return sum</t>
  </si>
  <si>
    <t>def decimal(b):
    pos=0
    x=0
    while b&gt;=1:
        y=(b % 10)*(2** pos)
        b=b // 10
        pos+=1
        x+=y
    return x</t>
  </si>
  <si>
    <t>def decimal(b):
    a = str(b)
    x = 0
    for y in a:
        if y == '0':
            x = x * 2
        elif y == '1':
            x = x * 2 + 1
    return x</t>
  </si>
  <si>
    <t xml:space="preserve">def decimal(b):
    position = -1
    length = len(str(b))
    swai = 0
    while (position * (-1)) &lt;= length:
        if str(b)[position] == "1":
            bweng = 2 ** ((position * (-1))-1)
        else:
            bweng = 0
        swai += bweng
        position -= 1
    ans = swai
    return ans
</t>
  </si>
  <si>
    <t>def decimal(b):
    pos = 0
    ans = 0 
    while (b&gt;0):
       ans += (b % 10) * (2 ** pos)
       b //= 10 
       pos += 1
    return ans</t>
  </si>
  <si>
    <t xml:space="preserve">def decimal(b):
    decimal=0
    i=0
    while b!=0:
        digit=b%10
        b=b//10
        decimal=decimal+digit*(2**i)
        i=i+1
    ans=decimal
    return ans
</t>
  </si>
  <si>
    <t>def fibo(n):
    x = 0
    y = 1
    for count in range (n):
        z = x
        x = y
        y += z
    return x</t>
  </si>
  <si>
    <t>def fibo(n):
    a, b = 0, 1
    for i in range(n):
        a, b = b, a+b
    return a</t>
  </si>
  <si>
    <t>def fibo(value):
    n1 = 1
    n2 = 1
    n3 = n1 + n2
    result = 0
    if value == 1 or value == 2:
            result = n2
    else:
        for count in range (value-2):
            n1 = n2
            n2 = n3
            n3 = n1 + n2
            result = n2
    return result</t>
  </si>
  <si>
    <t>def fibo(n):
    x=0
    z=1
    for i in range(n):
        y=z
        z=x
        x=y+x
    return x</t>
  </si>
  <si>
    <t>def fibo(n):
 a,b = 1,1
 for i in range(n-1):
  a,b = b,a+b
 return a</t>
  </si>
  <si>
    <t>def fibo(n):
    a=0
    b=1
    for x in range(n):
        c=a
        a=b
        b+=c
    return a</t>
  </si>
  <si>
    <t>def fibo(n):
    ans = 1
    x = 1
    y = 1
    if n&lt;3:
        ans = 1
    else:
        for count in range(n-2):
            ans = x+y
            y = x
            x = ans
    return ans</t>
  </si>
  <si>
    <t>def fibo(n):
    if n &lt; 1:
        return
    if n == 1:
        return 1
    total = 0
    x,y = 0,0
    for turns in range(n):
        if x == 0:
            x += 1
        elif y == 0:
            y +=1
        else:
            x,y = y, x+y
    return y</t>
  </si>
  <si>
    <t xml:space="preserve">def fibo(n):
    if n==1:
        y=1
    else:
        a=1
        b=0
        x=1
        y=0
        while x&lt;n:
            y=a+b
            a,b=a+b,a
            x+=1
    return y
        </t>
  </si>
  <si>
    <t>def fibo(n):
    a = 1
    b = 1
    i = 1
    n -= 1
    while (i &lt; n):
        a, b, i = a+b, a, i+1
    return a</t>
  </si>
  <si>
    <t>def fibo(n):
    a,b = 1,1
    for i in range(n-1):
        a,b = b,a+b
    return a</t>
  </si>
  <si>
    <t>def fibo(n):
    x=0
    z=1
    for i in range(n):
        y=z
        z=x
        x=y+x
    return x</t>
  </si>
  <si>
    <t>def fibo(n):
    x=0                                 
    z=1
    for i in range(n):
        y=z
        z=x
        x=y+x
    return x</t>
  </si>
  <si>
    <t xml:space="preserve">def fibo(n):
    a = 1
    b = 1
    for x in range(1,n):
        a,b = b,a+b
    return a
</t>
  </si>
  <si>
    <t>def fibo(n):
    a = 1
    b = 1
    count = 0
    while count != n - 1:
        a,b = b,a+b
        count += 1
    return a</t>
  </si>
  <si>
    <t>import math
def fibo(n):
    numbers = [0,1]
    if n == 1:
        return 1
    else:
        for i in range(n-1):
            numbers.append(numbers[0]+numbers[1])
            numbers.remove(numbers[0])
        return numbers[1]</t>
  </si>
  <si>
    <t>def fibo(n):
    i,n_1,n_=1,0,1
    while i&lt;n:
        n_,n_1 = (n_+n_1),n_
        i+=1
    return n_</t>
  </si>
  <si>
    <t>def fibo(n):
    small = 1
    big = 1
    count = 1
    if n == 1:
        ans = 1
    elif n == 2:
        ans = 1
    else:
        if n % 2 == 1:
            while count &lt; n:
                big += small
                count = count + 1
                small += big
                count = count + 1
            ans = big
        else:
            while count &lt; n - 1:
                big += small
                count = count + 1
                small += big
                count = count + 1
            ans = small
    return ans</t>
  </si>
  <si>
    <t>def fibo(n):
    F = 1
    S = 1
    if n ==1 or n == 2 : return 1
    else :
        for V in range (n-2) :
            ans = F + S
            F = S
            S = ans
    return ans</t>
  </si>
  <si>
    <t>def fibo(n):
    a = 0
    b = 1
    i = 0
    for i in range(n):
        a, b = b, a + b
    return a</t>
  </si>
  <si>
    <t>def fibo(n):
    x , y = 1 , 1
    for i in range(n-1):
        x , y = y , x + y
    return x</t>
  </si>
  <si>
    <t>def fibo(n):
    x=0
    y=1
    z=0
    for x in range (n):
        x=y+z
        y=z
        z=x
    return x</t>
  </si>
  <si>
    <t>def fibo(n):
      ans1 = 0
      ans = 1
      count = 1
      while count &lt; n:
            ans2 = ans
            ans = ans + ans1
            ans1 = ans2
            count = count + 1
      return ans</t>
  </si>
  <si>
    <t xml:space="preserve">def fibo(n):
    a=1
    b=1
    c=0
    if(n==1 or n==2):
        return 1
    for i in range(3,n+1):
        c=a+b
        b,a=c,b
    return c
</t>
  </si>
  <si>
    <t xml:space="preserve">def fibo(n):
    a, b = 0, 1
    for y in range(n):
        a, b = b, a+b
    return a
</t>
  </si>
  <si>
    <t>def fibo(n):
    a=1
    b=1
    count=2
    while count&lt;n:
        a+=b
        b+=a
        count+=2
    if n%2==1:
        ans=a
    else:
        ans=b
    return ans</t>
  </si>
  <si>
    <t>def fibo(n):
    ans = 1
    i = 0
    r = 0
    for i in range(0,n-1):
        ans, r = ans + r, ans
        i = i + 1
    return ans</t>
  </si>
  <si>
    <t>def fibo(n):
    n1=1
    n2=0
    n3=0
    for count in range(n-1):
        n3=n2
        n2=n1
        n1=n2+n3
    return n1</t>
  </si>
  <si>
    <t>def fibo(n):
    a = 1
    b = 1
    if n == 1 or n == 2:
        return a
    for count in range (n-2):
        a, b = a+b, a
    return a</t>
  </si>
  <si>
    <t>def fibo(n):
    a=1
    b=1
    for count in range(n-2):
        a,b=b,(a+b)
    return b</t>
  </si>
  <si>
    <t>def fibo(n):
    x=1
    y=0
    ans=0
    for count in range(1,n):
        ans=x
        x=x+y
        y=ans
    return x</t>
  </si>
  <si>
    <t>def fibo(n):
    x=1
    y=1
    if n&gt;2:
        for count in range(n-2):
            z=x+y
            x=y
            y=z
    else:
        z=1
    return z
print(fibo(30))</t>
  </si>
  <si>
    <t>def fibo(n):
    result=1
    fibo=0
    no=0
    for count in range(n-1):        
        fibo=no
        no=result
        result=fibo+no
    return result
    pass</t>
  </si>
  <si>
    <t xml:space="preserve">def fibo(n):
    i = 1
    a, b = 0, 1
    while n != i:
        a, b = b, a + b
        i += 1
    return b
print(fibo(6))
</t>
  </si>
  <si>
    <t xml:space="preserve">def fibo(n):
 a,b = 1,1
 for i in range(n-1):
  a,b = b,a+b
 return a
    </t>
  </si>
  <si>
    <t xml:space="preserve">def reverse_number(n):
    rev = 0
    while n &gt;0:
        rev = (10*rev) + n %10
        n//=10
    return rev
</t>
  </si>
  <si>
    <t>def reverse_number(num):
    n = 0
    while num:
        n*=10
        n += num%10
        num //= 10
    return n</t>
  </si>
  <si>
    <t>def reverse_number(n):
    ans = 0
    last = n%10
    x = 0
    while n//(10**x)&gt;0:
        x+= 1
    while n&gt;0:
        ans += (10**(x-1))*last
        n = n//10
        last = n%10
        x -=1
    return ans</t>
  </si>
  <si>
    <t>def reverse_number(n):
    c=0
    I=0
    while n//(10**I)&gt;=10:
        I+=1
    for j in range(I+1):
        c+=((n//(10**j))%10)*(10**(I-j))
    return c</t>
  </si>
  <si>
    <t xml:space="preserve">def reverse_number(n):
    ans = 0
    while n &gt; 0:
        digit = n % 10
        ans = (10 * ans) + digit
        n //= 10
    return ans        
</t>
  </si>
  <si>
    <t>def reverse_number(n):
    l=0
    ans=0
    while n!=0:
        ans=ans*10+n%10
        n=n//10
    return ans</t>
  </si>
  <si>
    <t>def reverse_number(n):
    ans = 0
    while (n&gt;0):
        ans=(10*ans)+n%10
        n//= 10
    return ans</t>
  </si>
  <si>
    <t>def reverse_number(n):
    a=1
    while n//(10**a) &gt; 9:
        a=a+1
    ans=0
    for count in range(a,-1,-1):
        ans=ans+((n%10)*(10**count))
        n=n//10
    return ans</t>
  </si>
  <si>
    <t>def factorial(w):
    if w == 0:
        n = 1
    else:
        n = w * factorial(w - 1)
    return(n)
def reverse_number(n):
    ans = 0
    y = 0
    x = 1
    tens = 1
    while (n // tens) &gt; 0:
        y += 1
        tens *= 10     
    z = y-1
    for count in range(y):
        print(z)
        if z&gt;0:
            ans += ((n % (10 ** x)) *  (10 ** z))
            print(ans)
        else:
            z = abs(z)
            print(z)
            ans += ((n % (10 ** x)) //  (10 ** z))
            print(ans)
            z = -z
        n -= (n % (10 ** x))
        x += 1
        z -= 2
    return ans</t>
  </si>
  <si>
    <t>def reverse_number(n):
    x=0
    while n&gt;0:
        x=(x*10)+n%10
        n=n//10
    return x</t>
  </si>
  <si>
    <t>def reverse_number(n):
    i=0
    a=n
    ans=0
    while a&gt;0:
        x=a%10
        a=a//10
        ans=(ans*10)+(x*10)
        x=0
    ans=ans//10
    return ans</t>
  </si>
  <si>
    <t>def reverse_number(n):
    x=[]
    while n&gt;0:
        x.append(n%10)
        n//=10
    z=0
    for v in x:
        z+=1
    ans=0
    q=z
    for c in range(q):
        ans+=x[c]*10**z
        z-=1
    ans//=10
    return ans</t>
  </si>
  <si>
    <t>def reverse_number(n):
    ans = 0
    while(n &gt; 0):
        ans = (10*ans)+n%10
        n //= 10
    return ans</t>
  </si>
  <si>
    <t xml:space="preserve">def reverse_number(n):
    ans=0
    while n&gt;0:
        ans+=n%10
        n//=10
        ans*=10
    ans//=10
    return ans
</t>
  </si>
  <si>
    <t xml:space="preserve">def reverse_number(n):
    power = 1
    while n//(10 ** power)&gt; 0:
        power += 1
    holder = 0
    ans = 0
    count = 1
    tiddle = n
    for place in range(power):
        holder = tiddle % 10
        ans += 10 ** (power - count) * holder 
        count += 1
        tiddle = tiddle//10
    return ans
</t>
  </si>
  <si>
    <t>def reverse_number(n):
    g=n
    x=0
    while g!=0:
        g=g//10
        x+=1
    a=0
    while n!=0:
        y=n%10
        t=y*(10**(x-1))
        x-=1
        n=n//10
        a+=t
    return ( a)</t>
  </si>
  <si>
    <t>def reverse_number(n):
    i = 1
    np = n
    ans = 0
    while n &gt; 10:
        n //= 10
        i += 1
    for a in range(i-1,-1,-1):
        x = np//(10**a)
        ans += x * 10**(i-a)
        np -= x * 10**a
    return ans//10</t>
  </si>
  <si>
    <t xml:space="preserve">#y is the value of the reversed number
def reverse_number(x):
    y = 0
    while x &gt; 0:
        y = (y * 10) + x % 10
        x //= 10
    return y
</t>
  </si>
  <si>
    <t>def reverse_number(num):
  rev = 0
  while(num &gt; 0):
    rev = (10*rev)+num%10
    num //= 10
  return rev</t>
  </si>
  <si>
    <t xml:space="preserve">def reverse_number(n):
    y = 0
    while n &gt; 0:
        y = y *  10
        y = y + ( n %10 )
        n = n // 10
    return y
</t>
  </si>
  <si>
    <t>def reverse_number(n):
    numdigits = 1
    while n//10**numdigits &gt;= 1:
        numdigits += 1
    ans = 0
    itr = 0
    while n&gt;0:
        ans += (n%10)*10**(numdigits-itr-1)
        itr += 1
        n //= 10
    return ans</t>
  </si>
  <si>
    <t>def reverse_number(n):
    x = 0
    ans = 0
    while n!=0:
        ans = ans *10 +n%10
        n=n//10
    return ans</t>
  </si>
  <si>
    <t>def reverse_number(n):
    ans = 0
    while n &gt; 0:
        ans = (10 * ans) + (n % 10)
        n = n // 10
    return ans</t>
  </si>
  <si>
    <t>def digits(n):
    ans= 0
    while n &gt;= 10 :
        n = n//10
        ans += 1
    return ans + 1
def reverse_number(n):
    power = digits(n) -1
    ans = 0
    while power&gt;=0:
        number = n%10
        n = n//10
        ans += number*(10**power)
        power -= 1
    return ans</t>
  </si>
  <si>
    <t>def reverse_number(x):
    total = 0
    count = 0
    while x &gt; 0:
        digit = x % 10
        total = digit + total * 10
        x = x//10
        count += 1
    return total</t>
  </si>
  <si>
    <t>import math
def reverse_number(n):
    ans = 0
    length = math.floor(math.log10(n))
    i = length + 1
    digits = []
    while len(digits) &lt; length + 1:
        digits.append(round((n - n % (10**(i-1)) - (n//(10**(i)))*(10**i))/10**(i-1)))
        i = i - 1
    digits.reverse()
    for j in range(len(digits)):
        ans += digits[j] * 10**(len(digits)-j-1)
    return ans</t>
  </si>
  <si>
    <t>def reverse_number(n):
    x = 0
    y = 0
    while n &gt; 0:
        y = n%10
        x = (x*10)+y
        n = n//10
    ans = x
    return ans
    pass</t>
  </si>
  <si>
    <t>def reverse_number(n):
    k = 0
    while n &gt; 0:
        k = n % 10 + k * 10
        n = n// 10
    return k</t>
  </si>
  <si>
    <t>def reverse_number(n):
    y = 0
    z = 1
    x = 2
    ans = 0
    b = 0
    while x &gt; 1 :
        x = n // z
        y = y+1
        z = z*10
    for kk in range(y):
        a = n // (10**(y-1))
        n = n - a*(10**(y-1))
        ans = ans + a*(10**b)
        y = y-1
        b = b+1
    if ans%10 == 0 : ans = ans//10
    else : ans = ans
    return ans
def factorial(n):
    x = 0
    ans = 1
    for v in range(n):
        ans = ans * (x+1)
        x+=1
    return ans</t>
  </si>
  <si>
    <t xml:space="preserve">def reverse_number(n):
    l=0
    ans=0
    while n!=0:
        ans=ans*10+n%10
        n=n//10
    return ans
</t>
  </si>
  <si>
    <t>def reverse_number(n):
    x = 0
    if n != 0:
        while (10 ** x) / n &lt;= 1:
            x += 1
        Y = x
        print(Y)
        ans = 0
        for v in range (1, Y + 1):
            num = n % (10 ** v)
            num2 = num // (10 ** (v - 1))
            ans += (num2 * (10 ** (Y + 1 - v)))
    else:
        ans = 0
    ans = ans // 10
    return ans</t>
  </si>
  <si>
    <t xml:space="preserve">def reverse_number(n):
    sum = 0
    i = 1
    count = 1
    a = n
    b = n
    while a &gt;= 1:
        count = count * 10
        a = a // 10
    while b &gt;= 1:
        d = b % 10
        e = d * count
        sum = sum + e
        count = count // 10
        b = b // 10
    return sum // 10 </t>
  </si>
  <si>
    <t>def reverse_number(n):
    ans = 0
    while n &gt; 0:
        ans = (ans * 10) + (n % 10)
        n = n // 10
    return ans</t>
  </si>
  <si>
    <t>def reverse_number(n):
  i = 0
  while(n &gt; 0):
    i = (10*i)+n%10
    n //= 10
  return i</t>
  </si>
  <si>
    <t>def reverse_number(n):
    x=0
    while n&gt;0:
        x=(x*10)+(n%10)
        n=n//10
    return x</t>
  </si>
  <si>
    <t>def reverse_number(n):
    lenght1 = 1
    ans = 0
    lenght = 1
    while 10 ** lenght1 &lt;= n:
        lenght1 = lenght1 + 1
    while lenght &lt;= lenght1:
        a = (n % (10 ** lenght)) // (10 ** (lenght - 1))
        ans = ans + a * (10 ** (lenght1 - lenght))
        n = n - a
        lenght = lenght + 1
    return ans</t>
  </si>
  <si>
    <t>def reverse_number(n):
    i = 0
    while n &gt; 0:
        i = n % 10 + i * 10
        n = n // 10
    return i</t>
  </si>
  <si>
    <t>def numberofdigits(n):
    count = 10
    digit = 1
    while count&lt;n:
        n%count &lt; n
        count *= 10
        digit += 1
    return digit
def reverse_number(n):
    numdigit = numberofdigits(n)
    value = numdigit - 1
    j = 0
    for i in range(1,numdigit+1):
        j+=(n%10)*(10**value)
        n = n//10
        value = value - 1
    return j</t>
  </si>
  <si>
    <t xml:space="preserve">def reverse_number(n):
    x = 0
    y = 0
    while n &gt; 0:
        y = n % 10
        x = (x * 10) + y
        n = n // 10
    ans = x
    return ans
</t>
  </si>
  <si>
    <t>def reverse_number(n):
    result=0
    i=0
    ans=0
    x=n
    digits=0
    while(x&gt;0):
        x=x//10
        digits+=1
    while n//(10**i)!=0:
        ans+=(n//(10**i))%10*10**(digits-i-1)
        i+=1
    return ans</t>
  </si>
  <si>
    <t xml:space="preserve">def reverse_number(n):
    x=0
    sum=0
    while 10**x&lt;n:
        x+=1
    x-=1
    while n&gt;0:
        digit=n%10
        n//=10
        sum+=digit*10**x
        x-=1
    return sum
</t>
  </si>
  <si>
    <t>def reverse_number(n):
    x = 0
    y = 0
    while n&gt;0:
        y = n%10
        x = (x*10)+y
        n = n//10
    ans = x
    return ans</t>
  </si>
  <si>
    <t xml:space="preserve">def reverse_number(n):
    L = 1
    while 10 ** L &lt;= n:
        L += 1
        continue
        return L
    i = 1
    r = n % 10
    while i &lt; L:
        a = 10 * r + (n % (10 ** (i + 1)) - n % (10 ** i)) // (10 ** i)
        r = a
        i += 1
    return r
    </t>
  </si>
  <si>
    <t>def reverse_number(n):
    rev = 0
    while(n &gt; 0):
        rev = (10*rev)+n%10
        n //= 10
    return rev</t>
  </si>
  <si>
    <t>def reverse_number(n):
    i=0
    while n&gt;0:
        num=n%10
        i=i*10
        i+=num
        n=n//10
    return i</t>
  </si>
  <si>
    <t xml:space="preserve">def reverse_number(n):
    total=0
    num=n
    num1=n
    digits=0
    while num &gt; 0:
        num//=10
        digits+=1
    while num1 &gt; 0:
        r=num1%10
        total+=r*(10**(digits-1))
        num1//=10
        digits-=1
    return total
</t>
  </si>
  <si>
    <t xml:space="preserve">def reverse_number(n):
  rev = 0
  while(n &gt; 0):
    rev = (10*rev)+n%10
    n //= 10
  return rev
</t>
  </si>
  <si>
    <t>def reverse_number(n):
    out = 0
    while n &gt; 0:
        num = n % 10
        out = (num + out)*10
        n = n // 10
    out = out//10
    return out</t>
  </si>
  <si>
    <t>def reverse_number(n):
    dign=n
    digit=0
    ans=0
    while 1&lt;=dign:
        digit+=1
        dign=dign//10
    digit-=1
    while 1&lt;=n:
        ans+=((n%10)*(10**digit))
        n=n//10
        digit-=1
    return ans</t>
  </si>
  <si>
    <t>def reverse_number(n):
    ans = 0
    while n &gt; 0:
        ans = (10*ans)+ n % 10
        n = n//10
    return ans</t>
  </si>
  <si>
    <t>def reverse_number(n):
  a = 0
  ans = 0
  while(n &gt; 0):
    ans = (10 * ans)+ n % 10
    n = n // 10
  return ans</t>
  </si>
  <si>
    <t>def reverse_number(n):
    ans=0
    while n &gt; 0:
        ans=(10*ans)+n%10
        n=n//10
    return ans</t>
  </si>
  <si>
    <t>def reverse_number(n):
    sum = 0
    i = 1
    while n&gt;0:
        if i&lt;2:
            i+=1
            b=n%10
            sum= sum+b
            n=n//10
        else:
            a=n%10
            sum = sum*10
            sum+=a
            n= n//10
    return sum</t>
  </si>
  <si>
    <t>def reverse_number(n):
    reverse = 0
    while(n &gt; 0):
        reminder = n%10
        reverse = (reverse*10) + reminder
        n = n//10
    return reverse</t>
  </si>
  <si>
    <t>def reverse_number(b):
    ans=0
    last_digit=b%10
    x=0
    while b//(10**x)&gt;0:
        x+=1
    while b&gt;0:
        ans+=(10**(x-1))*last_digit
        b=b//10
        last_digit=b%10
        x-=1
    return (ans)</t>
  </si>
  <si>
    <t>def reverse_number(n):
  ans = 0
  while(n &gt; 0):
    ans = (10*ans)+n%10
    n //= 10
  return ans
pass</t>
  </si>
  <si>
    <t xml:space="preserve">def reverse_number(n):
    ans = 0
    while n &gt; 0:
        ans += (n%10) 
        n //= 10
        ans *= 10
    ans //= 10
    return ans
</t>
  </si>
  <si>
    <t xml:space="preserve">def reverse_number(b):
    ans = 0
    while b &gt; 0:
        ans *= 10
        ans += b%10
        b//=10
    return ans
    </t>
  </si>
  <si>
    <t>from math import log10,floor
def reverse_number(n):
    if n &lt; 10:
        return n
    else:
        ones = n % 10
        others = n // 10
        return (ones * 10 ** floor(log10(others) + 1) + reverse_number(others))</t>
  </si>
  <si>
    <t>def reverse_number(n):
    ans=0
    while n &gt;0:
        ans*=10
        ans+=(n%10)
        n//=10
    return ans</t>
  </si>
  <si>
    <t>def reverse_number(n):
    x=0
    while n&gt;0:
        x=(10*x)+n%10
        n=n//10
    return x</t>
  </si>
  <si>
    <t>def reverse_number(n):
    z=0
    a=0
    ans=0
    c=0
    while z&lt;n:
        z=z+((10**a)*9)
        a=a+1
    for count in range(1,a+1):
        c=n%10
        ans=ans+c*(10**(a-count))
        n=n//10
    return ans    
    pass</t>
  </si>
  <si>
    <t>def reverse_number(n):
    t=1
    p=n
    d=0
    m=0
    while n&gt;=10:
        n=n/10
        t=t+1
    for count in range(1,t+1):
        y=p%(10**(count))
        y=y-d
        d=y+d
        f=(10**(t-count))
        y=y*f
        r=(10**(count-1))
        y=y//r
        m=m+y
    return m
print(reverse_number(12345))</t>
  </si>
  <si>
    <t xml:space="preserve">def reverse_number(n):
    x = 0
    y = 0 
    while n&gt;0:
        y = n%10
        x = (x*10)+y
        n = n//10
    ans = x
    return ans
        </t>
  </si>
  <si>
    <t>def reverse_number(n):
    rev = 0
    while n&gt;0:
        rev = (10*rev)+n%10
        n //= 10
    return rev
    pass</t>
  </si>
  <si>
    <t>def reverse_number(n):
    rev = 0
    while n &gt; 0:
        rev = (rev * 10) + (n % 10)
        n //= 10
    return rev
    pass</t>
  </si>
  <si>
    <t xml:space="preserve">def reverse_number(n):
    x = 0
    while n&gt;0:
        y = n%10
        x = (x*10) + y
        n = n//10
    return x    
        </t>
  </si>
  <si>
    <t xml:space="preserve">def reverse_number(n):
    paul = 0
    while n &gt; 0:
        paul = n % 10 + paul  * 10
        n = n//10
    return paul
        </t>
  </si>
  <si>
    <t>def reverse_number(n):
    x = 1
    position = 0
    place = 1
    extracter = 0
    y = n
    ans = 0
    while n//(10**x) &gt; 0:
        x+=1
    while position &lt; x:
        position+=1
        extracted = y%10
        ans += extracted*(10**(x - place))
        y //= 10
        place += 1
    return ans</t>
  </si>
  <si>
    <t xml:space="preserve">def reverse_number(n): #define a main function
    b = 0
    while n &gt; 0:
        x = n % 10
        b = (b + x) * 10
        n = n // 10
    return b // 10
        </t>
  </si>
  <si>
    <t xml:space="preserve">def digits(n):
    total=0
    while n &gt;= 10:
        n = n//10
        total += 1
    return total + 1
def reverse_number(n):
    i = 1
    ans = 0
    while n &gt; 0:
        ans += (n %10**i)//(10**(i-1)) * (10**(digits(n)- i))
        n -= (n %(10**i))
        i += 1
    return ans
</t>
  </si>
  <si>
    <t>def reverse_number(n):
    ans=0
    digit=0
    d=n
    while d&gt;0:
        digit+=1
        d=d//10
    while n&gt;0:
        ans+=(n%10)*(10**(digit-1))
        digit-=1
        n=n//10
    return ans</t>
  </si>
  <si>
    <t>def reverse_number(n):
    ans = 0
    while n&gt;0:
        ans = (10 * ans) + n % 10
        n = n // 10
    return ans</t>
  </si>
  <si>
    <t>def reverse_number(z):
    x = 0
    while(z &gt; 0):
        y = z %10
        x = (x *10) + y
        z = z //10
    return x</t>
  </si>
  <si>
    <t>def reverse_number(n):
  rev = 0
  while(n &gt; 0):
    rev = (10*rev)+n%10
    n //= 10
  return rev</t>
  </si>
  <si>
    <t>def reverse_number(n):
    num = 0
    while n &gt; 0:
        x = n % 10
        n //= 10
        num += x
        num *= 10
    num = num // 10
    print(num)
    return num</t>
  </si>
  <si>
    <t>def reverse_number(n):
    ans = 0
    while n &gt; 0:
        ans = (10 * ans)+n % 10
        n = n // 10
    return ans</t>
  </si>
  <si>
    <t xml:space="preserve">def reverse_number(n):
    p=1   
    while n//(10**p)&gt;0:
        p+=1
    h=0
    ans=0
    count=1
    t=n
    for place in range(p):
        h=t%10
        ans+=10**(p-count)*h
        count+=1
        t=t//10
    return ans
</t>
  </si>
  <si>
    <t>def reverse_number(n):
    x = 0
    while n &gt; 0:
        num = n % 10
        x = (num + x)*10
        n = n // 10
    x = x//10
    return x</t>
  </si>
  <si>
    <t xml:space="preserve">def reverse_number(n):
    a = 1
    b = 1
    n = n //1
    while n / a &gt;= 1:
        a = a * 10
        b += 1 #length of number
    a = a//10
    b = b - 1
    c = 1
    e = 0
    f = 10
    purple = 0
    while c &lt;= b:
        green = (n // (10 ** c))*(10**c)
        yellow = (n - purple) - green
        purple = purple + yellow
        blue = yellow // (10 ** (c-1))
        red = blue * a
        red = red // 1
        e = e + red
        if a &gt;= 1:
            a = a //10
        c += 1
    ans = e // 1
    return ans
</t>
  </si>
  <si>
    <t>def reverse_number(n):
    ans = 0
    while (n &gt;0 ):
        ans *= 10
        ans += (n %10)
        n //= 10
    return ans</t>
  </si>
  <si>
    <t xml:space="preserve">def reverse_number(n):
    reverse=0
    while n!=0:
        digit=n%10
        n=n//10
        reverse=reverse*10+digit
    ans=reverse
    return ans
</t>
  </si>
  <si>
    <t xml:space="preserve">def palindrome_count(a, b):
    e = 0    
    for x in range(a,b+1):
        if x == reverse_number(x):
            e = e + 1
    return e
     </t>
  </si>
  <si>
    <t>def palindrome_count(low, high):
    s = 0
    for i in range(low, high+1):
        s += (i==reverse_number(i))
    return s</t>
  </si>
  <si>
    <t>def palindrome_count(a, b):
    test = a
    counter = 0
    for count in range(a,b+1):
        if test == reverse_number(test):
            counter += 1
        test += 1
    return counter</t>
  </si>
  <si>
    <t>def palindrome_count(a, b):
    ans = 0
    for count in range(a,b+1):
        if a == reverse_number(a):
            ans += 1
            a += 1
        else:
            a += 1
    return ans</t>
  </si>
  <si>
    <t>def palindrome_count(a, b):
    ans = 0
    for x in range(a, b + 1):
        if reverse_number(x) == x:
            ans += 1
    return ans</t>
  </si>
  <si>
    <t>def palindrome_count(a, b): 
    result=0
    for n in range(a,b+1):
        if n&gt;999999 and n&lt;10000000 and n%10==n//1000000:
            x=((n%10)*1000000)+((n//10%10)*100000)+((n//100%10)*10000)+((n//1000%10)*1000)+((n//10000%10)*100)+(n//1000000)
            if x==n:
                result=result+1
            print(x,n,"a")
        elif n&gt;99999 and n%10==n//100000:
            x=((n%10)*100000)+((n//10%10)*10000)+((n//100%10)*1000)+((n//1000%10)*100)+((n//10000%10)*10)+(n//100000)
            if x==n:
                result=result+1
            print(x,n,"b")
        elif n&gt;9999 and n%10==n//10000:
            x=((n%10)*10000)+((n//10%10)*1000)+((n//100%10)*100)+((n//1000%10)*10)+(n//10000)
            if x==n:
                result=result+1
            print(x,n,"c")
        elif n&gt;999 and n%10==n//1000:
            x=((n%10)*1000)+((n//10%10)*100)+((n//100%10)*10)+(n//1000)
            if x==n:
                result=result+1
            print(x,n,"d")
        elif n&gt;99 and n%10==n//100:
            x=((n%10)*100)+((n//10%10)*10)+(n//100)
            if x==n:
                result=result+1
            print(x,n,"e")
        elif n&gt;9 and n%10==n//10:
            x=((n%10)*10)+(n//10)
            if x==n:
                result=result+1
            print(x,n,"f")
        elif n&lt;10 and n&gt;=0:
            result=result+1
    return result</t>
  </si>
  <si>
    <t>def palindrome_count(a, b):
    ans=0
    for i in range(a,b+1):
        if i == reverse_number(i):
            ans=ans+1
        else:
            ans=ans+0
    return ans</t>
  </si>
  <si>
    <t xml:space="preserve">def palindrome_count(a, b):
    ans=0
    for count in range(a,b+1):
        if count==reverse_number(count):
            ans=ans+1
    return ans
        </t>
  </si>
  <si>
    <t>def palindrome_count(a,b):
    x = 0
    while  a &lt;= b:
        if a == reverse_number(a):
            z = 1
        else:
            z = 0
        a = a + 1
        x = x + z
    return x</t>
  </si>
  <si>
    <t xml:space="preserve">def palindrome_count(a, b):
    ans=0
    for n in range(a,b+1):
        rn=reverse_number(n)
        if n == rn:
            ans+=1     
    return ans
print(palindrome_count(10,11))
</t>
  </si>
  <si>
    <t>def palindrome_count(a, b):
    ans=0
    for n in range(a,b+1):
        if n==reverse_number(n):
            ans+=1
    return ans</t>
  </si>
  <si>
    <t>def palindrome_count(a, b): 
    ans=0
    for i in range(a,b+1):
        if i == reverse_number(i):
            ans=ans+1
        else:
            ans=ans+0
    return ans</t>
  </si>
  <si>
    <t>def palindrome_count(a, b):
    result=0
    for i in range(a, b+1):
        if i==reverse_number(i):
            result+=1
        else:
            []
    return result</t>
  </si>
  <si>
    <t>def palindrome_count(a, b):
    score = 0
    for testSubject in range(a,b+1):
        if reverse_number(testSubject) == testSubject:
            score += 1
    return score</t>
  </si>
  <si>
    <t>def palindrome_count(a, b):
    x=0
    for i in range(a,b+1):
        if i==reverse_number(i):
            x+=1
    return x</t>
  </si>
  <si>
    <t>def palindrome_count(a, b):
    ans = 0
    for i in range(a,b+1):
        if i == reverse_number(i):
            ans += 1
    return ans</t>
  </si>
  <si>
    <t>def palindrome_count(a, b):
    y = 0
    for i in range(a, b + 1):
        if i // 10 == 0:
            y = y + 1
        elif i == reverse_number(i):
            y = y + 1
    return y</t>
  </si>
  <si>
    <t>def palindrome_count(a, b):
    count = 0
    for i in range(a, b + 1):
        if i == reverse_number(i):
            count += 1
    return count</t>
  </si>
  <si>
    <t xml:space="preserve">def palindrome_count(a, b):
    ans = 0
    while a &lt;= b :
        if reverse_number(a) == a :
            ans = ans + 1
        else :
            ans = ans + 0
        a+=1
    return ans
        </t>
  </si>
  <si>
    <t>def palindrome_count(a, b):
    i = a
    ans = 0
    count = 0
    for i in range(a,(b+1)):
        if i == reverse_number(i):
            count += 1
    return count</t>
  </si>
  <si>
    <t>def palindrome_count(a, b):
    x = 0
    while a &lt;= b:
        if reverse_number(a) == a:
            x = x + 1
        else:
            x = x
        a += 1
    return x</t>
  </si>
  <si>
    <t>def palindrome_count(a, b):
    if (b-a) &lt;= 999999999999999999:
        number = a
        count = 0
        while number &lt;= b:
            rv = reverse_number(number)
            if number == rv and rv &lt;= b and rv &gt;= a:
                count += 1
                number += 1
            else:
                number += 1
        return count
    else:
        number = a
        count = 0
        maximum =((b-a) // 2) + a
        offset = (b-a) % 2 
        print(maximum)
        if reverse_number(maximum) == maximum:
            count -= 1
        else:
            pass
        while number &lt;= maximum :
            rv = reverse_number(number)
            if number == rv and rv &lt;= b and rv &gt;= a:
                count += 2
                number += 1
            else:
                number += 1
        return count</t>
  </si>
  <si>
    <t>def palindrome_count(a, b):
    ans = 0
    while a &lt;= b:
        if a == reverse_number (a):
            x = 1
        else:
            x = 0
        a += 1
        ans = ans + x
    return ans</t>
  </si>
  <si>
    <t xml:space="preserve">def palindrome_count(a, b):
    sum = 0
    for x in range(a,b+1):
        if x == reverse_number(x):
            sum += 1
        else:
            sum = sum
    return sum
</t>
  </si>
  <si>
    <t>def palindrome_count(a, b):
    number = 0
    for i in range(a,b+1):
        if reverse_number(i) == i:
            number += 1
    return number</t>
  </si>
  <si>
    <t>def palindrome_count(a, b):
    counter = 0
    for count in range(a, b+1, 1):
        if reverse_number(count) == count:
            counter = counter + 1
        else:
            counter = counter
    return counter
    pass</t>
  </si>
  <si>
    <t>def palindrome_count(a, b):
    count=0
    for j in range(a,b+1):
        if j ==reverse_number(j):
            count +=1
    return count</t>
  </si>
  <si>
    <t>def palindrome_count(a, b):
    ans = 0
    while a &lt; b+1:
        if a == reverse_number(a):
            ans = ans + 1
            a = a+1
        else:
            a = a+1
    return ans</t>
  </si>
  <si>
    <t>def palindrome_count(a,b):
    ans = 0
    while a&lt;=b:
        if a == reverse_number(a) : ans+=1
        else : ans = ans
        a+=1
    return ans</t>
  </si>
  <si>
    <t xml:space="preserve">def palindrome_count(a, b): 
    result=0
    for n in range(a,b+1):
        if n&gt;999999 and n&lt;10000000 and n%10==n//1000000:
            x=((n%10)*1000000)+((n//10%10)*100000)+((n//100%10)*10000)+((n//1000%10)*1000)+((n//10000%10)*100)+(n//1000000)
            if x==n:
                result=result+1
            print(x,n,"a")
        elif n&gt;99999 and n%10==n//100000:
            x=((n%10)*100000)+((n//10%10)*10000)+((n//100%10)*1000)+((n//1000%10)*100)+((n//10000%10)*10)+(n//100000)
            if x==n:
                result=result+1
            print(x,n,"b")
        elif n&gt;9999 and n%10==n//10000:
            x=((n%10)*10000)+((n//10%10)*1000)+((n//100%10)*100)+((n//1000%10)*10)+(n//10000)
            if x==n:
                result=result+1
            print(x,n,"c")
        elif n&gt;999 and n%10==n//1000:
            x=((n%10)*1000)+((n//10%10)*100)+((n//100%10)*10)+(n//1000)
            if x==n:
                result=result+1
            print(x,n,"d")
        elif n&gt;99 and n%10==n//100:
            x=((n%10)*100)+((n//10%10)*10)+(n//100)
            if x==n:
                result=result+1
            print(x,n,"e")
        elif n&gt;9 and n%10==n//10:
            x=((n%10)*10)+(n//10)
            if x==n:
                result=result+1
            print(x,n,"f")
        elif n&lt;10 and n&gt;=0:
            result=result+1
    return result
</t>
  </si>
  <si>
    <t>def palindrome_count(a, b):
    count = 0
    for i in range (a, b + 1):
        if i == reverse_number(i):
            count += 1
        else:
            count = count
    return count</t>
  </si>
  <si>
    <t>def palindrome_count(a, b):
    sum = 0
    n = 1
    for n in range(a,b + 1):
        if n == reverse_number(n):
            sum += 1
        else:
            sum = sum
    return sum</t>
  </si>
  <si>
    <t>def palindrome_count(a, b):
    ans = 0
    for x in range(a, b+1):
        if x == reverse_number(x):
            ans += 1
    return ans</t>
  </si>
  <si>
    <t xml:space="preserve">def palindrome_count(a, b):  
    return  sum(i == reverse_number(i) for i in range(a,b+1)) </t>
  </si>
  <si>
    <t>def palindrome_count(a, b):
    i=0
    for x in range (a,b+1):
        if reverse_number(x)==x:
            i=i+1
    return i</t>
  </si>
  <si>
    <t>def palindrome_count(a, b):
    ans = 0
    while a in range(b + 1):
        if reverse_number(a) == a:
            ans = ans + 1
        a = a + 1
    return ans</t>
  </si>
  <si>
    <t xml:space="preserve">def palindrome_count(a, b):
    sum = 0
    while a &lt; b + 1:
        if a == reverse_number(a):
            sum = sum + 1
            a = a + 1
        else:
            a = a + 1
    return sum
</t>
  </si>
  <si>
    <t>def palindrome_count(a, b):
    z = b + 1
    p = 0
    for i in range(a,z):
        if i == reverse_number(i):
            p += 1
    return p</t>
  </si>
  <si>
    <t xml:space="preserve">def palindrome_count(a, b):
    counter = 0
    for count in range(a,b+1,1):
        if reverse_number(count) == count:
            counter += 1
        else:
            counter = counter
    return counter
            </t>
  </si>
  <si>
    <t>def palindrome_count(a, b):
    count=0
    for i in range(a,b+1):
        if(i==reverse_number(i)):
            count+=1
    return count</t>
  </si>
  <si>
    <t>def palindrome_count(a, b):
    count=0
    for i in range(a, b+1):
        if i==reverse_number(i):
            count+=1
    return count</t>
  </si>
  <si>
    <t xml:space="preserve">def palindrome_count(a, b):
    counter = 0
    for count in range(a,b+1,1):
        if reverse_number(count) == count:
            counter += 1
        else:
            counter = counter
    return counter
    </t>
  </si>
  <si>
    <t xml:space="preserve">def palindrome_count(a, b):
    i = a
    count = 0
    while i &lt;= b:
        if i == reverse_number(i):
            count += 1
        else:
            count = count
        i += 1
    return count
        </t>
  </si>
  <si>
    <t xml:space="preserve">def palindrome_count(a, b):
    x=0
    for i in range(a,b+1):
        if i==reverse_number(i):
            x+=1
    return x
</t>
  </si>
  <si>
    <t>def palindrome_count(a, b):
    n = 0
    for i in range(a,(b+1)):
        if i == reverse_number(i):
            n = n + 1
    return n</t>
  </si>
  <si>
    <t>def palindrome_count(a, b):
    total=0
    while a&lt;=b:
        if a==reverse_number(a):
            total+=1
        else:
            total=total
        a+=1
    return total</t>
  </si>
  <si>
    <t>def palindrome_count(a,b):
        total=0
        for n in range(a,b+1):
            if n == reverse_number(n):
                total+=1
        return total</t>
  </si>
  <si>
    <t>def palindrome_count(a, b):
    ans=0
    for n in range(a,b+1):
        if reverse_number(n)==n:
            ans=ans+1
    return ans</t>
  </si>
  <si>
    <t>def palindrome_count(a,b):
    num = 0
    while b &gt;= a:
        if b == reverse_number(b):
            num +=1
        else:
            num += 0
        b -= 1 
    return num</t>
  </si>
  <si>
    <t xml:space="preserve">def palindrome_count(a, b):
    n = 0
    for i in range(a, (b+1)):
        if i ==  reverse_number(i):
            n = n + 1
    return n       </t>
  </si>
  <si>
    <t>def palindrome_count(a, b):
    ans=0
    for i in range(a,b+1):
        if reverse_number(i)==i:
            ans+=1
    return ans</t>
  </si>
  <si>
    <t>def palindrome_count(a, b):
    ans = 0
    while a &lt;= b:
        if a == reverse_number(a):
            c = 1
        else:
            c = 0
        a = a + 1
        ans = ans + c
    return ans</t>
  </si>
  <si>
    <t>def palindrome_count(a, b):
    ans = 0
    while (a &lt;= b):
        if reverse_number(a) == a:
            ans = ans + 1
        else:
            ans = ans
        a = a + 1
    return ans</t>
  </si>
  <si>
    <t>def palindrome_count(a, b):
    ans = 0
    while a &lt;= b:
        if a == reverse_number (a) :
            x = 1
        else: 
            x = 0
        a += 1
        ans = ans + x
    return ans</t>
  </si>
  <si>
    <t>def palindrome_count(a, b):
    ans = 0
    for i in range(a, b+1):
        if i == reverse_number(i):
            ans += 1
    return ans</t>
  </si>
  <si>
    <t>def palindrome_count(a, b):
    sum=0
    for i in range(a, b+1):
        if i==reverse_number(i):
            sum+=1
    return sum</t>
  </si>
  <si>
    <t>def is_palindrome(x):
    if x==reverse_number(x):
        return True
def palindrome_count(a, b):
    ans=0
    num=a
    while b&gt;=a:
        num=a
        if is_palindrome(num)==True:
            a=a+1
            ans=ans+1
        else:
            a=a+1
    return ans</t>
  </si>
  <si>
    <t xml:space="preserve">def palindrome_count(a, b):
    no=0
    for count in range(a,b+1):
        ans=reverse_number(count)
        if ans==count:
            no+=1
    return (no)
</t>
  </si>
  <si>
    <t>def palindrome_count(a,b):
    i=b-a+1
    ans=0
    for count in range(a,b+1):
        if reverse_number(a)==a:
            ans+=1
        else:
            ans+=0
        a+=1
    return ans</t>
  </si>
  <si>
    <t>def palindrome_count(a, b):
    x = 0
    for i in range (a, b + 1):
        if reverse_number(i) == i:
            x+=1
    return x
    pass</t>
  </si>
  <si>
    <t>def palindrome_count(a, b):
    ans = 0
    for i in range(a, b+1):
        if reverse_number(i) == i :
            ans += 1
    return ans</t>
  </si>
  <si>
    <t>def palindrome_count(a, b):
    no = 0
    for i in range(a,b+1):
        if reverse_number(i) == i:
            no += 1
    return no</t>
  </si>
  <si>
    <t xml:space="preserve">def palindrome_count(a, b):
    n = 0
    for count in range(a,b+1):
        if reverse_number(count) == count:
            n += 1
    return n
    </t>
  </si>
  <si>
    <t>def palindrome_count(a, b):
    i=0
    for count in range(a,b+1):
        ans=reverse_number(count)
        if ans==count:
            i=i+1
    return i</t>
  </si>
  <si>
    <t>def palindrome_count(a, b):
    ans=0
    for count in range(a,b+1):
        if count==reverse_number(count):
            ans=ans+1
        else:
            ans=ans
    return ans
    pass</t>
  </si>
  <si>
    <t>def palindrome_count(a, b):
    z=0
    for count in range(a,b+1):
        number=reverse_number(count)
        if number==count:
            z=z+1
    return z
print(palindrome_count(1000,10000))</t>
  </si>
  <si>
    <t>def palindrome_count(a, b):
    ans = 0
    for count in range(a,b+1):
        if count == reverse_number(count):
            ans += 1
    return ans</t>
  </si>
  <si>
    <t xml:space="preserve">def palindrome_count(a, b):
    counter = 0
    for count in range(a,b+1,1):
        if reverse_number(count) == count:
            counter += 1
        else:
            counter = counter
    return counter
        </t>
  </si>
  <si>
    <t>def palindrome_count(a, b):
    sum1=0
    for count in range(a,b+1):
        if count==reverse_number(count):
            sum1=sum1+1
        else:
            sum1=0+sum1
    return sum1
    pass</t>
  </si>
  <si>
    <t>def palindrome_count(a, b):
    x = 0
    for y in range (a , b + 1):
        if y == reverse_number(y):
            x = x + 1
        else:
            x = x + 0
    return x
    pass</t>
  </si>
  <si>
    <t xml:space="preserve">def palindrome_count(a, b):
    ans = 0   
    for i in range(a, b+1):
        if reverse_number(i) == i:
            ans+=1
    return ans
</t>
  </si>
  <si>
    <t>def palindrome_count(a, b):
    derp = 0
    while a&lt; b+ 1:
        if a == reverse_number(a):
            derp = derp + 1
            a = a+1
        else:
            a = a + 1
    return derp</t>
  </si>
  <si>
    <t xml:space="preserve">def palindrome_count(a, b):
    y = a
    x = a - 1
    ans = 0
    if a == b:
        if reverse_number(a) == a:
            ans = 1
        else:
            ans = 0
    else:
        for y in range(a,b+1,1):
            x+=1
            if reverse_number(x) == x:
                ans = ans + 1
            elif x//10 == 0 and a == b:
               ans = ans + 1
            else:
                ans = ans
    return ans
    </t>
  </si>
  <si>
    <t>def palindrome_count(a, b):
    x = 0
    for count in range(a,b+1):
        if reverse_number(a) == a:
            x = x + 1
        else:
            x = x
        a = a + 1
    return x</t>
  </si>
  <si>
    <t xml:space="preserve">
def palindrome_count(a, b):
    count=0
    for v in range(a, b+1):
        if v == reverse_number(v):
            count+=1
        else:
            count+=0
    return count
    </t>
  </si>
  <si>
    <t xml:space="preserve">def palindrome_count(a, b):
    ans=0
    for i in range(a,b+1):
        if reverse_number(i)==i:
            ans+=1
    return ans
</t>
  </si>
  <si>
    <t>def palindrome_count(a, b):
    x = 0
    z = a
    while z &lt;= b:
        if reverse_number(z) == z:
            x += 1
        z += 1
    return x</t>
  </si>
  <si>
    <t>def palindrome_count(a, b):
    count = 0
    for x in range(a, b+1):
        if reverse_number(x) == x:
            count = count + 1
    return count</t>
  </si>
  <si>
    <t>def palindrome_count(a, b):
    n = 0
    nums = 0
    for n in range(a, b + 1):
        x = reverse_number(n)
        if x == n:
            nums += 1
    return nums</t>
  </si>
  <si>
    <t xml:space="preserve">def palindrome_count(a, b):
    ans = 0
    while a &lt;= b:
        if a == reverse_number(a):
            ass = 1
        else:
            ass = 0
        a = a + 1
        ans = ans + ass
    return ans
        </t>
  </si>
  <si>
    <t>def palindrome_count(a, b):
    score=0
    for testSubject in range(a,b+1):
        if reverse_number(testSubject)==testSubject:
            score+=1
    return score</t>
  </si>
  <si>
    <t>def palindrome_count(a,b):
    n = 0
    while b &gt;= a:
        if b == reverse_number(b):
            n +=1
        else:
            n += 0
        b -= 1 
    return n</t>
  </si>
  <si>
    <t>def palindrome_count(a, b):
    ans = 0
    for n in range (a,b+1):
        if n == reverse_number(n):
            ans +=1
    return ans</t>
  </si>
  <si>
    <t>def palindrome_count(a, b):
    ans = 0 
    for i in range(a, b+1):
        if ( i == reverse_number(i) ):
            ans += 1
    return ans</t>
  </si>
  <si>
    <t xml:space="preserve">def palindrome_count(a, b):
    count=0    
    for n in range (a,b+1,1):
        if n==reverse_number(n):
            count=count+1
        else:
            count=count
    return count
    </t>
  </si>
  <si>
    <t xml:space="preserve">def area(x,y):
   area1 = x*y*0.5 
   return area1
  </t>
  </si>
  <si>
    <t xml:space="preserve">def area(b,h):
    return 0.5*b*h
print(area(2,3))
</t>
  </si>
  <si>
    <t>def area(b, h):
    """Returns area of the triangle using the formula area= 1/2 * base * height"""
    return 0.5*b*h</t>
  </si>
  <si>
    <t>def area (base,height):
    """Returns area of the triangle using the formula area= 1/2 * base * height"""
    area = base*height*(1/2)
    return area</t>
  </si>
  <si>
    <t>def area(base, height): 
    area1 = 1/2 * base * height
    return area1</t>
  </si>
  <si>
    <t>def area(base, height):
    x = 0.5 * base * height
    return x
    pass</t>
  </si>
  <si>
    <t>def area(base,height):
    area=1/2*base*height
    return area</t>
  </si>
  <si>
    <t>def area(base,height):
    area=base*height/2
    return area</t>
  </si>
  <si>
    <t>def area(b,h):
    area=0.5*b*h
    return area</t>
  </si>
  <si>
    <t xml:space="preserve">def area(b, h):
    """Returns area of the triangle using the formula area= 1/2 * base * height"""
    area = 0.5 * b * h
    return (area)
</t>
  </si>
  <si>
    <t>def area(base,height):
    trianglearea=0.5*base*height
    return trianglearea
    pass</t>
  </si>
  <si>
    <t xml:space="preserve">def area(x,y):
    area= 1/2 * x * y
    return area
    </t>
  </si>
  <si>
    <t>def area(x,y):
    ans=0.5*x*y
    return ans</t>
  </si>
  <si>
    <t xml:space="preserve">def area(b,h):
    """Returns area of the triangle using the formula area= 1/2 * base * height"""
    a= b * h / 2
    return a
</t>
  </si>
  <si>
    <t xml:space="preserve">def area(b,h):
    x = 0.5*b*h
    return x
</t>
  </si>
  <si>
    <t xml:space="preserve">def area(x,y):
    area = x*y*0.5
    return area
print(area(2,3))
</t>
  </si>
  <si>
    <t>def area(b,h):
    """Returns area of the triangle using the formula area= 1/2 * base * height"""
    ans = b * h / 2
    return ans</t>
  </si>
  <si>
    <t>def area(a,b):
    ans = float(a * b / 2)
    return ans</t>
  </si>
  <si>
    <t xml:space="preserve">def area(base,height):
    """Returns area of the triangle using the formula area= 1/2 * base * height"""
    area= 1/2 * base * height
    return area
</t>
  </si>
  <si>
    <t xml:space="preserve">def area(base, height):
    hue = 1/2 * base * height
    return hue
</t>
  </si>
  <si>
    <t xml:space="preserve">def area(num1,num2):
    a = 0.5*num1*num2
    return a
  </t>
  </si>
  <si>
    <t>def area(b,h):
    """Returns area of the triangle using the formula area= 1/2 * base * height"""
    AR= float(0.5*b*h)
    return AR</t>
  </si>
  <si>
    <t>def area(base,height):
    area = 0.5 * base * height
    """Returns area of the triangle using the formula area= 1/2 * base * height"""
    return area</t>
  </si>
  <si>
    <t>def area(base,height):
    area = .5 * base * height
    return area</t>
  </si>
  <si>
    <t xml:space="preserve">def area(base, height):
    area = base * height
    x = area * 0.5
    return x
</t>
  </si>
  <si>
    <t>def area(x,y):
    ans = x*y*0.5
    return ans
    """Returns area of the triangle using the formula area= 1/2 * base * height"""
    pass</t>
  </si>
  <si>
    <t>def area(base,height):
    """Returns area of the triangle using the formula area= 1/2 * base * height"""
    return 0.5 * base * height</t>
  </si>
  <si>
    <t>def area(b,h):
    """Returns area of the triangle using the formula area= 1/2 * base * height"""
    return 0.5 * b * h</t>
  </si>
  <si>
    <t>def area(b, h):
    area = 0.5 * b * h
    return area
    pass</t>
  </si>
  <si>
    <t>def area(a,b):
    return 1/2*a*b
    pass</t>
  </si>
  <si>
    <t>def area(base,height):
    """Returns area of the triangle using the formula area= 1/2 * base * height"""
    ans = base*height/2
    return ans</t>
  </si>
  <si>
    <t>def area(x,y):
    area = x*y*0.5
    return area</t>
  </si>
  <si>
    <t>def area(x,y):
    ans=0.5*x*y
    """Returns area of the triangle using the formula area= 1/2 * base * height"""
    return ans</t>
  </si>
  <si>
    <t>def area(base, height):
    area = 1/2 * base * height
    return area</t>
  </si>
  <si>
    <t xml:space="preserve">def area(x,y):
    area = 0.5 * x * y
    return area
</t>
  </si>
  <si>
    <t xml:space="preserve">def area(b, h):
    y = 1/2 * b * h
    return y
</t>
  </si>
  <si>
    <t>import math
def area(b,h):
    area=1/2 * b * h
    """Returns area of the triangle using the formula area= 1/2 * base * height"""
    return area</t>
  </si>
  <si>
    <t>def area(base,height):
    a=1/2 * base * height
    return a</t>
  </si>
  <si>
    <t>def area(base, height):
    area1 = 0.5 * base * height
    return area1</t>
  </si>
  <si>
    <t>def area(x,y):
    """Returns area of the triangle using the formula area= 1/2 * base * height"""
    return 0.5 * x * y
print(area(2,3))</t>
  </si>
  <si>
    <t xml:space="preserve">def area(b,h):
    return 0.5*b*h
</t>
  </si>
  <si>
    <t>def area(base,height):
    result = base * height * 0.5
    return result</t>
  </si>
  <si>
    <t>def area(base,height):
    """Returns area of the triangle using the formula area= 1/2 * base * height"""
    return 0.5*base*height</t>
  </si>
  <si>
    <t>def area(base, height):
    return base*height*0.5
    pass</t>
  </si>
  <si>
    <t>def area(base, height):
    """Returns area of the triangle using the formula area= 1/2 * base * height"""
    result = 1/2 * base * height
    return result
    pass</t>
  </si>
  <si>
    <t>def area(x, y):
    y = 1 / 2 * (x * y)
    return y</t>
  </si>
  <si>
    <t xml:space="preserve">def area(height,base):
    area=height*base*1/2
    return area
  </t>
  </si>
  <si>
    <t>def area(x,y):
	ans = x * y * 0.5
	return ans</t>
  </si>
  <si>
    <t>def area(num1,num2):
    a=num1*num2*0.5
    """Returns area of the triangle using the formula area= 1/2 * base * height"""
    return a</t>
  </si>
  <si>
    <t>def area (base,height):
    x=1/2 * base * height
    return x</t>
  </si>
  <si>
    <t>def area(base, height):
    ans= 1/2*base*height
    return ans</t>
  </si>
  <si>
    <t xml:space="preserve">def area(x,y):
    """Returns area of the triangle using the formula area= 1/2 * base * height"""
    ans = float(0.5 * x * y)
    return ans
</t>
  </si>
  <si>
    <t>def area(b,h):
    area = 0.5 * b * h
    return area</t>
  </si>
  <si>
    <t>def area(x, y):
    area = 0.5 * x * y
    return area</t>
  </si>
  <si>
    <t>def area(base,height):
    return (base*height*0.5)</t>
  </si>
  <si>
    <t>def area(base,height):
    z = 1/2 * base * height
    return z</t>
  </si>
  <si>
    <t>def area( base , height ):
    ans = 1 / 2 * base * height
    return ans</t>
  </si>
  <si>
    <t>def area(base,height):
    """Returns area of the triangle using the formula area= 1/2 * base * height"""
    area = 1/2 * base * height
    return area</t>
  </si>
  <si>
    <t>def area(base, height):
    """Returns area of the triangle using the formula area= 1/2 * base * height"""
    area = 0.5 * base * height
    return area</t>
  </si>
  <si>
    <t>def area(b, h):
    area=0.5*b*h
    return area</t>
  </si>
  <si>
    <t>def area(x,y):
    area= 1/2 * x * y
    return area
    pass</t>
  </si>
  <si>
    <t>def area(a,b):
    """Returns area of the triangle using the formula area= 1/2 * base * height"""
    return a*b*0.5
    pass</t>
  </si>
  <si>
    <t>def area(base,height):
     area= 1/2 * base * height
     return area
pass</t>
  </si>
  <si>
    <t>def area(x,y):
    """Returns area of the triangle using the formula area= 1/2 * base * height"""
    z = 0.5 * x * y
    return z
    pass</t>
  </si>
  <si>
    <t>def area(base,height):
    return 1/2 *base* height</t>
  </si>
  <si>
    <t>def area(base,height ):
    area = base * height * 1/2
    return area</t>
  </si>
  <si>
    <t>def area(b,h):
    """Returns area of the triangle using the formula area= 1/2 * base * height"""
    area=0.5*b*h
    return area</t>
  </si>
  <si>
    <t>def area(a,b):
    area=1/2*a*b
    return area
print(area(2,3))</t>
  </si>
  <si>
    <t>def area(base,height):
    area=1/2*base*height
    return area
    """Returns area of the triangle using the formula area= 1/2 * base * height"""
    pass</t>
  </si>
  <si>
    <t>x=2
y=3    
def area(x,y):
    result=(1/2)*x*y
    return result</t>
  </si>
  <si>
    <t xml:space="preserve">def area(b,h):
    area=1/2*b*h
    return area
    </t>
  </si>
  <si>
    <t xml:space="preserve">def area(base,height):
    result = 0.5 *base*height
    return result
</t>
  </si>
  <si>
    <t>def area(base,height):
    result = base*height*0.5
    return result
    pass</t>
  </si>
  <si>
    <t>def area(x,y):
    """Returns area of the triangle using the formula area= 1/2 * base * height"""
    area=1/2*x*y
    return area
    pass</t>
  </si>
  <si>
    <t>def area(b, c):
    a = 1/2 * b * c 
    return a
print(3.0)</t>
  </si>
  <si>
    <t xml:space="preserve">def area(b,h):
    area = 0.5*b*h    
    return area
 </t>
  </si>
  <si>
    <t xml:space="preserve">def area(b,h):
    a=0.5*b*h
    """Returns area of the triangle using the formula area= 1/2 * base * height"""
    return a
</t>
  </si>
  <si>
    <t xml:space="preserve">def area(b,h):
    """Returns area of the triangle using the formula area= 1/2 * base * height"""
    a = 0.5 * b * h 
    return a </t>
  </si>
  <si>
    <t>def area(num1,num2):
    ans = num1*num2*1/2
    return ans</t>
  </si>
  <si>
    <t xml:space="preserve">def area(x,y):
    z = (1/2) * x * y
    return z
</t>
  </si>
  <si>
    <t>def area(b,h):
    ert= 0.5 * b * h    
    return ert</t>
  </si>
  <si>
    <t>def area(base,height):
    x=1/2 * base * height
    return x</t>
  </si>
  <si>
    <t>def area(num1, num2):
    area = 0.5 * num1 * num2
    return area</t>
  </si>
  <si>
    <t>def area(a,b):
    return (a*b*0.5)
    """Returns area of the triangle using the formula area= 1/2 * base * height"""</t>
  </si>
  <si>
    <t xml:space="preserve">def area(x,y):
    area= 0.5 * x * y
    return area
</t>
  </si>
  <si>
    <t>def area(base=2,height=3):
    a= (0.5*base*height)
    return a
    """Returns area of the triangle using the formula area= 1/2 * base * height"""
    pass</t>
  </si>
  <si>
    <t>def area(base,height):
    """Returns area of the triangle using the formula area= 1/2 * base * height"""
    result = base*height/2
    return result</t>
  </si>
  <si>
    <t xml:space="preserve">def area(b, h):
    x = 0.5 * b * h
    return x
</t>
  </si>
  <si>
    <t>def area(b, c):
    a = 1 / 2 * b * c
    """Returns area of the triangle using the formula area= 1/2 * base * height"""
    return a
area(2, 3)</t>
  </si>
  <si>
    <t>def area(b,h):
    result=b*h/2
    return result</t>
  </si>
  <si>
    <t xml:space="preserve">def area(base, height):
    ans= base*height* 0.5
    return ans
</t>
  </si>
  <si>
    <t xml:space="preserve">def area(b,h):
    """Returns area of the triangle using the formula area= 1/2 * base * height"""
    ans = 0.5*b*h
    return ans
    </t>
  </si>
  <si>
    <t>def area(base,height):
    """Returns area of the triangle using the formula area= 1/2 * base * height"""
    area=(1/2)*base*height
    return area</t>
  </si>
  <si>
    <t>import math
def area2(x,y,z):
    area = 0.5 * x * y * math.sin(z)
    return area
    """
    xgsghsd
    """</t>
  </si>
  <si>
    <t>from math import sin
def area2(a, b, ab):
    """
    Returns area of the triangle using 
    the formula area= 1/2 * A * B * sin(AB).
    """
    pass
    return 0.5*a*b*sin(ab)
###########
##  Q2b  ##
###########
# Both functions area2 and area calculate the same result. 
# Can they be directly substituted for each other? Why?
"""
Write your answer within these triple quotes
"""</t>
  </si>
  <si>
    <t>from math import *
def area2(a,b,ab):
    """
    Returns area of the triangle using 
    the formula area= 1/2 * A * B * sin(AB).
    """
    area=1/2 * a*b*sin(ab)
    return area
###########
##  Q2b  ##
###########
# Both functions area2 and area calculate the same result. 
# Can they be directly substituted for each other? Why?
"""
Write your answer within these triple quotes
let AD be the height of the triangle.
let AB be the base of the triangle.
let BC &amp; AC be the other sides of the triangle.
formula 1: 1/2 * AB * AD
formula 2: 1/2 * AB * sin(angle of AB) * BC
sin(angle of AB) * BC = AD
Thus both the formula would return the same ans.
"""</t>
  </si>
  <si>
    <t>from math import *
def area2(A,B,AB):
    area3 = 1/2 * A * B * sin(AB)
    return area3
###########
##  Q2b  ##
###########
# Both functions area2 and area calculate the same result. 
# Can they be directly substituted for each other? Why?
"""
Write your answer within these triple quotes
"""</t>
  </si>
  <si>
    <t>from math import *
def area2(A, B, AB):    
    """
    Returns area of the triangle using 
    the formula area= 1/2 * A * B * sin(AB).
    """
    area = (1 / 2) * A * B * sin(AB)
    return area
###########
##  Q2b  ##
###########
# Both functions area2 and area calculate the same result. 
# Can they be directly substituted for each other? Why?
"""
The function area calculates the area of triangles which only have a right angle in them.
The function area2 calculates the area of any triangles.
Write your answer within these triple quotes
"""</t>
  </si>
  <si>
    <t>import math
def area2(A,B,AB):
    return .5*A*B*math.sin(AB)
###########
##  Q2b  ##
###########
# Both functions area2 and area calculate the same result. 
# Can they be directly substituted for each other? Why?
"""
Write your answer within these triple quotes
"""</t>
  </si>
  <si>
    <t>from math import sin
def area2(A,B,angle):
    area=A*B*sin(angle)/2
    return area;
###########
##  Q2b  ##
###########
# Both functions area2 and area calculate the same result. 
# Can they be directly substituted for each other? Why?
"""
Write your answer within these triple quotes
"""</t>
  </si>
  <si>
    <t>import math
def area2(A,B,AB):
    area= 0.5 * A * B * math.sin(AB)
    return area
###########
##  Q2b  ##
###########
# Both functions area2 and area calculate the same result. 
# Can they be directly substituted for each other? Why?
"""
Write your answer within these triple quotes
"""</t>
  </si>
  <si>
    <t>from math import sin
def area2(A, B, AB):
    area = 0.5 * A * B * (sin(AB))
    """
    Returns area of the triangle using 
    the formula area= 1/2 * A * B * sin(AB).
    """
    return(area)
###########
##  Q2b  ##
###########
# Both functions area2 and area calculate the same result. 
# Can they be directly substituted for each other? Why?
"""
They cannot be directly substituted for one another as the variables being input are not the same, in which the variables in the first question are the length and height whereas the variables in the second question used are the length of two sides and the angle.
"""</t>
  </si>
  <si>
    <t>import math
def area2(A,B,AB):
    trianglearea=(1/2)*A*B*(math.sin(AB))
    return trianglearea
    """
    Returns area of the triangle using 
    the formula area= 1/2 * A * B * sin(AB).
    """
    pass
###########
##  Q2b  ##
###########
# Both functions area2 and area calculate the same result. 
# Can they be directly substituted for each other? Why?
"""
Write your answer within these triple quotes
"""</t>
  </si>
  <si>
    <t>import math
def area2(A,B,AB):
    """
    Returns area of the triangle using 
    the formula area= 1/2 * A * B * sin(AB).
    """
    area=0.5*A*B*math.sin(AB)
    return area
###########
##  Q2b  ##
###########
# Both functions area2 and area calculate the same result. 
# Can they be directly substituted for each other? Why?
"""
Write your answer within these triple quotes
this require a third input
"""</t>
  </si>
  <si>
    <t>def area2(a,b,c):
    import math
    ans=0.5*a*b*math.sin(c)
    return ans
    """
    Returns area of the triangle using 
    the formula area= 1/2 * A * B * sin(AB).
    """
###########
##  Q2b  ##
###########
# Both functions area2 and area calculate the same result. 
# Can they be directly substituted for each other? Why?
"""
Write your answer within these triple quotes
def area2(a,b,c):
    import math
    ans=0.5*a*b*math.sin(c)
    return ans
"""</t>
  </si>
  <si>
    <t>import math
def area2(A,B,AB):
    """
    Returns area of the triangle using 
    the formula area= 1/2 * A * B * sin(AB).
    """
    b = A * B * math.sin(AB) / 2
    return b
###########
##  Q2b  ##
###########
# Both functions area2 and area calculate the same result. 
# Can they be directly substituted for each other? Why?
"""
Write your answer within these triple quotes
No. Area only needs two variables while Area 2 needs three variables. So the input for area will not work for area 2 and vice versa
"""</t>
  </si>
  <si>
    <t>def area2(A,B,AB):
	import math
	area = 0.5*A*B*math.sin(AB)
	return area
###########
##  Q2b  ##
###########
# Both functions area2 and area calculate the same result. 
# Can they be directly substituted for each other? Why?
"""
Write your answer within these triple quotes
"""</t>
  </si>
  <si>
    <t xml:space="preserve">import math
def area2(x,y,xy):
    area = 0.5*x*y*math.sin(xy)
    return area
print(area2(1,4,1.2))
</t>
  </si>
  <si>
    <t>def area2(A,B,AB):
    import math
    """
    Returns area of the triangle using 
    the formula area= 1/2 * A * B * sin(AB).
    """
    pass
    ans = A * B * math.sin(AB) /2
    return ans
###########
##  Q2b  ##
###########
# Both functions area2 and area calculate the same result. 
# Can they be directly substituted for each other? Why?
"""
Yes, if there is sufficient information.
"""</t>
  </si>
  <si>
    <t>import math
def area2(A,B,AB):
    area=0.5*A*B*math.sin(AB)
    return area
###########
##  Q2b  ##
###########
# Both functions area2 and area calculate the same result. 
# Can they be directly substituted for each other? Why?
"""
Write your answer within these triple quotes
"""</t>
  </si>
  <si>
    <t>from math import *
def area2(a,b,c):
    ans = 1/2 * a * b * sin(c)
    return ans
###########
##  Q2b  ##
###########
# Both functions area2 and area calculate the same result. 
# Can they be directly substituted for each other? Why?
"""
No. Function area only calculates the area of a right angled triangled, while function area2 calculates all triangles.
"""</t>
  </si>
  <si>
    <t xml:space="preserve">import math
def area2(A,B,AB):
    area = 1/2 * A * B * math.sin(AB)
    return area
###########
##  Q2b  ##
###########
# Both functions area2 and area calculate the same result. 
# Can they be directly substituted for each other? Why?
"""
No. area2 calculates the area for a triangle without a right angle. 
"""
</t>
  </si>
  <si>
    <t>import math
def area2(A,B,C):
    hue = 1/2 * A * B * math.sin(C)
    return hue
###########
##  Q2b  ##
###########
# Both functions area2 and area calculate the same result. 
# Can they be directly substituted for each other? Why?
"""
Yes. The outputs are the same.
"""</t>
  </si>
  <si>
    <t>from math import *
def area2(a,b,ab):
    c = 0.5 * a * b * sin(ab)  
    return c
###########
##  Q2b  ##
###########
# Both functions area2 and area calculate the same result. 
# Can they be directly substituted for each other? Why?
"""
No, area calculates using base and height while area2 calculates using any two sides
"""</t>
  </si>
  <si>
    <t>import math
def area2(A,B,AB):
    area = (1/2)*A*B*math.sin(AB)
    return area
###########
##  Q2b  ##
###########
# Both functions area2 and area calculate the same result. 
# Can they be directly substituted for each other? Why?
"""
No. They use different input values thus they are not equivalent
"""</t>
  </si>
  <si>
    <t>import math
def area2(A,B,C):
    area2 = 0.5 * A * B * math.sin(C)
    return area2
###########
##  Q2b  ##
###########
# Both functions area2 and area calculate the same result. 
# Can they be directly substituted for each other? Why?
"""
no, the input is different
"""</t>
  </si>
  <si>
    <t xml:space="preserve">def area2(A,B,AB):
    import math
    area = .5 * A * B * math.sin(AB)
    return area
'No as the formal parameters used are different'
</t>
  </si>
  <si>
    <t>def area2(A, B, AB):
    import math
    s = 1/2 * A * B * math.sin(AB)
    return s
###########
##  Q2b  ##
###########
# Both functions area2 and area calculate the same result. 
# Can they be directly substituted for each other? Why?
"""
Write your answer within these triple quotes
"""</t>
  </si>
  <si>
    <t>def area2(x,y,z):
    import math
    result = 0.5*x*y*math.sin(z)
    return result
    """
    Returns area of the triangle using 
    the formula area= 1/2 * A * B * sin(AB).
    """
    pass
###########
##  Q2b  ##
###########
# Both functions area2 and area calculate the same result. 
# Can they be directly substituted for each other? Why?
"""
Write your answer within these triple quotes
"""</t>
  </si>
  <si>
    <t>import math
def area2(A,B,AB):
    """
    Returns area of the triangle using 
    the formula area= 1/2 * A * B * sin(AB).
    """
    return 0.5 * A * B * math.sin(AB)
###########
##  Q2b  ##
###########
# Both functions area2 and area calculate the same result. 
# Can they be directly substituted for each other? Why?
"""
No. Both functions use different arguments. One taking the width and height, the other taking the length of two sides and the angle formed.
"""</t>
  </si>
  <si>
    <t>from math import *
def area2(a,b,c):
    return 0.5 * a * b * sin(c)
###########
##  Q2b  ##
###########
# Both functions area2 and area calculate the same result. 
# Can they be directly substituted for each other? Why?
"""
No, because they take different parameters.
"""</t>
  </si>
  <si>
    <t xml:space="preserve">
import math
def area2(A, B, AB):
    x = 0.5 * A * B * math.sin(AB)
    return x
    pass
###########
##  Q2b  ##
###########
# Both functions area2 and area calculate the same result. 
# Can they be directly substituted for each other? Why?
"""
Both functions can be directly substituted for each other, since both functions calculate the same result, although in area2, we do not know what sides A and B are. 
"""</t>
  </si>
  <si>
    <t>import math
def area2(a,b,c):
    return 1/2 *a*b*(math.sin(c))
    pass
###########
##  Q2b  ##
###########
# Both functions area2 and area calculate the same result. 
# Can they be directly substituted for each other? Why?
"""
Write your answer within these triple quotes
"""</t>
  </si>
  <si>
    <t>from math import *
def area2(A,B,C):
    """
    Returns area of the triangle using 
    the formula area= 1/2 * A * B * sin(AB).
    """
    angle = sin(C)
    ans = A*B*angle/2
    return ans
###########
##  Q2b  ##
###########
# Both functions area2 and area calculate the same result. 
# Can they be directly substituted for each other? Why?
"""
Write your answer within these triple quotes Yes. The formula used may be different in different triangles.
"""</t>
  </si>
  <si>
    <t>import math
def area2(x,y,z):
    area = 0.5 * x * y * math.sin(z)
    return area</t>
  </si>
  <si>
    <t>def area2(A,B,AB):
    from math import sin
    area = 1/2 * A * B * sin(AB)
    return area
###########
##  Q2b  ##
###########
# Both functions area2 and area calculate the same result. 
# Can they be directly substituted for each other? Why?
"""
Write your answer within these triple quotes
"""</t>
  </si>
  <si>
    <t>from math import *
def area2(A,B,AB):
    area2 = 1/2 * A * B * sin(AB)
    return area2
###########
##  Q2b  ##
###########
# Both functions area2 and area calculate the same result. 
# Can they be directly substituted for each other? Why?
"""
No. This is because for function area, the angle required between the 2 sides must be 90 degrees, whereas in function area2, the angle
between the 2 sides need not be always 90 degrees. Hence, they cannot be substituted for one another although they will return the same
result when angle is 90 degrees.
"""</t>
  </si>
  <si>
    <t xml:space="preserve">def area2(A,B,AB):
    import math
    area= 0.5 * A * B * math.sin(AB)
    return area
</t>
  </si>
  <si>
    <t xml:space="preserve">
def area2(A, B, AB):
   import math
   y = 1/2 * A * B * math.sin(AB)
   return y
###########
##  Q2b  ##
###########
# Both functions area2 and area calculate the same result. 
# Can they be directly substituted for each other? Why?
"""
"""</t>
  </si>
  <si>
    <t>import math
def area2(A,B,AB):
    """
    Returns area of the triangle using 
    the formula area= 1/2 * A * B * math.sin(AB).
    """
    area2=1/2 * A * B * math.sin(AB)
    return area2
###########
##  Q2b  ##
###########
# Both functions area2 and area calculate the same result. 
# Can they be directly substituted for each other? Why?
"""
Write your answer within these triple quotes
"""</t>
  </si>
  <si>
    <t>import math
def area2(A,B,AB):
    area= 1/2 * A * B * math.sin(AB)
    return area
###########
##  Q2b  ##
###########
# Both functions area2 and area calculate the same result. 
# Can they be directly substituted for each other? Why?
"""
No, the process for finding the area of the triangle is different,
unlike area2, the angle between sides A and B are not needed in the
area function.
"""</t>
  </si>
  <si>
    <t>def area2(A, B, AB):
    import math
    area = 0.5 * A * B * math.sin(AB)
    return area
###########
##  Q2b  ##
###########
# Both functions area2 and area calculate the same result. 
# Can they be directly substituted for each other? Why?
"""
Area depends on the triangle being right angled. Area2 does not
"""</t>
  </si>
  <si>
    <t>import math
def area2(A,B,AB):
    """
    Returns area of the triangle using 
    the formula area= 1/2 * A * B * sin(AB).
    """
    return 0.5 * A * B * math.sin(AB)
###########
##  Q2b  ##
###########
# Both functions area2 and area calculate the same result. 
# Can they be directly substituted for each other? Why?
"""
Write your answer within these triple quotes
"""</t>
  </si>
  <si>
    <t>import math
def area2(A,B,AB):
    return (0.5*A*B*(math.sin(AB)))
###########
##  Q2b  ##
###########
# Both functions area2 and area calculate the same result. 
# Can they be directly substituted for each other? Why?
"""
No,if the triangle is not right angle,this function cannot work.
"""</t>
  </si>
  <si>
    <t>import math
def area2 (A,B,AB):
    result = 0.5 * A * B * math.sin(AB)
    return(result)
###########
##  Q2b  ##
###########
# Both functions area2 and area calculate the same result. 
# Can they be directly substituted for each other? Why?
"""
Write your answer within these triple quotes
"""</t>
  </si>
  <si>
    <t>import math
def area2(a,b,radians):
    """
    Returns area of the triangle using 
    the formula area= 1/2 * A * B * sin(AB).
    """
    return 0.5*a*b*math.sin(radians)</t>
  </si>
  <si>
    <t xml:space="preserve">
def area2(a, b, ab):
	import math
	area2=1/2*a*b*math.sin(ab)
	return area2
###########
##  Q2b  ##
###########
# Both functions area2 and area calculate the same result. 
# Can they be directly substituted for each other? Why?
</t>
  </si>
  <si>
    <t xml:space="preserve">def area2(A, B, AB):
    import math
    """
    Returns area of the triangle using 
    the formula area= 1/2 * A * B * sin(AB).
    """
    result = 1/2 * A * B * math.sin(AB)
    return result
    pass
###########
##  Q2b  ##
###########
# Both functions area2 and area calculate the same result. 
# Can they be directly substituted for each other? Why?
"""
Write your answer within these triple quotes
"""
</t>
  </si>
  <si>
    <t xml:space="preserve">import math
def area2(A, B, AB):
    y = (1 / 2) * A * B * math.sin(AB)
    return y
###########
##  Q2b  ##
###########
# Both functions area2 and area calculate the same result. 
# Can they be directly substituted for each other? Why?
""" Yes. The function area makes use of the triangle's base and height to calculate it's area. 
The function area2 makes use of 2 sides of the triangle and their included angle to calculate the area.
If one of the sides of the triangle is the base, then the two functions can be driectly 
substituted.
"""
</t>
  </si>
  <si>
    <t>from math import*
def area2(A,B,AB):
    area=A*B*(1/2)*sin(AB)
    return area
###########
##  Q2b  ##
###########
# Both functions area2 and area calculate the same result. 
# Can they be directly substituted for each other? Why?
"""
yes they calculate the same result. However, math module needs to be imported to use function area2()
"""</t>
  </si>
  <si>
    <t>import math
def area2(a,b,ab):
    ans = 0.5 * a * b * math.sin(ab)
    return ans
###########
##  Q2b  ##
###########
# Both functions area2 and area calculate the same result. 
# Can they be directly substituted for each other? Why?
"""
No. Because area requires the height of the triangle that we may not have. area 2 is able to find the area with the side lengths only
"""</t>
  </si>
  <si>
    <t>import math
def area2(A,B,AB):
    area=0.5*A*B*(math.sin(AB))
    return area
    """
    Returns area of the triangle using 
    the formula area= 1/2 * A * B * sin(AB).
    """
###########
##  Q2b  ##
###########
# Both functions area2 and area calculate the same result. 
# Can they be directly substituted for each other? Why?
"""
Write your answer within these triple quotes
Yes, they can. They can both be used for calculating area for triangles.
"""</t>
  </si>
  <si>
    <t>import math
def area2(A,B,AB):
    x=1/2 * A * B * math.sin(AB)
    return x
###########
##  Q2b  ##
###########
# Both functions area2 and area calculate the same result. 
# Can they be directly substituted for each other? Why?
"""
Write your answer within these triple quotes
"""</t>
  </si>
  <si>
    <t>import math
def area2(A, B, AB):
    """
    Returns area of the triangle using 
    the formula area= 1/2 * A * B * sin(AB).
    """
    ans=1/2*A*B*math.sin(AB)
    return ans
###########
##  Q2b  ##
###########
# Both functions area2 and area calculate the same result. 
# Can they be directly substituted for each other? Why?
"""
Write your answer within these triple quotes
"""</t>
  </si>
  <si>
    <t xml:space="preserve">def area2(A,B,AB):
    """
    Returns area of the triangle using 
    the formula area= 1/2 * A * B * sin(AB).
    """
    import math
    ans = float(0.5 * A * B * math.sin(AB))
    return ans
###########
##  Q2b  ##
###########
# Both functions area2 and area calculate the same result. 
# Can they be directly substituted for each other? Why?
"""
No. Area2 requires math module while area does not.
Secondly, area uses base and height while area2 requires the length of the sides.
"""
</t>
  </si>
  <si>
    <t>import math
def area2(A,B,AB):
    area = 0.5 * A * B * math.sin(AB)
    return area
###########
##  Q2b  ##
###########
# Both functions area2 and area calculate the same result. 
# Can they be directly substituted for each other? Why?
"""
No, the two functions are using different formula.
"""</t>
  </si>
  <si>
    <t>import math
def area2(a, b, c):
    area = 0.5 * a * b * math.sin(c)
    return area
###########
##  Q2b  ##
###########
# Both functions area2 and area calculate the same result. 
# Can they be directly substituted for each other? Why?
"""
No, they each have different parameter types so they cannot be directly substituted.
"""</t>
  </si>
  <si>
    <t>import math
def area2( A, B, AB ):
    return (0.5*A*B*math.sin(AB))
"""
No. function area cannot be used if the height of the triangle is not given. 
area requires base height
area2 requires sideA,sideB and angle(AB)
"""</t>
  </si>
  <si>
    <t>import math
def area2(A , B , AB):
    area = (1/2) * A * B * (math.sin(AB))
    return area
###########
##  Q2b  ##
###########
# Both functions area2 and area calculate the same result. 
# Can they be directly substituted for each other? Why?
"""
No. Area calculates right angled triangles only.
"""</t>
  </si>
  <si>
    <t>import math
def area2(A,B,c):
    """
    Returns area of the triangle using 
    the formula area= 1/2 * A * B * sin(AB).
    """
    area = 1/2 * A * B * math.sin(c)
    return area
###########
##  Q2b  ##
###########
# Both functions area2 and area calculate the same result. 
# Can they be directly substituted for each other? Why?
"""
Write your answer within these triple quotes
Yes. The formula gives the same answer.
"""</t>
  </si>
  <si>
    <t>import math
def area2(a,b,AB):
    area = 1/2 * a * b * math.sin(AB)
    return area
###########
##  Q2b  ##
###########
# Both functions area2 and area calculate the same result. 
# Can they be directly substituted for each other? Why?
"""
Write your answer within these triple quotes
"""</t>
  </si>
  <si>
    <t>import math
def area2(A, B, AB):
    """
    Returns area of the triangle using 
    the formula area= 1/2 * A * B * sin(AB).
    """
    area = 0.5 * A * B * math.sin(AB)
    return area
###########
##  Q2b  ##
###########
# Both functions area2 and area calculate the same result. 
# Can they be directly substituted for each other? Why?
"""
They cannot be directly substituted for each other because they are using different values.
"""</t>
  </si>
  <si>
    <t>import math
def area2(a, b, ab):
    area2 = (1/2)*a*b*math.sin(ab)
    return area2
###########
##  Q2b  ##
###########
# Both functions area2 and area calculate the same result. 
# Can they be directly substituted for each other? Why?
"""
Write your answer within these triple quotes
"""</t>
  </si>
  <si>
    <t>import math
def area2(A,B,C):
    area2 = 1/2*A*B*math.sin(C)
    return area2
###########
##  Q2b  ##
###########
# Both functions area2 and area calculate the same result. 
# Can they be directly substituted for each other? Why?
"""
no. the first one condition is that it must be a right angled triangle this one doesnt.
"""</t>
  </si>
  <si>
    <t xml:space="preserve">from math import *
def area2(A,B,C):
    """
    Returns area of the triangle using 
    the formula area= 1/2 * A * B * sin(AB).
    """
    return 1/2 * A * B * sin(C)
    pass
###########
##  Q2b  ##
###########
# Both functions area2 and area calculate the same result. 
# Can they be directly substituted for each other? Why?
"""
Write your answer within these triple quotes
No.
The first is only appllicable when you know a base length and its pependicular height
This can be used for a triangle when you know 2 of its sides and its angle 
"""
</t>
  </si>
  <si>
    <t>import math
def area2(A,B,AB):
    area= 1/2 * A * B * math.sin(AB)
    return(area)
'''
""No,Both functions require two different values, with the first one requiring height and base and this one requiring 2 angles"
'''</t>
  </si>
  <si>
    <t xml:space="preserve">import math
def area2(a,b,c):
    z = 0.5 * a * b * math.sin(c)
    return z
###########
##  Q2b  ##
###########
# Both functions area2 and area calculate the same result. 
# Can they be directly substituted for each other? Why?
"""
Write your answer within these triple quotes
"""
</t>
  </si>
  <si>
    <t>from math import *
def area2(A,B,AB):
    return 1/2 * A * B * sin(AB)
    pass
###########
##  Q2b  ##
###########
# Both functions area2 and area calculate the same result. 
# Can they be directly substituted for each other? Why?
"""
no
Write your answer within these triple quotes
"""</t>
  </si>
  <si>
    <t>from math import sin
def area2(A,B,AB):
    area= 1/2 * A * B * sin(AB)
    """
    Returns area of the triangle using 
    the formula area= 1/2 * A * B * sin(AB).
    """
    return area
###########
##  Q2b  ##
###########
# Both functions area2 and area calculate the same result. 
# Can they be directly substituted for each other? Why?
"""
No. if you do import math then you import al the function in math but if u do from math import sin u only import sin from math
"""</t>
  </si>
  <si>
    <t>import math
def area2(A,B,C):
    area = 1/2 * A * B * math.sin(C)
    """
    Returns area of the triangle using 
    the formula area= 1/2 * A * B * sin(AB).
    """
    return area
###########
##  Q2b  ##
###########
# Both functions area2 and area calculate the same result. 
# Can they be directly substituted for each other? Why?
"""
No. Area uses the base and the height while area2 uses the 3 sides of triangle. Thus, they take different inputs so cannot be substituted
"""</t>
  </si>
  <si>
    <t>import math
def area2(A,B,C):
    area2=(1/2)*A*B*math.sin(C)
    return area2
###########
##  Q2b  ##
###########
# Both functions area2 and area calculate the same result. 
# Can they be directly substituted for each other? Why?
"""
Write your answer within these triple quotes
"""</t>
  </si>
  <si>
    <t>import math
def area2(A,B,AB):
    area2=1/2*A*B*math.sin(AB)
    return area2
    """
    Returns area of the triangle using 
    the formula area= 1/2 * A * B * sin(AB).
    """
    pass
###########
##  Q2b  ##
###########
# Both functions area2 and area calculate the same result. 
# Can they be directly substituted for each other? Why?
"""
Write your answer within these triple quotes
For area,it requires the base and height while for area2,
it requires the length of two sides and lengths is not
equivalent to length and height
"""</t>
  </si>
  <si>
    <t>import math
def area2(a,b,AB):
     area = 1/2 * a * b * math.sin(AB)
     return area
###########
##  Q2b  ##
###########
# Both functions area2 and area calculate the same result. 
# Can they be directly substituted for each other? Why?
"""
Write your answer within these triple quotes
"""</t>
  </si>
  <si>
    <t>from math import *
def area2(A,B,C):
    area2=1/2 * A * B *sin(C)
    """
    Returns area of the triangle using 
    the formula area= 1/2 * A * B * sin(AB).
    """
    return area2
###########
##  Q2b  ##
###########
# Both functions area2 and area calculate the same result. 
# Can they be directly substituted for each other? Why?
"""
No. They require different information to carry out the function that will result in the same answer.
"""</t>
  </si>
  <si>
    <t>import math
def area2(A,B,AB):
    result = 1/2 * A * B * math.sin(AB)
    return result
print(area2(1,4,1.2))
###########
##  Q2b  ##
###########
# Both functions area2 and area calculate the same result. 
# Can they be directly substituted for each other? Why?
"""
No. If the sides change, they may be a chance that one or the other may not work.
"""</t>
  </si>
  <si>
    <t>import math
def area2(A,B,Sine):
    result = 0.5*A*B*math.sin(Sine)
    return result
    pass
###########
##  Q2b  ##
###########
# Both functions area2 and area calculate the same result. 
# Can they be directly substituted for each other? Why?
"""
Write your answer within these triple quotes
"""</t>
  </si>
  <si>
    <t>import math
def area2(x,y,z):
    """
    Returns area of the triangle using 
    the formula area= 1/2 * A * B * sin(AB).
    """
    area=1/2*x*y*math.sin(z)
    return area
    pass
###########
##  Q2b  ##
###########
# Both functions area2 and area calculate the same result. 
# Can they be directly substituted for each other? Why?
"""
Write your answer within these triple quotes
"""</t>
  </si>
  <si>
    <t>import math
def area2(a,b,AB):
    area = 1/2 * a * b * math.sin(AB)
    return area
###########
##  Q2b  ##
###########
# Both functions area2 and area calculate the same result. 
# Can they be directly substituted for each other? Why?
"""
Write your answer within these triple quotes
"""</t>
  </si>
  <si>
    <t>import math
def area2(A,B,AB):
    area2 = 0.5 * A * B * math.sin(AB)
    return area2
    """
    Returns area of the triangle using 
    the formula area= 1/2 * A * B * sin(AB).
    """
    pass
###########
##  Q2b  ##
###########
# Both functions area2 and area calculate the same result. 
# Can they be directly substituted for each other? Why?
"""
Write your answer within these triple quotes
"""</t>
  </si>
  <si>
    <t>from math import *
def area2(A,B,C):
    """
    Returns area of the triangle using 
    the formula area= 1/2 * A * B * sin(AB).
    """
    a = 0.5 * A * B * sin(C)
    return a</t>
  </si>
  <si>
    <t>def area2(num1,num2,num3):
    import math
    ans = 0.5*num1*num2*math.sin(num3)
    return ans
###########
##  Q2b  ##
###########
# Both functions area2 and area calculate the same result. 
# Can they be directly substituted for each other? Why?
"""
Yes they can. They give the same result
"""</t>
  </si>
  <si>
    <t>import math
def area2(a,b,AB):
    y = (1/2) * a * b * math.sin(AB)
    return y
# Both functions area2 and area calculate the same result. 
# Can they be directly substituted for each other? Why?
"""
"""</t>
  </si>
  <si>
    <t>import math
def area2(A,B,AB):
    area12 = 1/2 * A * B * math.sin(AB)
    return area12
###########
##  Q2b  ##
###########
# Both functions area2 and area calculate the same result. 
# Can they be directly substituted for each other? Why?
"""
No. One needs the base and height while the other just need two adjacent sides.
"""</t>
  </si>
  <si>
    <t>import math
def area2(A,B,AB):
    area = 1/2 * A * B * math.sin(AB)
    return area
###########
##  Q2b  ##
###########
# Both functions area2 and area calculate the same result. 
# Can they be directly substituted for each other? Why?
"""
No, as area1 is calculated when the base and height is provided while area2 is calculated while 2 sides and their angle is provided.
"""</t>
  </si>
  <si>
    <t>from math import *
def area2(num1, num2, angle):
    area = 0.5 * num1 * num2 * sin(angle)
    return area
###########
##  Q2b  ##
###########
# Both functions area2 and area calculate the same result. 
# Can they be directly substituted for each other? Why?
"""
Yes
"""</t>
  </si>
  <si>
    <t>import math
def area2(A,B,AB):
    area = 1/2 * A * B * math.sin(AB)
    return area
# Both functions area2 and area calculate the same result. 
# Can they be directly substituted for each other? Why?
"""
No because area is calculated with base and height but area2 is calculated with two sides and an angle
"""</t>
  </si>
  <si>
    <t>import math
def area2(A,B,AB):
    area= 1/2 * A * B * math.sin(AB)
    return area
###########
##  Q2b  ##
###########
# Both functions area2 and area calculate the same result. 
# Can they be directly substituted for each other? Why?
"""
No, function area2 involves 3 variables but function area1 only involves 2 variables
"""</t>
  </si>
  <si>
    <t>from math import *
def area2(A=1,B=4,AB=1.2):
    a2= (1/2)*A*B*sin(AB)
    return a2
    """
    Returns area of the triangle using 
    the formula area= 1/2 * A * B * sin(AB).
    """
    pass
###########
##  Q2b  ##
###########
# Both functions area2 and area calculate the same result. 
# Can they be directly substituted for each other? Why?
"""
No they both require different inputs .Write your answer within these triple quotes
"""</t>
  </si>
  <si>
    <t>import math
def area2(a,b,c):
    result = 1/2*a*b*math.sin(c)
    return result
###########
##  Q2b  ##
###########
# Both functions area2 and area calculate the same result. 
# Can they be directly substituted for each other? Why?
"""
No. They both take different arguements and each do different calculations despite calculating the same result.
Write your answer within these triple quotes
"""</t>
  </si>
  <si>
    <t>import math
def area2(A, B, AB):
    x = 0.5 * A * B * math.sin(AB)
    return x
###########
##  Q2b  ##
###########
# Both functions area2 and area calculate the same result. 
# Can they be directly substituted for each other? Why?
"""
no, the outputs vary in accuracy
"""</t>
  </si>
  <si>
    <t xml:space="preserve">import math
def area2(A, B, AB):
    area2 = 1/2 * A * B * math.sin(AB)
    return area2
area2(1.4, 1.2, 1.68)
###########
##  Q2b  ##
###########
# Both functions area2 and area calculate the same result. 
# Can they be directly substituted for each other? Why?
#No, area2 can only calculate 90 degree angle
</t>
  </si>
  <si>
    <t>import math
def area2(A,B,AB):
    area= A * B * math.sin(AB)/2
    pass
    return area</t>
  </si>
  <si>
    <t>def area2(A,B,C):
    import math
    ans= 0.5 * A * B * math.sin(C)
    return ans</t>
  </si>
  <si>
    <t>import math
def area2(A,B,AB):
    """
    Returns area of the triangle using 
    the formula area= 1/2 * A * B * sin(AB).
    """
    ans = 0.5*A*B*math.sin(AB)
    return ans
###########
##  Q2b  ##
###########
# Both functions area2 and area calculate the same result. 
# Can they be directly substituted for each other? Why?
"""
Write your answer within these triple quotes
no because the second function requires a third input 
"""</t>
  </si>
  <si>
    <t>from math import *
def area2(a,b,c):
    """
    Returns area of the triangle using 
    the formula area= 1/2 * A * B * sin(AB).
    """
    area=(1/2)*a*b*sin(c)
    return area
###########
##  Q2b  ##
###########
# Both functions area2 and area calculate the same result. 
# Can they be directly substituted for each other? Why?
"""
Write your answer within these triple quotes
"""</t>
  </si>
  <si>
    <t xml:space="preserve">import math
def area3(a,b,c):
    s = (a+b+c)/2
    area = math.sqrt(s*(s - a)*(s - b)*(s - c))
    return area
</t>
  </si>
  <si>
    <t xml:space="preserve">import math
def area3(a, b, c):
    """Return area of the triangle using Herons formula."""
    s = 0.5*(a+b+c)
    return math.sqrt(s*(s-a)*(s-b)*(s-c))
</t>
  </si>
  <si>
    <t xml:space="preserve">import math
def area3(a,b,c):
    """Return area of the triangle using Herons formula."""
    s =(a+b+c)/2
    area = math.sqrt(s*(s-a)*(s-b)*(s-c))
    return area
</t>
  </si>
  <si>
    <t xml:space="preserve">import math
def area3(a,b,c):
    s = (a+b+c)/2
    return math.sqrt(s*(s - a)*(s - b)*(s - c))
pass
  </t>
  </si>
  <si>
    <t xml:space="preserve">import math
def area3(a, b, c):
    s = (a + b + c) / 2
    x = math.sqrt(s *(s - a) * (s - b) * (s - c))    
    return x
</t>
  </si>
  <si>
    <t>import math
def area3(a,b,c):
    s=(a+b+c)/2
    area = math.sqrt(s*(s - a)*(s - b)*(s - c))
    return area</t>
  </si>
  <si>
    <t xml:space="preserve">import math
def area3(a,b,c):
    s=(a+b+c)/2
    area=math.sqrt(s*(s-a)*(s-b)*(s-c))
    return area
</t>
  </si>
  <si>
    <t xml:space="preserve">import math
def area3(a, b, c):
    """Return area of the triangle using Herons formula."""
    s = (a + b + c) / 2
    area = math.sqrt(s * (s - a) * (s - b) * (s - c))
    return area
</t>
  </si>
  <si>
    <t xml:space="preserve">import math
def area3(a,b,c):
    s=(a+b+c)/2
    area=math.sqrt(s*(s-a)*(s-b)*(s-c))
    return area
    """Return area of the triangle using Herons formula."""
    pass
</t>
  </si>
  <si>
    <t xml:space="preserve">
import math
def area3(a,b,c):
    """Return area of the triangle using Herons formula."""
    s=(a+b+c)/2
    area=math.sqrt(s*(s-a)*(s-b)*(s-c))
    return area
</t>
  </si>
  <si>
    <t>import math
def area3(a,b,c):
    """Return area of the triangle using Herons formula."""
    s=(a+b+c)/2
    ans=math.sqrt(s*(s-a)*(s-b)*(s-c))
    return ans</t>
  </si>
  <si>
    <t xml:space="preserve">import math
def area3(a,b,c):
    """Return area of the triangle using Herons formula."""
    s= (a + b + c)/2
    area = math.sqrt(s*(s-a)*(s-b)*(s-c))
    return area
</t>
  </si>
  <si>
    <t xml:space="preserve">import math
def area3(a,b,c):
    s = (a+b+c)/2
    area = math.sqrt(s*(s-a)*(s-b)*(s-c))
    return area
print(area3(3,3,3))
</t>
  </si>
  <si>
    <t xml:space="preserve">import math
def area3(x,y,z):
    s = (x+y+z)/2
    area = math.sqrt(s*(s-x)*(s-y)*(s-z))
    return area
print(area3(3,3,3))
</t>
  </si>
  <si>
    <t xml:space="preserve">import math
def area3(a,b,c):
    """Return area of the triangle using Herons formula."""
    pass
    s = (a+b+c)/2
    return math.sqrt(s*(s-a)*(s-b)*(s-c))
</t>
  </si>
  <si>
    <t>import math
def area3(a,b,c):
    s=(a+b+c)/2.0
    area=math.sqrt(s*(s - a)*(s - b)*(s - c))
    return area
print (area3(3,3,3))</t>
  </si>
  <si>
    <t xml:space="preserve">import math
def area3(a,b,c):
    s = (a + b + c) / 2
    ans = math.sqrt(s * (s - a) * (s - b) * (s - c))
    return ans
</t>
  </si>
  <si>
    <t xml:space="preserve">import math
def area3(a,b,c):
     s = (a+b+c)/2
     area = math.sqrt(s*(s - a)*(s - b)*(s - c))
     return area
     </t>
  </si>
  <si>
    <t>import math
def area3(a,b,c):
    hueh = (a+b+c)/2
    huehue = math.sqrt(hueh*(hueh - a)*(hueh - b)*(hueh - c))
    return huehue</t>
  </si>
  <si>
    <t xml:space="preserve">import math
def area3(a,b,c):
    s=(a+b+c)/2
    d= math.sqrt(s*(s-a)*(s-b)*(s-c))
    return d
</t>
  </si>
  <si>
    <t>import math
def area3(a,b,c):
    s = (a+b+c)/2
    area=math.sqrt(s*(s-a)*(s-b)*(s-c))
    return area</t>
  </si>
  <si>
    <t xml:space="preserve">import math
def area3(a,b,c):
    s = (a+b+c)/2 
    area3 = math.sqrt (s * (s - a) * (s - b) * (s - c))
    return area3
</t>
  </si>
  <si>
    <t xml:space="preserve">import math
def area3(a,b,c):
    s = (a+b+c)/2
    area = math.sqrt(s*(s -a )*(s - b)*(s - c))
    return area
</t>
  </si>
  <si>
    <t xml:space="preserve">import math
def area3(a, b, c):
    s = (a+b+c)/2
    area = math.sqrt(s * (s - a) * (s - b) * (s - c))
    return area
    </t>
  </si>
  <si>
    <t xml:space="preserve">import math
def area3(x,y,z):
    s = (x+y+z)/2
    ans = math.sqrt(s*(s-x)*(s-y)*(s-z))
    return ans
    """Return area of the triangle using Herons formula."""
    pass
</t>
  </si>
  <si>
    <t xml:space="preserve">import math
def area3(a,b,c):
    s = (a + b + c)/2
    area = math.sqrt(s*(s - a)*(s - b)*(s - c))
    return area
    """Return area of the triangle using Herons formula."""
</t>
  </si>
  <si>
    <t xml:space="preserve">import math
def area3(a,b,c):
    s = (a+b+c)/2
    return math.sqrt(s*(s-a)*(s-b)*(s-c))
</t>
  </si>
  <si>
    <t xml:space="preserve">import math
def area3(a, b, c):
    s = (a+b+c)/2
    x = math.sqrt(s*(s-a)*(s-b)*(s-c))
    return x
    pass
</t>
  </si>
  <si>
    <t xml:space="preserve">import math
def area3(a,b,c):
    s = (a+b+c)/2
    return math.sqrt(s*(s - a)*(s - b)*(s - c))
    pass
</t>
  </si>
  <si>
    <t xml:space="preserve">from math import *
def area3(a,b,c):
    s = (a+b+c)/2
    area = sqrt(s*(s - a)*(s - b)*(s-c))
    return area
</t>
  </si>
  <si>
    <t xml:space="preserve">import math
def area3(a,b,c):
    s = ( a + b + c ) / 2
    area = math.sqrt( s*(s-a)*(s-b)*(s-c))
    return area
</t>
  </si>
  <si>
    <t>import math
def area3(a,b,c):
    s = (a+b+c)/2
    area = math.sqrt(s*(s - a)*(s - b)*(s - c)) 
    return area</t>
  </si>
  <si>
    <t xml:space="preserve">import math
def area3(a,b,c):
    s = (a + b + c)/2
    area3 = math.sqrt(s * (s-a) * (s-b) * (s-c))
    return area3
</t>
  </si>
  <si>
    <t xml:space="preserve">import math
def area3(a,b,c):
   s = (a + b + c)/2
   area = math.sqrt(s * (s - a) * (s - b) * (s - c))
   return area
</t>
  </si>
  <si>
    <t xml:space="preserve">import math
def area3(a, b, c):
    s = (a+b+c)/2
    m1 = s-a
    m2 = s-b
    m3 = s-c
    x = s * m1 * m2 * m3
    y = math.sqrt(x)
    return y
</t>
  </si>
  <si>
    <t xml:space="preserve">import math
def area3(a,b,c):
    """Return area of the triangle using Herons formula."""
    s=(a+b+c)/2
    area3=math.sqrt(s*(s-a)*(s-b)*(s-c))
    return area3
</t>
  </si>
  <si>
    <t xml:space="preserve">import math
def area3(a,b,c):
     s = (a+b+c)/2
     a= math.sqrt(s*(s - a)*(s - b)*(s - c))
     return a
</t>
  </si>
  <si>
    <t>import math
def area3(a, b, c):
    s = (a + b + c) / 2
    area = math.sqrt(s* (s - a) * (s - b) * (s - c))
    return area</t>
  </si>
  <si>
    <t>import math
def area3(a,b,c):
    """Return area of the triangle using Herons formula."""
    s = ( a + b + c) / 2
    return math.sqrt(s * (s - a) * (s - b) * (s - c))
print(area3(3,3,3))</t>
  </si>
  <si>
    <t xml:space="preserve">import math
def area3(a,b,c):
    s = (a+b+c)/2
    area = (math.sqrt(s*(s - a)*(s - b)*(s - c)))
    return area
</t>
  </si>
  <si>
    <t xml:space="preserve">import math
def area3(a, b, c):
    s = (a + b + c) / 2
    result = math.sqrt(s * (s - a) * (s - b) * (s - c))
    return result
</t>
  </si>
  <si>
    <t xml:space="preserve">import math
def area3(a,b,c):
    """Return area of the triangle using Herons for mula."""
    s=0.5*(a+b+c)
    return math.sqrt(s*(s-a)*(s-b)*(s-c))
</t>
  </si>
  <si>
    <t xml:space="preserve">import math
def area3(a,b,c):
	s=(a+b+c)/2
	import math
	area3=math.sqrt(s*(s-a)*(s-b)*(s-c))
	return area3
</t>
  </si>
  <si>
    <t xml:space="preserve">import math
def area3(a, b, c):
    """Return area of the triangle using Herons formula."""
    s = (a+b+c)/2
    result = math.sqrt(s * (s - a) * (s - b) * (s - c) )
    return result
    pass
</t>
  </si>
  <si>
    <t xml:space="preserve">import math
def area3(a, b, c):
    s = (1 / 2) * (a + b + c)
    y = math.sqrt((s) * (s - a) * (s - b) * (s - c))
    return y
</t>
  </si>
  <si>
    <t xml:space="preserve">import math
def area3(a,b,c):
    s=(a+b+c)/2
    area=math.sqrt(s*(s - a)*(s - b)*(s - c))
    return area
</t>
  </si>
  <si>
    <t xml:space="preserve">import math
def area3(a,b,c):
    s = (a+b+c)/2
    ans = math.sqrt(s*(s-a)*(s-b)*(s-c))
    return ans
</t>
  </si>
  <si>
    <t xml:space="preserve">import math
def area3(a,b,c):
    s=(a+b+c)/2
    area=math.sqrt(s*(s-a)*(s-b)*(s-c))
    return area
    """Return area of the triangle using Herons formula."""
</t>
  </si>
  <si>
    <t xml:space="preserve">import math
def area3(a,b,c):
   s=(a+b+c)/2
   x=math.sqrt(s*(s-a)*(s-b)*(s-c))
   return x
</t>
  </si>
  <si>
    <t xml:space="preserve">import math
def area3(a,b,c):
    """Return area of the triangle using Herons formula."""
    s=(a+b+c)/2
    ans=math.sqrt(s*(s - a)*(s - b)*(s - c))
    return ans
</t>
  </si>
  <si>
    <t xml:space="preserve">import math
def area3(a,b,c):
    """Return area of the triangle using Herons formula."""
    s = (a + b + c) * 0.5
    darea = s * ((s - a) * (s - b) * (s - c))
    area = math.sqrt(darea)
    return area
</t>
  </si>
  <si>
    <t xml:space="preserve">import math
def area3(a,b,c):
    s = (a + b + c)/2
    area = math.sqrt(s*(s - a)*(s - b)*(s - c))
    return area
</t>
  </si>
  <si>
    <t xml:space="preserve">import math
def area3(a, b, c):
    a = float(a)
    b = float(b)
    c = float(c)
    s = float((a+b+c)/2) 
    area = math.sqrt(s*(s - a)*(s - b)*(s - c))
    return area
</t>
  </si>
  <si>
    <t xml:space="preserve">import math
def area3(a,b,c):
    s=(a+b+c)/2
    result=math.sqrt(s*(s - a)*(s - b)*(s - c))
    return result
</t>
  </si>
  <si>
    <t>import math
def area3(a , b , c):
    s = (a + b + c) / 2
    area = math.sqrt(s * (s - a) * (s - b) * (s - c))
    return area</t>
  </si>
  <si>
    <t>import math
def area3(a,b,c):
     s = (a + b + c)/2 
     area = math.sqrt(s*(s - a)*(s - b)*(s - c))
     return area</t>
  </si>
  <si>
    <t xml:space="preserve">import math
def area3(a,b,c):
    """Return area of the triangle using Herons formula."""
    s = (a+b+c)/2
    area = math.sqrt(s*(s - a)*(s - b)*(s - c))
    return area
</t>
  </si>
  <si>
    <t>import math
def area3(a, b, c):
    """Return area of the triangle using Herons formula."""
    s = (a + b + c) / 2
    area = math.sqrt(s * (s - a) * (s - b) * (s - c))
    return area</t>
  </si>
  <si>
    <t xml:space="preserve">import math
def area3(a, b, c):
    s =  (a+b+c)/2
    area3 = math.sqrt(s*(s - a)*(s - b)*(s - c))
    return area3
</t>
  </si>
  <si>
    <t xml:space="preserve">import math
def area3(a,b,c):
    s=(a+b+c)/2
    x=math.sqrt(s*(s - a)*(s - b)*(s - c))
    return x
</t>
  </si>
  <si>
    <t xml:space="preserve">import math
def area3(a,b,c):
    """Return area of the triangle using Herons formula."""
    s=(a+b+c)/2 
    return math.sqrt(s*(s - a)*(s - b)*(s - c))
    pass
</t>
  </si>
  <si>
    <t>import math
def area3(a, b, c):
    # calculate the sides
    s = (a + b + c) / 2
    # calculate the area
    area = (s*(s-a)*(s-b)*(s-c)) ** 0.5
    return area</t>
  </si>
  <si>
    <t xml:space="preserve">import math
def area3(a,b,c):
    """Return area of the triangle using Herons formula."""
    s = (a+b+c)/2 
    z = math.sqrt(s*(s - a)*(s - b)*(s - c))
    return z
</t>
  </si>
  <si>
    <t xml:space="preserve">import math
def area3(a,b,c):
    """Return area of the triangle using Herons formula."""
    s = (a+b+c)/2
    return math.sqrt(s*(s - a)*(s - b)*(s - c))
</t>
  </si>
  <si>
    <t xml:space="preserve">import math
def area3(a,b,c):
    s = (a+b+c)/2
    area = math.sqrt(s*(s-a)*(s-b)*(s-c))
    return area
</t>
  </si>
  <si>
    <t xml:space="preserve">from math import *
def area3(a,b,c):
    s = (a+b+c)/2
    area=sqrt(s*(s - a)*(s - b)*(s - c))
    return area
print(area3(3,3,3))
</t>
  </si>
  <si>
    <t xml:space="preserve">import math
def area3(a,b,c):
    s=(a+b+c)/2
    area=(s*(s-a)*(s-b)*(s-c))
    area=math.sqrt(area)
    return area
print(area3(3,3,3))
</t>
  </si>
  <si>
    <t xml:space="preserve">import math
def area3(a,b,c):
    s=(a+b+c)/2
    area3=math.sqrt(s*(s - a)*(s - b)*(s - c))
    return area3
    """Return area of the triangle using Herons formula."""
    pass
</t>
  </si>
  <si>
    <t xml:space="preserve">import math
a=3
b=3
c=3
def area3(a,b,c):
    s=float((a+b+c)/2)
    area=math.sqrt(s*(s-float(a))*(s-float(b))*(s-float(c)))
    return area
</t>
  </si>
  <si>
    <t xml:space="preserve">import math
def area3(a,b,c):
    s=(a+b+c)/2
    area=math.sqrt(s*(s - a)*(s - b)*(s - c))
    return area
    """Return area of the triangle using Herons formula."""
</t>
  </si>
  <si>
    <t xml:space="preserve">import math
def area3(a,b,c):
    s = (a+b+c)/2
    ans = math.sqrt(s*(s - a)*(s - b)*(s - c))
    return(ans)
</t>
  </si>
  <si>
    <t xml:space="preserve">import math
def area3(a,b,c):
    s = (a+b+c)/2
    result = math.sqrt(s*(s-a)*(s-b)*(s-c))
    return result
    pass
</t>
  </si>
  <si>
    <t xml:space="preserve">import math
def area3(a,b,c):
    """Return area of the triangle using Herons formula."""
    s=(a+b+c)/2
    y=s*(s-a)*(s-b)*(s-c)
    area=math.sqrt(y)
    return area
    pass
</t>
  </si>
  <si>
    <t xml:space="preserve">import math
def area3(a,b,c):
    s = (a + b + c)/2
    area = math.sqrt(s * (s - a) * (s - b) * (s - c))
    return area
</t>
  </si>
  <si>
    <t xml:space="preserve">import math
def area3(a,b,c):
    s = (a+b+c)/2
    area = math.sqrt(s*(s-a)*(s-b)*(s-c))
    return area
    """Return area of the triangle using Herons formula."""
    pass
</t>
  </si>
  <si>
    <t xml:space="preserve">import math
def area3(a,b,c):
    s=(a+b+c)/2
    area=math.sqrt(s*(s-a)*(s-b)*(s-c))
    """Return area of the triangle using Herons formula."""
    return area
</t>
  </si>
  <si>
    <t xml:space="preserve">import math
def area3(a,b,c):
    """Return area of the triangle using Herons formula."""
    s = (a+b+c)/2
    a = math.sqrt(s*(s-a)*(s-b)*(s-c))
    return a
</t>
  </si>
  <si>
    <t xml:space="preserve">import math
def area3(a,b,c):
    s = (a + b + c)/2
    ans = math.sqrt(s*(s - a)*(s - b)*(s - c))
    return ans
x = area3(3,3,3)
print(x)
</t>
  </si>
  <si>
    <t xml:space="preserve">import math
def area3(a,b,c):
    s = ((a + b + c)/2)
    y = math.sqrt(s*(s - a)*(s - b)*(s - c))
    return y
print(area3(3,3,3))
</t>
  </si>
  <si>
    <t xml:space="preserve">import math
def area3(a,b,c):
    s = (a+b+c)/2
    HIQ=math.sqrt(s* (s-a) * (s-b) * (s-c))
    return HIQ
</t>
  </si>
  <si>
    <t xml:space="preserve">import math
def area3(a,b,c):
     s = (a+b+c)/2 
     area=math.sqrt(s*(s-a)*(s-b)*(s-c))
     return area
</t>
  </si>
  <si>
    <t xml:space="preserve">import math
def area3(a, b, c):
    s = 1/2 * (a + b + c)
    area = math.sqrt(s * (s - a) * (s - b) * (s - c))
    return area
</t>
  </si>
  <si>
    <t>def area3(a,b,c):
    s = (a+b+c)/2
    area = (s*(s - a)*(s - b)*(s - c))**0.5
    return area
print(area3(3,3,3))</t>
  </si>
  <si>
    <t xml:space="preserve">import math
def area3(a,b,c):
    s= (a + b + c)/2
    area= math.sqrt(s*(s - a)*(s - b)*(s - c))
    return area
</t>
  </si>
  <si>
    <t xml:space="preserve">import math
def area3(a=3,b=3,c=3):
    s=(a+b+c)/2
    a3=math.sqrt(s*(s-a)*(s-b)*(s-c))
    return a3
    """Return area of the triangle using Herons formula."""
    pass
</t>
  </si>
  <si>
    <t xml:space="preserve">import math
def area3(a,b,c):
    """Return area of the triangle using Herons formula."""
    s = (a+b+c)/2
    result = math.sqrt(s*(s-a)*(s-b)*(s-c))
    return result
</t>
  </si>
  <si>
    <t xml:space="preserve">import math
def area3(a, b, c):
    s = (a + b + c) / 2
    x = math.sqrt(s * (s - a) * (s - b) * (s - c))
    return x
</t>
  </si>
  <si>
    <t xml:space="preserve">import math
def area3(a, b ,c):
    """Return area of the triangle using Herons formula."""
    s = (a + b + c) / 2
    area3 = math.sqrt(s * (s-a) * (s-b) * (s-c))
    return area3
</t>
  </si>
  <si>
    <t xml:space="preserve">import math
def area3(a,b,c):
    s=((a+b+c)/2)
    area=math.sqrt(s*(s-a)*(s-b)*(s-c))
    pass
    return area
</t>
  </si>
  <si>
    <t xml:space="preserve">import math
def area3(a,b,c):
    s = (a+b+c)/2 
    ans= math.sqrt(s*(s - a)*(s - b)*(s - c))
    return ans
</t>
  </si>
  <si>
    <t>import math
def area3(a,b,c):
    """Return area of the triangle using Herons formula."""
    s = (a+b+c)/2
    ans = math.sqrt(s*(s-a)*(s-b)*(s-c))
    return ans</t>
  </si>
  <si>
    <t xml:space="preserve">import math
def area3(a,b,c):
    """Return area of the triangle using Herons formula."""
    s=float((a+b+c)/2)
    area=math.sqrt(s*(s-a)*(s-b)*(s-c))
    return area
</t>
  </si>
  <si>
    <t xml:space="preserve">def format_sum(s):
    s = s.split("+")
    return (int(s[0])+int(s[1])+int(s[2])+int(s[3]))
    </t>
  </si>
  <si>
    <t>format_sum = lambda x: sum([get_int(x, '+", i) for i in range(4)])</t>
  </si>
  <si>
    <t>def format_sum(x):
    y =get_int(x, '+", 0)+get_int(x, '+", 1)+get_int(x, '+", 2)+get_int(x, '+", 3)
    return y</t>
  </si>
  <si>
    <t xml:space="preserve">sumthing = "int1+int2+int3+int4"
def format_sum(sumthing):
    int1 = get_int(sumthing, "+", 0)
    int2 = get_int(sumthing, "+", 1)
    int3 = get_int(sumthing, "+", 2)
    int4 = get_int(sumthing, "+", 3)
    ans = int1 + int2 + int3 + int4
    return ans
 </t>
  </si>
  <si>
    <t>def format_sum(x):
    y = get_int(x, "+", 0) + get_int(x, "+", 1) + get_int(x, "+", 2) + get_int(x, "+", 3)
    return y</t>
  </si>
  <si>
    <t>def format_sum(string):
    string=string.split("+")
    return (int(string[0])+int(string[1])+int(string[2])+int(string[3]))</t>
  </si>
  <si>
    <t>def format_sum (fillin):
    a = get_int(fillin, "+",(0))
    b = get_int(fillin, "+",(1))
    c = get_int(fillin, "+",(2))
    d = get_int(fillin, "+",(3))
    x = a +b +c+d
    return x</t>
  </si>
  <si>
    <t xml:space="preserve">def format_sum(x):
    int1=get_int(x, "+", 0)
    int2=get_int(x, "+", 1)
    int3=get_int(x, "+", 2)
    int4=get_int(x, "+", 3)
    ans=int1+int2+int3+int4
    return ans
</t>
  </si>
  <si>
    <t xml:space="preserve">def format_sum(string):
    n = 0
    x = 0
    ans = 0
    for count in range(4):
        n = get_int(string, "+", x)
        x += 1
        ans += n
    return ans
    </t>
  </si>
  <si>
    <t>def format_sum(fibo_string):
    a=get_int(fibo_string,"+",0)
    b=get_int(fibo_string,"+",1)
    c=get_int(fibo_string,"+",2)
    d=get_int(fibo_string,"+",3)
    e=a+b+c+d
    return e</t>
  </si>
  <si>
    <t xml:space="preserve">def format_sum(x):
    num1=get_int(x,"+",0)
    num2=get_int(x,"+",1)
    num3=get_int(x,"+",2)
    num4=get_int(x,"+",3)
    ans=num1+num2+num3+num4
    return ans
print(format_sum("1+2+3+4"))
</t>
  </si>
  <si>
    <t>def format_sum(x):
    z=x.split("+")
    ans=0
    for n in z:
        ans+=int(n)
    return ans</t>
  </si>
  <si>
    <t>def format_sum(x):
    a= get_int(x,"+",0) + get_int(x,"+",1) + get_int(x,"+",2) + get_int(x,"+",3)
    return a</t>
  </si>
  <si>
    <t>def format_sum(s):
    s = s.split("+")
    return (int(s[0])+int(s[1])+int(s[2])+int(s[3]))</t>
  </si>
  <si>
    <t>def format_sum(st):
    one = get_int(st,'+",0)
    two = get_int(st,'+",1)
    three = get_int(st,'+",2)
    four = get_int(st,'+",3)
    return one+two+three+four</t>
  </si>
  <si>
    <t>def format_sum(a):
    x=get_int(a,"+",0)
    y=get_int(a,"+",1)
    z=get_int(a,"+",2)
    b=get_int(a,"+",3)
    return x+y+z+b</t>
  </si>
  <si>
    <t>def format_sum(string):
    i1 = get_int(string, '+", 0)
    i2 = get_int(string, '+", 1)
    i3 = get_int(string, '+", 2)
    i4 = get_int(string, '+", 3)
    ans = i1 + i2 + i3 + i4
    return ans</t>
  </si>
  <si>
    <t>def format_sum(x):
    a = get_int(x, "+", 0)
    b = get_int(x, "+", 1)
    c = get_int(x, "+", 2)
    d = get_int(x, "+", 3)
    return (a + b + c + d)</t>
  </si>
  <si>
    <t>def format_sum(hue):
    ayylmao1 = get_int(hue, "+", 1)
    ayylmao2 = get_int(hue, "+", 2)
    ayylmao3 = get_int(hue, "+", 3)
    ayylmao4 = get_int(hue, "+", 0)
    HUE = ayylmao1 + ayylmao2 + ayylmao3 + ayylmao4
    return HUE</t>
  </si>
  <si>
    <t>def format_sum(x) :
    a = get_int(x,"+",0)
    b = get_int(x,"+",1)
    c = get_int(x,"+",2)
    d = get_int(x,"+",3)
    total= a + b + c + d
    return total</t>
  </si>
  <si>
    <t>def format_sum(entered_string):
    int1 = int(get_int(entered_string,"+",0))
    int2 = int(get_int(entered_string,"+",1))
    int3 = int(get_int(entered_string,"+",2))
    int4 = int(get_int(entered_string,"+",3))
    ans = int1+int2+int3+int4
    return ans</t>
  </si>
  <si>
    <t xml:space="preserve">def format_sum(s):
    s = s.split("+")
    return (int(s[0])+int(s[1])+int(s[2]) +int(s[3]))
    </t>
  </si>
  <si>
    <t>def format_sum(string):
    a = get_int(string, '+", 0)
    b = get_int(string, '+", 1)
    c = get_int(string, '+", 2)
    d = get_int(string, '+", 3)
    ans = a + b + c + d
    return ans</t>
  </si>
  <si>
    <t xml:space="preserve">def format_sum(X):
    x = str(X)
    a = get_int(x,"+",0)
    b = get_int(x,"+",1)
    c = get_int(x,"+",2)
    d = get_int(x,"+",3)
    ans = a + b + c + d 
    return ans
    </t>
  </si>
  <si>
    <t>def format_sum(numbers):
    a,b,c,d = numbers.split('+')
    d = int(a) + int(b) + int(c) + int(d)
    return d</t>
  </si>
  <si>
    <t xml:space="preserve">def format_sum(x):
    y = x.split('+')
    ans = int(y[0]) + int(y[1]) + int(y[2]) + int(y[3])
    return ans
    </t>
  </si>
  <si>
    <t>def format_sum(string):
    return get_int(string, '+", 0) + get_int(string, '+", 1) + get_int(string, '+", 2) + get_int(string, '+", 3)</t>
  </si>
  <si>
    <t>def format_sum(x):
    result = get_int(x, "+", 0) + get_int(x, "+", 1) + get_int(x, "+", 2) + get_int(x, "+", 3) 
    return result
    pass</t>
  </si>
  <si>
    <t xml:space="preserve">def format_sum(s):
    return get_int(s,"+",0)+get_int(s,"+",1)+get_int(s,"+",2)+get_int(s,"+",3)
    </t>
  </si>
  <si>
    <t>sumthing = "int1+int2+int3+int4"
def format_sum(sumthing):
    int1 = get_int(sumthing, "+", 0)
    int2 = get_int(sumthing, "+", 1)
    int3 = get_int(sumthing, "+", 2)
    int4 = get_int(sumthing, "+", 3)
    ans = int1 + int2 + int3 + int4
    return ans</t>
  </si>
  <si>
    <t>def format_sum (x) :
    a,b,c,d = x.split('+')
    ans =int(a)+int(b)+int(c)+int(d)
    return ans</t>
  </si>
  <si>
    <t>def format_sum(string):
    x = 0
    for i in range(0,4):
        x += get_int(string, "+", i)
    return x</t>
  </si>
  <si>
    <t>def format_sum (a):
    first_int = get_int(a, '+", 0)
    second_int = get_int(a, '+", 1)
    third_int = get_int(a, '+", 2)
    fourth_int = get_int(a, '+", 3)
    sum_int = first_int + second_int + third_int + fourth_int
    return sum_int</t>
  </si>
  <si>
    <t xml:space="preserve">def format_sum(x):
    a = get_int(x,"+",0)
    b = get_int(x,"+",1)
    c = get_int(x,"+",2)
    d = get_int(x,"+",3)
    result = a + b + c + d
    return result
</t>
  </si>
  <si>
    <t>def format_sum(x):
    f1 = (get_int(x,"+",0))
    f2 = (get_int(x,"+",1))
    f3 = (get_int(x,"+",2))
    f4 = (get_int(x,"+",3))
    ans = f1 + f2 + f3 + f4
    return ans</t>
  </si>
  <si>
    <t xml:space="preserve">def format_sum(x):
    a=get_int(x,"+",0)
    b=get_int(x,"+",1)
    c=get_int(x,"+",2)
    d=get_int(x,"+",3)
    ans=a+b+c+d
    return ans
    </t>
  </si>
  <si>
    <t xml:space="preserve">def format_sum(op):
    x=get_int(op,'+",0)
    x1=get_int(op,'+",1)
    x2=get_int(op,'+",2)
    x3=get_int(op,'+",3)
    ans=x+x1+x2+x3
    return ans
    </t>
  </si>
  <si>
    <t>def format_sum (a):
    n1 = get_int(a, "+", 0)
    n2 = get_int(a, "+", 1)
    n3 = get_int(a, "+", 2)
    n4 = get_int(a, "+", 3)
    ans = n1 + n2 + n3 + n4
    return ans</t>
  </si>
  <si>
    <t>def format_sum(x):
    one= get_int(x, "+",0)
    one1= get_int(x, "+",1)
    one2= get_int(x, "+",2)
    one3= get_int(x, "+",3)
    ans = one + one1 + one2 + one3
    return ans</t>
  </si>
  <si>
    <t>def format_sum(x):
    int1 = get_int(x,"+",0)
    int2 = get_int(x,"+",1)
    int3 = get_int(x,"+",2)
    int4 = get_int(x,"+",3)
    ans = int1 + int2 + int3 + int4
    return ans</t>
  </si>
  <si>
    <t>def format_sum(x):
    y1 = get_int ( x, "+", 0)
    y2 = get_int ( x, "+", 1)
    y3 = get_int ( x, "+", 2)
    y4 = get_int ( x, "+", 3)
    result = y1 + y2 + y3 + y4
    return result</t>
  </si>
  <si>
    <t>def format_sum(str):
    return int(get_int(str, "+", 0))+int(get_int(str, "+", 1))+int(get_int(str, "+",2))+int(get_int(str, "+", 3))</t>
  </si>
  <si>
    <t>def format_sum(string):
    int1=get_int(string, "+", 0)
    int2=get_int(string, "+", 1)
    int3=get_int(string, "+", 2)
    int4=get_int(string, "+", 3)
    format_sum=int1+int2+int3+int4
    return format_sum</t>
  </si>
  <si>
    <t>def format_sum(string):
    int1 = get_int(string,"+",0)
    int2 = get_int(string,"+",1)
    int3 = get_int(string,"+",2)
    int4 = get_int(string,"+",3)
    result = int1 + int2 + int3 + int4
    return result</t>
  </si>
  <si>
    <t xml:space="preserve">def format_sum(string):
    int1 = get_int(string, "+", 0)
    int2 = get_int(string, "+", 1)
    int3 = get_int(string, "+", 2)
    int4 = get_int(string, "+", 3)
    string = str(int1) + '+' + str(int2) + '+' + str(int3) + '+' + str(int4)
    y = int1 + int2 + int3 + int4
    return y
</t>
  </si>
  <si>
    <t xml:space="preserve">def format_sum(string):
        result=get_int(string,"+",0)+get_int(string,"+",2)+get_int(string,"+",1)+get_int(string,"+",3)
        return result
        </t>
  </si>
  <si>
    <t>def format_sum(in_put):
    num1 = get_int(in_put, "+", 0)
    num2 = get_int(in_put, "+", 1)
    num3 = get_int(in_put, "+", 2)
    num4 = get_int(in_put, "+", 3)
    ans = num1 + num2 + num3 + num4
    return ans</t>
  </si>
  <si>
    <t>def format_sum(x):
    total=get_int(x,"+",0)+get_int(x,"+",1)+get_int(x,"+",2)+get_int(x,"+",3)
    return total</t>
  </si>
  <si>
    <t xml:space="preserve">def format_sum(num):
    a=get_int(num, "+",0)
    b=get_int(num, "+",1)
    c=get_int(num, "+",2)
    d=get_int(num, "+",3)
    return a+b+c+d
    </t>
  </si>
  <si>
    <t>def format_sum(x):
    x=x.split("+")
    return (int(x[0])+int(x[1])+int(x[2])+int(x[3]))</t>
  </si>
  <si>
    <t>def format_sum(string):
    a = get_int(string, "+",0)
    b = get_int(string, "+",1)
    c = get_int(string, "+",2)
    d = get_int(string, "+",3)
    ans = int(a) + int(b) + int(c) + int(d)
    return ans</t>
  </si>
  <si>
    <t xml:space="preserve">def format_sum(x):
    ans = get_int(x,'+",0) + get_int(x,'+",1) + get_int(x,'+",2) + get_int(x,'+",3)
    return ans   </t>
  </si>
  <si>
    <t>def format_sum(x):
    return get_int(x, "+", 0) + get_int(x, "+", 1) + get_int(x, "+", 2) + get_int(x, "+", 3)</t>
  </si>
  <si>
    <t>def format_sum(Num):
    first=get_int(Num,"+",0)
    second=get_int(Num,"+",1)
    third=get_int(Num,"+",2)
    fourth=get_int(Num,"+",3)
    ans=first+second+third+fourth
    return ans</t>
  </si>
  <si>
    <t>def format_sum(fibo_string):
    z = get_int(fibo_string, '+' , 0)
    y = get_int(fibo_string, '+' , 1)
    x = get_int(fibo_string, '+' , 2)
    w = get_int(fibo_string, '+' , 3)
    m = w + x + y + z
    return m</t>
  </si>
  <si>
    <t xml:space="preserve">def format_sum(x):
    a = get_int(x,"+",0)
    b = get_int(x,"+",1)
    c = get_int(x,"+",2)
    d = get_int(x,"+",3)
    e = a + b + c + d
    return e
    </t>
  </si>
  <si>
    <t>def format_sum(x):
    a=get_int(x, '+' , 0)
    b=get_int(x, '+' , 1)
    c=get_int(x, '+' , 2)
    d=get_int(x, '+' , 3)
    return (a+b+c+d)</t>
  </si>
  <si>
    <t>def format_sum(x):
    ans = get_int(x, "+", 0) + get_int(x, "+", 1) + get_int(x, "+", 2) + get_int(x, "+", 3)
    return ans</t>
  </si>
  <si>
    <t xml:space="preserve">def format_sum(s):
    s = s.split("+")
    return (int(s[0])+int(s[1])+int(s[2])+int(s[3]))
</t>
  </si>
  <si>
    <t xml:space="preserve">def format_sum(string):
    a=get_int(string,"+",1)
    b=get_int(string,"+",2)
    c=get_int(string,"+",3)
    d=get_int(string,"+",0)
    return a+b+c+d
</t>
  </si>
  <si>
    <t xml:space="preserve">
def format_sum(string):
    a=get_int(string,"+", 0)
    b=get_int(string,"+", 1)
    c=get_int(string,"+", 2)
    d=get_int(string,"+", 3)
    return a+b+c+d</t>
  </si>
  <si>
    <t>def format_sum(x):
    result=get_int(x, "+", 0) +get_int(x, "+", 1)+get_int(x, "+", 2)+get_int(x, "+", 3)
    return result</t>
  </si>
  <si>
    <t>def format_sum(x):
    a = get_int(x,"+",0)
    b = get_int(x,"+",1)
    c = get_int(x,"+",2)
    d = get_int(x,"+",3)
    ans = a + b + c + d
    return ans</t>
  </si>
  <si>
    <t xml:space="preserve">def format_sum(x):
    return (get_int(x, "+", 0) + get_int(x, "+", 1) + get_int(x, "+", 2) + get_int(x,"+", 3)) 
    </t>
  </si>
  <si>
    <t>def format_sum (string):
    answer = int(get_int(string,'+",0)) + int(get_int(string,'+",1)) + int(get_int(string,'+",2)) + int(get_int(string,'+",3))
    return answer</t>
  </si>
  <si>
    <t>def format_sum(x):
    y=get_int(x, "+", 1) + get_int(x, "+", 0)+get_int(x, "+", 2)+get_int(x, "+", 3)
    return y</t>
  </si>
  <si>
    <t xml:space="preserve">def format_sum(x):
    ans=get_int(x,"+",0)+get_int(x,"+",1)+get_int(x,"+",2)+get_int(x,"+",3)
    return ans
    </t>
  </si>
  <si>
    <t>def format_sum(string):
    a=get_int(string,"+", 0)
    b=get_int(string,"+", 1)
    c=get_int(string,"+", 2)
    d=get_int(string,"+", 3)
    e=a+b+c+d
    return e</t>
  </si>
  <si>
    <t xml:space="preserve">a="1+2+3+4"
def format_sum(a):
    b=get_int(a,"+",0)
    c=get_int(a,"+",1)
    d=get_int(a,"+",2)
    e=get_int(a,"+",3)
    result=b+c+d+e
    return result </t>
  </si>
  <si>
    <t>def format_sum(a):
    p=get_int(a,"+",0)
    q=get_int(a,"+",1)
    r=get_int(a,"+",2)
    s=get_int(a,"+",3)
    ans=p+q+r+s
    return ans</t>
  </si>
  <si>
    <t>def format_sum(string):
    ans = 0
    for count in range(0,4):
        ans += get_int(string, "+", count)
    return ans</t>
  </si>
  <si>
    <t>xx = "int1+int2+int3+int4"
def format_sum(xx):
    a = get_int(xx,"+",0)
    b = get_int(xx,"+",1)
    c = get_int(xx,"+",2)
    d = get_int(xx,"+",3)
    result = int(a) + int(b) + int(c) + int(d)
    return result</t>
  </si>
  <si>
    <t xml:space="preserve">def format_sum(x):
    ans=get_int(x,"+",0)+get_int(x,"+",1)+get_int(x,"+",2)+get_int(x,"+",3)
    return ans
    pass
</t>
  </si>
  <si>
    <t>def format_sum(s):
    i=get_int(s, "+", 0)+get_int(s, "+", 1)+get_int(s, "+", 2)+get_int(s, "+", 3)  
    return i</t>
  </si>
  <si>
    <t>def format_sum(s):
    s = s.split("+")
    return(int(s[0])+int(s[1])+int(s[2])+int(s[3]))</t>
  </si>
  <si>
    <t>def format_sum(sumstring):
    i1=get_int(sumstring,"+",0)
    i2=get_int(sumstring,"+",1)
    i3=get_int(sumstring,"+",2)
    i4=get_int(sumstring,"+",3)
    ans=i1+i2+i3+i4
    return ans</t>
  </si>
  <si>
    <t>def format_sum(a):
    one = get_int(a, "+", 0)
    one1 = get_int(a, "+", 1)
    one2 = get_int(a, "+", 2)
    one3 = get_int(a, "+", 3)
    ans = one + one1 + one2+ one3
    return ans</t>
  </si>
  <si>
    <t xml:space="preserve">def format_sum(num_string):
    num1 = get_int(num_string,"+",0)
    num2 = get_int(num_string,"+",1)
    num3 = get_int(num_string,"+",2)
    num4 = get_int(num_string,"+",3)
    ans = int(num1) + int(num2) + int(num3) + int(num4)
    return ans
</t>
  </si>
  <si>
    <t xml:space="preserve">def format_sum(x):
    y = get_int(x, "+", 0) + get_int(x, "+", 1) + get_int(x, "+", 2) + get_int(x, "+", 3)
    return y
   </t>
  </si>
  <si>
    <t>def format_sum(equation):
    total = get_int(equation,"+",0) + get_int(equation,"+",1) + get_int(equation,"+",2) + get_int(equation,"+",3)
    return total</t>
  </si>
  <si>
    <t xml:space="preserve">def format_sum(x):
    one=get_int(x,"+",0)
    two=get_int(x,"+",1)
    three=get_int(x,"+",2)
    four=get_int(x,"+",3)
    return (one+two+three+four)
    </t>
  </si>
  <si>
    <t xml:space="preserve">def format_sum(s):
    return  (get_int(s, '+", 0) + get_int(s, '+", 1) + get_int(s, '+", 2) + get_int(s, '+", 3))
</t>
  </si>
  <si>
    <t xml:space="preserve">def format_sum(a):
    num1 = get_int(a,"+", 0)
    num2 = get_int(a,"+", 1)
    num3 = get_int(a,"+", 2)
    num4 = get_int(a,"+", 3)
    ans = num1 + num2 + num3 + num4
    return ans
</t>
  </si>
  <si>
    <t>def format_sum(s):
    ans= get_int(s, '+", 0) + get_int(s, '+", 1) + get_int(s, '+", 2) + get_int(s, '+", 3)
    return ans</t>
  </si>
  <si>
    <t>def format_sum (string):
    result= (get_int(string ,"+",0))+(get_int(string,"+",1))+(get_int(string,"+",2))+(get_int(string,"+", 3))
    return result</t>
  </si>
  <si>
    <t>def format_sum(x):
    result = get_int(x, "+", 0)+get_int(x, "+", 1)+get_int(x, "+", 2)+get_int(x, "+", 3)
    return result</t>
  </si>
  <si>
    <t>def format_sum(x):
    x1 = get_int(x, "+", 0)
    y = get_int(x, "+", 1)
    z = get_int(x, "+", 2)
    w = get_int(x, "+", 3)
    a = int(x1) + int(y) + int(z) + int(w)
    return a</t>
  </si>
  <si>
    <t xml:space="preserve">def format_sum(x):
    a=get_int(x,'+",0)
    b=get_int(x,'+",1)
    c=get_int(x,'+",2)
    d=get_int(x,'+",3)
    return (a+b+c+d)
    </t>
  </si>
  <si>
    <t xml:space="preserve">def format_sum(n):
    first=get_int(n,"+",0)
    second=get_int(n,"+",1)
    third=get_int(n,"+",2)
    forth=get_int(n,"+",3)
    ans=first+second+third+forth
    return ans
    </t>
  </si>
  <si>
    <t xml:space="preserve">def format_sum(x):
    ans = get_int(x,'+",0) + get_int(x,'+",1) + get_int(x,'+",2) + get_int(x,'+",3)
    return ans
    </t>
  </si>
  <si>
    <t>def format_sum(somestring):
    first = get_int(somestring,'+",0)
    second = get_int(somestring,'+",1)
    third = get_int(somestring,'+",2)
    fourth = get_int(somestring,'+",3)
    bweng = first+second+third+fourth
    return bweng</t>
  </si>
  <si>
    <t>def format_sum(string):
    n1=get_int(string, "+", 0)
    n2=get_int(string, "+", 1)
    n3=get_int(string, "+", 2)
    n4=get_int(string, "+", 3)
    return n1+n2+n3+n4</t>
  </si>
  <si>
    <t>import math
def solveQuadratic(a,b,c):
    d = (-b + (math.sqrt((b**2)-(4*a*c))))/(2*a)
    e = (-b - (math.sqrt((b**2)-(4*a*c))))/(2*a)
    return d,e</t>
  </si>
  <si>
    <t>from math import sqrt
solveQuadratic = lambda a, b, c: ((-b+sqrt(b**2-4*a*c))/2/a, (-b-sqrt(b**2-4*a*c))/2/a)</t>
  </si>
  <si>
    <t xml:space="preserve">import math
def solveQuadratic(a,b,c):
    s = math.sqrt(b**2 -(4*a*c))
    r1 = (-b + s)/(2*a)
    r2 = (-b - s)/(2*a)
    return r1,r2
</t>
  </si>
  <si>
    <t xml:space="preserve">def solveQuadratic(a,b,c):
    r1=(-b+(b**2-4*a*c)**0.5)/(2*a)
    r2=(-b-(b**2-4*a*c)**0.5)/(2*a)
    return r1, r2
</t>
  </si>
  <si>
    <t>def solveQuadratic(a, b, c):
    r1 = (-b + (b ** 2 - 4 * a * c) ** 0.5) / (2 * a)
    r2 = (-b - (b ** 2 - 4 * a * c) ** 0.5) / (2 * a)
    return r1, r2</t>
  </si>
  <si>
    <t>import math
def solveQuadratic(a,b,c):
    r1=(-b+math.sqrt(b**2-4*a*c))/(2*a)
    r2=(-b-math.sqrt(b**2-4*a*c))/(2*a)
    return r1,r2</t>
  </si>
  <si>
    <t xml:space="preserve">def solveQuadratic(a,b,c):
    x = ((-b)+((b**2)-(4*a*c))**0.5)/(2*a)
    y = ((-b)-((b**2)-(4*a*c))**0.5)/(2*a)
    return x, y
</t>
  </si>
  <si>
    <t>import math
def solveQuadratic(a,b,c):
    r1=(-b+math.sqrt(b**2-4*a*c))/(2*a)
    r2=(-b-math.sqrt(b**2-4*a*c))/(2*a)
    return r1 , r2</t>
  </si>
  <si>
    <t xml:space="preserve">def solveQuadratic(a, b, c):
    r1 = ((-b + (((b ** 2) - (4 * a * c)) ** 0.5))) / (2 * a)
    r2 = ((-b - (((b ** 2) - (4 * a * c)) ** 0.5))) / (2 * a)
    return (r1, r2)
</t>
  </si>
  <si>
    <t>import math
def solveQuadratic(a,b,c):
    z=(-b+math.sqrt(b**2-(4*a*c)))/(2*a)
    y=(-b-math.sqrt(b**2-(4*a*c)))/(2*a)
    return y,z</t>
  </si>
  <si>
    <t xml:space="preserve">import math
def solveQuadratic(a,b,c):
    ans1=(-b+math.sqrt(b**2-4*a*c))/(2*a)
    ans2=(-b-math.sqrt(b**2-4*a*c))/(2*a)
    return ans1,ans2
</t>
  </si>
  <si>
    <t>def solveQuadratic(a,b,c):
    import math
    x=(0-b+math.sqrt((b**2)-(4*a*c)))/(2*a)
    y=(0-b-math.sqrt((b**2)-(4*a*c)))/(2*a)
    return x,y</t>
  </si>
  <si>
    <t>import math
def solveQuadratic(a,b,c):
    r1= (-b + math.sqrt(b**2 - 4*a*c))/(2 * a)
    r2= (-b - math.sqrt(b**2 - 4*a*c))/(2 * a)
    return r1 , r2</t>
  </si>
  <si>
    <t>def solveQuadratic(a,b,c):
    import math
    d = (b**2) - (4*a*c)
    x = (-b-math.sqrt(d))/(2*a)
    y = (-b+math.sqrt(d))/(2*a)
    return(x,y)</t>
  </si>
  <si>
    <t>import math
def solveQuadratic(a, b, c):
    r1 = ((-b+(math.sqrt((b*b)-4*a*c)))/(2*a))
    r2 = ((-b-(math.sqrt((b*b)-4*a*c)))/(2*a))
    return r1,r2</t>
  </si>
  <si>
    <t>import math
def solveQuadratic(a,b,c):
    pos = (-b + (math.sqrt(b ** 2 - 4 * a * c))) / (2 * a)
    neg = (-b - (math.sqrt(b ** 2 - 4 * a * c))) / (2 * a)
    return pos,neg</t>
  </si>
  <si>
    <t xml:space="preserve">from math import *
def solveQuadratic(a,b,c):
    a1 = (0 - b + sqrt(b * b - 4 * a * c)) / (2 * a)
    a2 = (0 - b - sqrt(b * b - 4 * a * c)) / (2 * a)
    return a1,a2
</t>
  </si>
  <si>
    <t xml:space="preserve">def solveQuadratic(a = 1, b = 2, c = 3):
    x1 = (-b + (b ** 2 - 4 * a * c)**0.5)/(2 * a)
    x2 = (-b - (b ** 2 - 4 * a * c)**0.5)/(2 * a)
    return x1,x2
</t>
  </si>
  <si>
    <t>import math
def solveQuadratic(a,b,c):
    bb = -b
    r1 = math.sqrt((b**2) - 4*(a*c))
    aa = 2*a
    rootWun = (bb + r1) / aa
    rootTuu = (bb - r1) / aa
    return rootWun, rootTuu</t>
  </si>
  <si>
    <t xml:space="preserve">import math
def solveQuadratic(a,b,c):
    r1 = (-b + math.sqrt((b**2) - (4*(a*c))))/(2*a)
    r2 = (-b - math.sqrt((b**2) - (4*(a*c))))/(2*a)
    return r1,r2
</t>
  </si>
  <si>
    <t xml:space="preserve">import math
def solveQuadratic(a,b,c):
    root1 = (-b+math.sqrt(b**2-4*a*c))/(2*a)
    root2 = (-b-math.sqrt(b**2-4*a*c))/(2*a)
    return root1,root2
    </t>
  </si>
  <si>
    <t>import math
def solveQuadratic(a,b,c):
    r1 = ((-b + (math.sqrt((b*b) - 4*a*c)))/(2*a))
    r2 = ((-b - (math.sqrt((b*b) - 4*a*c)))/(2*a))
    return r1, r2</t>
  </si>
  <si>
    <t>import math
def solveQuadratic(a,b,c):
    constant = b * b -4 * a * c
    root1 = (math.sqrt(constant) - b)/(2 * a)
    root2 = (-math.sqrt(constant) - b)/(2 * a)
    return root1, root2</t>
  </si>
  <si>
    <t xml:space="preserve">import math
def solveQuadratic(a, b, c):
    x1 = (-b+math.sqrt((b**2)-(4*(a*c))))/(2*a)
    x2 = (-b-math.sqrt((b**2)-(4*(a*c))))/(2*a)
    return x1, x2
          </t>
  </si>
  <si>
    <t>import math
def solveQuadratic(a,b,c):
    d = math.sqrt(b**2 - 4*a*c)
    r1 = (-b +d)/(2*a)
    r2 = (-b-d)/(2*a)
    return r1,r2</t>
  </si>
  <si>
    <t>import math
def solveQuadratic(a,b,c):
    ans1 = (-1 * b + math.sqrt(b**2 - 4*a*c))/(2*a)
    ans2 = (-1 * b - math.sqrt(b**2 - 4*a*c))/(2*a)
    return ans1,ans2</t>
  </si>
  <si>
    <t>def solveQuadratic(a,b,c):
    disc = (b**2 - 4*a*c)**0.5
    return (-1*b+disc)/(2*a), (-1*b-disc)/(2*a)</t>
  </si>
  <si>
    <t xml:space="preserve">
def solveQuadratic(a, b, c):
    r1 = (-b + (b * b - 4 * a * c) ** (1/2)) / (2 * a)
    r2 = (-b - (b * b - 4 * a * c) ** (1/2)) / (2 * a)
    return (r1, r2)
    </t>
  </si>
  <si>
    <t xml:space="preserve">import math
def solveQuadratic(a,b,c):
    r1=(-b+(math.sqrt(b**2-(4*a*c))))/(2*a)
    r2=(-b-(math.sqrt(b**2-(4*a*c))))/(2*a)
    return r1,r2
</t>
  </si>
  <si>
    <t>from math import *
def solveQuadratic(a,b,c):
    r1 = (sqrt(b**2-4*(a*c))-b)/(2*a)
    r2 = (0-(sqrt(b**2-(4*(a*c))))-b)/(2*a)
    return r1, r2</t>
  </si>
  <si>
    <t>import math
def solveQuadratic(a,b,c) :
    x = b**2 - (4 * a * c )
    r1 = (-b + math.sqrt(x))/(2*a)
    r2 = (-b - math.sqrt(x))/(2*a)
    return r1,r2</t>
  </si>
  <si>
    <t>import math
def solveQuadratic(a,b,c):
    r1 = ((0-b) + math.sqrt(b * b - 4 * a * c))/ (2 * a)
    r2 = ((0-b) - math.sqrt(b * b - 4 * a * c))/ (2 * a)
    return (r1,r2)</t>
  </si>
  <si>
    <t>from math import *
def solveQuadratic (a, b, c):
    r1 = ( -b + sqrt((b ** 2) - (4 * a * c)) )/(2 * a)
    r2 = ( -b - sqrt((b ** 2) - (4 * a * c)) )/(2 * a)
    return r1, r2</t>
  </si>
  <si>
    <t xml:space="preserve">def solveQuadratic(a,b,c):
    import math
    x = (b * b) - (4 * a * c)
    x = float(math.sqrt(x))
    r1 = float((-1 * b + x)/(2 * a))
    r2 = float((-1 *b - x)/(2 * a))
    return r1,r2
</t>
  </si>
  <si>
    <t>def solveQuadratic(a,b,c):
    import math
    t1 = -b + (math.sqrt(b**2 - 4*a*c))
    t2 = 2*a
    t3 = -b - (math.sqrt(b**2 - 4*a*c))
    r1 = t1 / t2
    r2 = t3 / t2
    return r1 , r2</t>
  </si>
  <si>
    <t>import math
def solveQuadratic(a,b,c):
    r1=(-b+math.sqrt(b**2-4*a*c))/(2*a)
    r2=(-b-math.sqrt(b**2-4*a*c))/(2*a)
    return (r1,r2)</t>
  </si>
  <si>
    <t>import math
def solveQuadratic(a,b,c):
    r1=((-b)+(math.sqrt(b**2-4*a*c)))/(2*a)
    r2=((-b)-(math.sqrt(b**2-4*a*c)))/(2*a)
    return r1,r2</t>
  </si>
  <si>
    <t>def solveQuadratic (a, b, c):
    import math
    discrim = math.sqrt(b ** 2 - 4 * a *c)
    y = -1 * b
    ans1 = (y + discrim) / (2 * a)
    ans2 = (y - discrim) / (2 * a)
    return (ans1, ans2)</t>
  </si>
  <si>
    <t>import math
def solveQuadratic(a,b,c):
    r1= (-b + math.sqrt(b **2 - 4*a*c))/ (2*a)
    r2= (-b - math.sqrt(b **2 - 4*a*c))/ (2*a)
    return r1,r2</t>
  </si>
  <si>
    <t>import math
def solveQuadratic(a,b,c):
    r1 = (-b+math.sqrt(b**2-4*a*c))/(2*a)
    r2 = (-b-math.sqrt(b**2-4*a*c))/(2*a)
    return r1,r2</t>
  </si>
  <si>
    <t>import math
def solveQuadratic(a,b,c):
    x = math.sqrt((b ** 2) - 4 * a * c)
    r1 = (-b + x) / (2 * a)
    r2 = (-b - x) / (2 * a)
    return r1, r2</t>
  </si>
  <si>
    <t>def solveQuadratic(a,b,c):
    discriminant=b**2-4*a*c
    r1=(-b+(discriminant)**0.5)/(2*a)
    r2=(-b-(discriminant)**0.5)/(2*a)
    return r1,r2</t>
  </si>
  <si>
    <t>def solveQuadratic(a, b, c):
    r1=1/(2*a)*(-1*b+(b**2-4*a*c)**0.5)
    r2=1/(2*a)*(-1*b-(b**2-4*a*c)**0.5)
    return r1, r2</t>
  </si>
  <si>
    <t>import math
def solveQuadratic(a, b, c):
    r1 = (-b + math.sqrt(b ** 2 - 4 * a * c)) / (2 * a)
    r2 = (-b - math.sqrt(b ** 2 - 4 * a * c)) / (2 * a)
    ans = r1,r2
    return ans</t>
  </si>
  <si>
    <t>import math
def solveQuadratic(a, b, c):
    x =  (b ** 2) - (4 * a * c) 
    r1 = (-b + math.sqrt (x)) / (2 * a) 
    r2 = (-b - math.sqrt (x)) / (2 * a)
    return (r1, r2)</t>
  </si>
  <si>
    <t xml:space="preserve">import math
def solveQuadratic(a,b,c):
    r1=(-b+math.sqrt((b**2)-(4*a*c)))/(2*a)
    r2=(-b-math.sqrt((b**2)-(4*a*c)))/(2*a)
    return r1, r2
    print(r1)
    print(r2)
</t>
  </si>
  <si>
    <t>import math
def solveQuadratic(a,b,c):
	ans1 = (-b+math.sqrt(b**2-(4*(a*c)))) / (2*a)
	ans2 = (-b-math.sqrt(b**2-(4*(a*c)))) / (2*a)
	return ans1, ans2</t>
  </si>
  <si>
    <t>import math
def solveQuadratic(a,b,c):
    root1=((-1*b)+math.sqrt((b**2)-4*a*c))/(2*a)
    root2=((-1*b)-math.sqrt((b**2)-4*a*c))/(2*a)
    return root1,root2</t>
  </si>
  <si>
    <t xml:space="preserve">def solveQuadratic(a,b,c):
    r1=(-b + ((b*b - 4*a*c)**(1/2))) / (2*a)
    r2=(-b - ((b*b - 4*a*c)**(1/2))) / (2*a)
    return r1, r2
</t>
  </si>
  <si>
    <t>import math
def solveQuadratic(a,b,c):
    a1=(-b+math.sqrt((b**2)-4*a*c))/(2*a)
    a2=(-b-math.sqrt((b**2)-4*a*c))/(2*a)
    return a1,a2</t>
  </si>
  <si>
    <t>def solveQuadratic(a,b,c):
    import math
    z = pow(b,2) - (4 * a * c)
    y = math.sqrt(z)
    x = (-b - y) / (2 * a)
    d = pow(b,2) - (4 * a * c)
    e = math.sqrt(d)
    f = (-b + e) / (2 * a)
    return f, x</t>
  </si>
  <si>
    <t xml:space="preserve">import math
def solveQuadratic(a,b,c):
    dis = b ** 2 - 4 * a * c
    r1 = (-b + math.sqrt(dis))/(2*a)
    r2 = (-b - math.sqrt(dis))/(2*a)
    return r1,r2
</t>
  </si>
  <si>
    <t>import math
def solveQuadratic(a, b, c):
    x1 = (-b+math.sqrt((b**2)-(4*(a*c))))/(2*a)
    x2 = (-b-math.sqrt((b**2)-(4*(a*c))))/(2*a)
    return x1, x2</t>
  </si>
  <si>
    <t>def solveQuadratic(a,b,c):
    r1=(-b+(b**2-4*a*c)**0.5)/(2*a)
    r2=(-b-(b**2-4*a*c)**0.5)/(2*a)
    return r1, r2</t>
  </si>
  <si>
    <t>import math
def solveQuadratic(a,b,c):
    x = (-b + math.sqrt( (b * b) - (4 * a * c)) ) /    (2 * a)
    y = (-b - math.sqrt( (b * b) - (4 * a * c)) ) /    (2 * a)
    return x,y</t>
  </si>
  <si>
    <t>import math
def solveQuadratic(a,b,c):
    r1 = (math.sqrt(b**2-(4*a*c))-b)/(2*a)
    r2 = ((0-(math.sqrt(b**2-(4*a*c))))-b)/(2*a)
    return r1,r2</t>
  </si>
  <si>
    <t>def solveQuadratic(a ,b ,c):
    x=(-b+(b*b-4*a*c)**0.5)/(2*a)
    y=(-b-(b*b-4*a*c)**0.5)/(2*a)
    return (x , y)</t>
  </si>
  <si>
    <t>import math
def solveQuadratic(a, b, c):
    r1 = (-b + math.sqrt(b**2 - 4*a*c)) / (2 * a)
    r2 = (-b - math.sqrt(b**2 - 4*a*c)) / (2 * a)
    return r1, r2</t>
  </si>
  <si>
    <t xml:space="preserve">import math
def solveQuadratic(a, b, c):
    r1 = ((-b+(math.sqrt((b*b)-4*a*c)))/(2*a))
    r2 = ((-b-(math.sqrt((b*b)-4*a*c)))/(2*a))
    return r1,r2
   </t>
  </si>
  <si>
    <t>import math
def solveQuadratic(a,b,c):
    r1=(-b+math.sqrt((b*b)-(4*a*c)))/(2*a)
    r2=(-b-math.sqrt((b*b)-(4*a*c)))/(2*a)
    return r1,r2</t>
  </si>
  <si>
    <t>import math
def solveQuadratic(a,b,c):
        r1=(-b+math.sqrt(b**2-4*a*c))/(2*a)
        r2=(-b-math.sqrt(b**2-4*a*c))/(2*a)
        return (r1,r2)</t>
  </si>
  <si>
    <t>def  solveQuadratic(a,b,c):
    r1=((-b+(b**2-4*a*c)**(1/2))/(2*a))
    r2=((-b-(b**2-4*a*c)**(1/2))/(2*a))
    return r1,r2</t>
  </si>
  <si>
    <t>import math
def solveQuadratic(a,b,c):
  ans1 = (-math.sqrt((b * b) - (4 * a * c)) - b) / (2 * a)
  ans2 = (math.sqrt((b * b) - (4 * a * c)) - b) / (2 * a)
  return ans1, ans2</t>
  </si>
  <si>
    <t xml:space="preserve">import math
def solveQuadratic(a,b,c):
    number1 = (-1*b + math.sqrt((b*b)-(4*a*c)))/(2*a)
    number2 = (-1*b + -1*(math.sqrt((b*b)-(4*a*c))))/(2*a)
    return number1 ,number2
    </t>
  </si>
  <si>
    <t>from math import sqrt
def solveQuadratic(a,b,c):
    no = sqrt(b*b - 4*a*c)
    r1 = (-b+no)/(2*a)
    r2 = (-b-no)/(2*a)
    return r1,r2</t>
  </si>
  <si>
    <t>import math
def solveQuadratic(a,b,c):
    r1=(-b+(math.sqrt(b**2-4*a*c)))/(2*a)
    r2 = (-b-(math.sqrt(b**2-4*a*c)))/(2*a)
    return r1,r2</t>
  </si>
  <si>
    <t>import math
def solveQuadratic(a,b,c):
        r1=(-b+math.sqrt((b**2)-(4*(a*c))))/(2*a)
        r2=(-b-math.sqrt((b**2)-(4*(a*c))))/(2*a)
        return r1,r2</t>
  </si>
  <si>
    <t>import math
def solveQuadratic(a, b, c):
    r1 = (-b + math.sqrt(b * b - 4 * a * c))/(2*a)
    r2 = (-b - math.sqrt(b * b - 4 * a * c))/(2*a)
    return r1,r2</t>
  </si>
  <si>
    <t>a=3
b=8
c=4
def solveQuadratic(a,b,c):        
    d=(-b+(((b**2)-4*a*c)**0.5))/(2*a)
    e=(-b-(((b**2)-4*a*c)**0.5))/(2*a)
    return d,e</t>
  </si>
  <si>
    <t xml:space="preserve">import math
def solveQuadratic(a,b,c):
    r1=(-b+(math.sqrt((b**2)-(4*a*c))))/(2*a)
    r2=(-b-(math.sqrt((b**2)-(4*a*c))))/(2*a)
    return r1,r2
   </t>
  </si>
  <si>
    <t xml:space="preserve">def solveQuadratic(a,b,c):
    r1 = (-b + (b*b - 4*a*c)**0.5)/(2*a)
    r2 = (-b - (b*b - 4*a*c)**0.5)/(2*a)
    return(r1,r2)
</t>
  </si>
  <si>
    <t>import math
def solveQuadratic(a,b,c):
    x = ((-1*b)+math.sqrt((b**2)-(4*a*c)))/(2*a)
    y = (-b-math.sqrt((b**2)-(4*a*c)))/(2*a)
    return x,y</t>
  </si>
  <si>
    <t xml:space="preserve">import math
def solveQuadratic(a,b,c):
    a=int(a)
    b=int(b)
    c=int(c)
    d=b**2-4*a*c
    y=d**(1/2)
    ans1=(-b+y)/(2*a)
    ans2=(-b-y)/(2*a)
    return (ans1,ans2)
</t>
  </si>
  <si>
    <t>def solveQuadratic(a,b,c):
    r1 = ((-b +(((b**2)-(4 * a * c)) ** (1/2))) / (a * 2))
    r2 = ((-b -(((b**2)-(4 * a * c)) ** (1/2))) / (a * 2))
    return r1,r2</t>
  </si>
  <si>
    <t xml:space="preserve">import math
def solveQuadratic(a,b,c):
    r1 = (-b + math.sqrt(b**2 - 4*a*c))/(2*a)
    r2 = (-b - math.sqrt(b**2 - 4*a*c))/(2*a)
    return r1,r2
    </t>
  </si>
  <si>
    <t>import math
def solveQuadratic(a,b,c):
    r1=(-b+math.sqrt((b**2)-(4*a*c)))/(2*a)
    r2=(-b-math.sqrt((b**2)-(4*a*c)))/(2*a)
    return r1,r2</t>
  </si>
  <si>
    <t>import math
def solveQuadratic(a,b,c):
    ans1 = (-b + math.sqrt(b**2 - 4*a*c))/(2*a)
    ans2 = (-b - math.sqrt(b**2 - 4*a*c))/(2*a)
    return ans1,ans2</t>
  </si>
  <si>
    <t xml:space="preserve">import math
def solveQuadratic(a,b,c):
    r1 = ((-1*int(b)) + (math.sqrt(int(b)**2 - (4*int(a)*int(c)))))/(2*int(a))
    r2 = ((-1*int(b)) - (math.sqrt(int(b)**2 - (4*int(a)*int(c)))))/(2*int(a))
    return r1,r2
</t>
  </si>
  <si>
    <t>import math
def solveQuadratic(a,b,c):
    s = math.sqrt(b ** 2 - (4 * a * c))
    x = (-b + s)/(2 * a)
    y = ((- b) - s)/(2 * a)
    return x,y</t>
  </si>
  <si>
    <t>import math
def solveQuadratic(a,b,c):
    pos= (-b+ math.sqrt((b**2) -4*a*c))/(2*a)
    neg= (-b- math.sqrt((b**2) -4*a*c))/(2*a)
    return pos,neg</t>
  </si>
  <si>
    <t xml:space="preserve">import math
def solveQuadratic(a, b, c): 
    x = (b ** 2) - (4 * a * c)
    if x &lt;= 0: 
        result = 0
    else: 
        x_1 = ((0 - b) + math.sqrt(x)) / (2 * a)
        x_2 = ((0 - b) - math.sqrt(x)) / (2 * a)
        result = (x_1, x_2)
    return result
    </t>
  </si>
  <si>
    <t xml:space="preserve">def solveQuadratic(a,b,c):
    r1 = (-b + (b**2 - 4*a*c)**0.5)/(2*a)
    r2 = (-b - (b**2 - 4*a*c)**0.5)/(2*a)
    return r1, r2
</t>
  </si>
  <si>
    <t>import math
def solveQuadratic(a,b,c):
    r1= (-b + math.sqrt(b**2 - 4*a*c))/(2 * a)
    r2= (-b - math.sqrt(b**2 - 4*a*c))/(2 * a)
    return r1,r2</t>
  </si>
  <si>
    <t>def solveQuadratic(a,b,c):
    r1 = ((-b)+((b**2)-(4*a*c))**0.5)/(2*a)
    r2 = ((-b)-((b**2)-(4*a*c))**0.5)/(2*a)
    return r1 , r2</t>
  </si>
  <si>
    <t>import math
def solveQuadratic(a,b,c):
    r1 = (-b+math.sqrt(b*b-4*a*c))/(2*a)
    r2 = (-b-math.sqrt(b*b-4*a*c))/(2*a)
    return r1, r2</t>
  </si>
  <si>
    <t>import math
def solveQuadratic(a, b, c):
    x = (-1 * b + math.sqrt((b ** 2) - (4 * a * c))) / (2 * a)
    y = (-1 * b - math.sqrt((b ** 2) - (4 * a * c))) / (2 * a)
    return x, y</t>
  </si>
  <si>
    <t xml:space="preserve">import math
def solveQuadratic(a, b ,c):
    r1 = ((math.sqrt(b ** 2 -4 * a * c))-b) / (2 * a)
    r2 = (0-(math.sqrt(b ** 2 -4 * a * c))-b) / (2 * a)
    return r1, r2
</t>
  </si>
  <si>
    <t>import math
def solveQuadratic(a,b,c):
    pos=(0-b+(math.sqrt(b*b-4*a*c)))/(2*a)
    neg=(0-b-(math.sqrt(b*b-4*a*c)))/(2*a)
    return (pos,neg)</t>
  </si>
  <si>
    <t>import math
def solveQuadratic(a,b,c):
    dis = b ** 2 - 4 * a * c
    r1 = (-b + math.sqrt(dis))/(2*a)
    r2 = (-b - math.sqrt(dis))/(2*a)
    return r1,r2</t>
  </si>
  <si>
    <t>import math
def solveQuadratic(a,b,c):
    r1 = (-b + math.sqrt((b**2) - (4*a*c)))/(2*a)
    r2 = (-b - math.sqrt((b**2) - (4*a*c)))/(2*a)
    return r1,r2</t>
  </si>
  <si>
    <t xml:space="preserve">import math
def solveQuadratic(a,b,c):
    r1=(-b+math.sqrt(b**2-4*a*c))/(2*a)
    r2=(-b-math.sqrt(b**2-4*a*c))/(2*a)
    return r1,r2
</t>
  </si>
  <si>
    <t>ans = 0
for n in range (1338):
    ans += n</t>
  </si>
  <si>
    <t xml:space="preserve">ans = 0
for i in range(1338):
    ans += i
# Your loop here
</t>
  </si>
  <si>
    <t xml:space="preserve">ans = 0
for count in range(1338):
    ans += count
# Your loop here
</t>
  </si>
  <si>
    <t xml:space="preserve">ans = 0
# Your loop here
for x in range(1, 1338):
    ans += x
</t>
  </si>
  <si>
    <t xml:space="preserve">ans = 0
for i in range(1,1338):
    ans+=i
</t>
  </si>
  <si>
    <t xml:space="preserve">ans = 0
for i in range(1,1338):
    ans = ans+i
# Your loop here
</t>
  </si>
  <si>
    <t>ans = 0
# Your loop here
for count in range(1,1338):
    ans=ans+count</t>
  </si>
  <si>
    <t xml:space="preserve">ans = 0
for count in range(1338):
    ans += count
# Your loop here
</t>
  </si>
  <si>
    <t>ans = 0
x=0
# Your loop here
for count in range(1337):
    x=x+1
    ans=ans+x</t>
  </si>
  <si>
    <t xml:space="preserve">ans = 0
for count in range(0,1337):
    ans=ans+count+1
# Your loop here
</t>
  </si>
  <si>
    <t>ans = 0
# Your loop here
for n in range(1338):
    ans+=n</t>
  </si>
  <si>
    <t>ans = 0
# Your loop here
for i in range(1337):
    ans += i +1</t>
  </si>
  <si>
    <t xml:space="preserve">ans = 0
for i in range(1,1338):
    ans = ans+i
# Your loop here
</t>
  </si>
  <si>
    <t xml:space="preserve">ans = 0
for i in range (1,1338):
    ans+=i
print(ans)
</t>
  </si>
  <si>
    <t xml:space="preserve">ans = 0
for num in range(1, 1338):
    ans = ans + num
</t>
  </si>
  <si>
    <t>ans = 0
for i in range(1338):
    ans+=i</t>
  </si>
  <si>
    <t>ans = 0
for i in range(1,1338):
    ans += i</t>
  </si>
  <si>
    <t xml:space="preserve">ans = 0
for i in range(1,1338):
    ans = ans + i
# ty for letting me type :) also 1337 is leet
</t>
  </si>
  <si>
    <t xml:space="preserve">ans = 0
for i in range(1,1338):
    ans += i
# Your loop here
</t>
  </si>
  <si>
    <t xml:space="preserve">ans = 0
for i in range(1,1338) :
    ans = ans + i
</t>
  </si>
  <si>
    <t xml:space="preserve">ans = 0
count = 0
for count in range(0,1338):
    ans += count
# Your loop here
</t>
  </si>
  <si>
    <t xml:space="preserve">ans = 0
x = 1
# Your loop here
for x in range(1,1338):
    ans += x
    x += 1
    </t>
  </si>
  <si>
    <t xml:space="preserve">ans = 0
number = 0
for number in range(1,1338):
    ans += number
    number += 1
</t>
  </si>
  <si>
    <t xml:space="preserve">x = 0
for count in range(1, 1338):
    x = x + count
    ans = x
</t>
  </si>
  <si>
    <t xml:space="preserve">ans = 0
for x in range(1,1338):
    ans += x
# Your loop here
</t>
  </si>
  <si>
    <t xml:space="preserve">ans = 0
for i in range(1,1338):
    ans += i
# Your loop here
</t>
  </si>
  <si>
    <t xml:space="preserve">ans = 0
for v in range(1, 1338, 1):
    ans = ans + v
</t>
  </si>
  <si>
    <t xml:space="preserve">ans = 0
for i in range(1,1338):
    ans+=i
</t>
  </si>
  <si>
    <t>ans = 0
# Your loop here
for i in range(1,1338):
    ans = ans + i</t>
  </si>
  <si>
    <t xml:space="preserve">ans = 0
i = 1
while i&lt;1338 :
    ans = ans + i
    i = i + 1
# Your loop here
</t>
  </si>
  <si>
    <t>ans = 0
for i in range(1,1338):
    ans+=i</t>
  </si>
  <si>
    <t xml:space="preserve">ans = 0
for i in range (1, 1338):
    ans += i
# Your loop here
</t>
  </si>
  <si>
    <t xml:space="preserve">ans = 0
for i in range(1,1338):
    ans += i
</t>
  </si>
  <si>
    <t>ans = 0
for i in range(1,1338):
    ans+=i</t>
  </si>
  <si>
    <t xml:space="preserve">ans = 0
s=0
for ans in range (1,1338):
    ans=ans+s
    s=ans
</t>
  </si>
  <si>
    <t xml:space="preserve">ans = 0
for a in range(1,1338):
    ans = ans + a
# Your loop here
</t>
  </si>
  <si>
    <t>ans = 0
for i in range(1338):
    ans += i</t>
  </si>
  <si>
    <t xml:space="preserve">ans = 0
for i in range(1,1337 + 1):
    ans = ans + i
    </t>
  </si>
  <si>
    <t xml:space="preserve">ans = 0
# Your loop here
for i in range(1,1338,1):
    ans+=i
</t>
  </si>
  <si>
    <t xml:space="preserve">ans = 0
for n in range(1, 1338):
    ans+=n
</t>
  </si>
  <si>
    <t xml:space="preserve">i = 1
sum = 0
for i in range (1, 1338,1):
    sum = sum + i
    i = i + 1
ans = sum
print(ans)
    </t>
  </si>
  <si>
    <t xml:space="preserve">ans = 0
i = 1
for i in range (1, 1338):
    ans = ans + i
    i = i + 1
print (ans)
# Your loop here
</t>
  </si>
  <si>
    <t xml:space="preserve">ans = 0
num=0
for num in range (1, 1338):
    ans+=num
    num+=1
# Your loop here
</t>
  </si>
  <si>
    <t>ans = 0
num = 1
for num in range(1338):
  ans = ans + num
  num = num + 1
  print(ans)
print(ans)</t>
  </si>
  <si>
    <t xml:space="preserve">i=1
ans=0
for i in range(1338):
    ans=ans+i
    i+=i
# Your loop here
</t>
  </si>
  <si>
    <t xml:space="preserve">ans = 894453
# Your loop here
</t>
  </si>
  <si>
    <t xml:space="preserve">ans = 0
for i in range(1338):
    ans=ans+i
    i=1+1
</t>
  </si>
  <si>
    <t xml:space="preserve">ans = 0
for i in range(1,1338):
    ans += i
    print(ans)
</t>
  </si>
  <si>
    <t xml:space="preserve">ans = 0
for i in range(1,1338):
    ans = ans + i
    </t>
  </si>
  <si>
    <t xml:space="preserve">ans = 0
for i in range(1338):
    ans = ans + i
# Your loop here
</t>
  </si>
  <si>
    <t xml:space="preserve">ans = 0
for i in range(1,1338):
    ans+=i
# Your loop here
</t>
  </si>
  <si>
    <t>ans = 0
for i in range(0,1338):
    ans = ans + i
print(ans)</t>
  </si>
  <si>
    <t xml:space="preserve">ans = 0
i = 1
for i in range(0,1337 + 1):
    ans = ans + i
    i = i + 1
# Your loop here
</t>
  </si>
  <si>
    <t>ans = 0
a = 0
# Your loop here
for counter in range(1337):
    a = a + 1
    ans = ans + a
print(ans)</t>
  </si>
  <si>
    <t xml:space="preserve">ans = 0
for i in range(1, 1338):
    ans += i
# Your loop here
</t>
  </si>
  <si>
    <t>sum=0
for i in range(1338):
    sum+=i
ans = sum</t>
  </si>
  <si>
    <t>ans = 0
x=0
for count in range(0,1338):
    count+=x
    x=count
ans=count</t>
  </si>
  <si>
    <t>ans = 0
# Your loop here
for count in range(1,1338):
    ans+=count</t>
  </si>
  <si>
    <t xml:space="preserve">ans=0
for count in range(1,1338):
    ans+=count
</t>
  </si>
  <si>
    <t xml:space="preserve">ans = 0
for count in range (1, 1338):
    ans += count
# Your loop here
</t>
  </si>
  <si>
    <t>ans = 0
# Your loop here
for count in range(1338):
    ans += count</t>
  </si>
  <si>
    <t xml:space="preserve">ans = 0
for i in range (1,1338):
    ans += i
# Your loop here
</t>
  </si>
  <si>
    <t xml:space="preserve">ans = 0
# Your loop here
for count in range(1,1338):
    ans=ans+count
</t>
  </si>
  <si>
    <t xml:space="preserve">ans = 0
for count in range(1,1338):
    ans=ans+count
# Your loop here
</t>
  </si>
  <si>
    <t xml:space="preserve">x=0
for count in range(1,1338):
    x=x+count
    ans=x
# Your loop here
</t>
  </si>
  <si>
    <t>ans = 0
for count in range(1,1337+1):
    ans += count</t>
  </si>
  <si>
    <t xml:space="preserve">ans = 0
for count in range(1,1338,1):
    ans = ans+count
# Your loop here
</t>
  </si>
  <si>
    <t xml:space="preserve">ans = 0
for x in range (1,1338):
    ans = ans + x
print(ans)
# Your loop here
</t>
  </si>
  <si>
    <t xml:space="preserve">ans = 0
for i in range(1,1338):
    ans = ans + i
# Your loop here
</t>
  </si>
  <si>
    <t xml:space="preserve">ans = 0
pot = 0
for i in range(1337):
    ans = ans + 1 + pot
    pot = pot+1
print(ans)
</t>
  </si>
  <si>
    <t xml:space="preserve">ans = 0
x = 0
y = 1
for y in range(1,1338,1):
    x+=1
    ans+=x
# Your loop here
</t>
  </si>
  <si>
    <t xml:space="preserve">ans = 0
for x in range(1,1338):
    ans = ans + x
# Your loop here
</t>
  </si>
  <si>
    <t xml:space="preserve">ans = 0
for i in range(1,1338):
    ans+=i
# Your loop here
</t>
  </si>
  <si>
    <t xml:space="preserve">ans = 0
for i in range(1,1337+1):
    ans+=i
# Your loop here
</t>
  </si>
  <si>
    <t xml:space="preserve">ans = 0
i = 1
# Your loop here
while i &lt;= 1337:
    ans += i
    i += 1
    print(ans)
    </t>
  </si>
  <si>
    <t xml:space="preserve">ans = 0
u=0
for ans in range(0,1337):
    ans+=1
    u+=ans
ans=u# Your loop here
</t>
  </si>
  <si>
    <t>ans = 0
# Your loop here
for i in range(1,1338):
    ans += i</t>
  </si>
  <si>
    <t>ans = 0
for n in range(1338):
    ans += n</t>
  </si>
  <si>
    <t xml:space="preserve">ans = 0
for x in range (1, 1338):
    ans = ans + x
    x = x + 1
# Your loop here
</t>
  </si>
  <si>
    <t>ans = 0
count= 0
# Your loop here
for i in range(1337):
    count=count+1
    ans=ans+count</t>
  </si>
  <si>
    <t>z = 1
while mystery(z) == True:
    z += 1
# Your loop here</t>
  </si>
  <si>
    <t>z = 1
# Your loop here
while(mystery(z)):
    z += 1</t>
  </si>
  <si>
    <t>z = 1
while mystery(z) == True:
    z += 1
# Your loop here</t>
  </si>
  <si>
    <t>z = 1
while mystery(z) == True:
    z += 1</t>
  </si>
  <si>
    <t>z = 1
while mystery(z)==True:
    z+=1
# Your loop here</t>
  </si>
  <si>
    <t>z = 1
while mystery(z)==True:
    z+=1
Z=z
# Your loop here</t>
  </si>
  <si>
    <t>z = 1
# Your loop here
while mystery(z) == True:
    z=z+1</t>
  </si>
  <si>
    <t>z = 1
while (mystery(z) == True):
    z += 1
# Your loop here</t>
  </si>
  <si>
    <t>z = 1
# Your loop here
while mystery(z)==True:
    z=z+1</t>
  </si>
  <si>
    <t>z = 1
# Your loop here
while mystery(z)==True:
    z+=1</t>
  </si>
  <si>
    <t>z = 1
# Your loop here
while mystery(z)==True:
    z+=1</t>
  </si>
  <si>
    <t>z = 1
while z &lt; 1001:
    if mystery(z):
        z += 1
    else:
        break
# Your loop here</t>
  </si>
  <si>
    <t xml:space="preserve">z = 0
while mystery(z)==True:
   z+=1
Z = z
   </t>
  </si>
  <si>
    <t>z = 1
while z &lt; 1000:
   if (mystery(z) == True):
        z+=1    
   else:
       print(z)
       break
# Your loop here</t>
  </si>
  <si>
    <t xml:space="preserve">z = 1
while mystery(z):
    z += 1
</t>
  </si>
  <si>
    <t>z = 1
while mystery(z)!=False:
    z+=1</t>
  </si>
  <si>
    <t>z = 1
while mystery(z) == True:
    z = z + 1
# Your loop here</t>
  </si>
  <si>
    <t>z = 1
while mystery(z) == True:
    z += 1
# Your loop here</t>
  </si>
  <si>
    <t>z = 1
while z &lt; 1000 :
    if mystery(z) == True:
        z = z+1
    else:
        break
# Your loop here</t>
  </si>
  <si>
    <t>z = 1
while mystery(z) == True:
    z +=1
# Your loop here</t>
  </si>
  <si>
    <t>z=1
ans = mystery(z)
while ans == True:
    z += 1
    ans = mystery(z)</t>
  </si>
  <si>
    <t>z = 1 
while mystery(z) == True:
    z = z + 1</t>
  </si>
  <si>
    <t>z = 1
while mystery(z) == True:
     z += 1
# Your loop here</t>
  </si>
  <si>
    <t>z = 1
while mystery(z):
    z += 1
# Your loop here</t>
  </si>
  <si>
    <t xml:space="preserve">z = 1
while mystery(z) == True:
    z = z + 1
    </t>
  </si>
  <si>
    <t>z = 1
while mystery(z) != False:
    z+=1</t>
  </si>
  <si>
    <t>z = 1
# Your loop here
while mystery(z) != False:
    z = z + 1</t>
  </si>
  <si>
    <t>z = 1 
while mystery(z) == True : 
    z += 1
# Your loop here</t>
  </si>
  <si>
    <t>z = 1
while mystery(z) == True:
    a = z + 1
    z += 1
Z = a
# Your loop here</t>
  </si>
  <si>
    <t xml:space="preserve">z = 1
while mystery(z) == True:
    ans = mystery(z)
    z = z + 1
</t>
  </si>
  <si>
    <t>z = 1
# Your loop here
while mystery(z) != False:
    z += 1</t>
  </si>
  <si>
    <t>z = 1
while mystery(z)==True:
    z+=1</t>
  </si>
  <si>
    <t>z = 1
while mystery(z)==True:
    z+=1</t>
  </si>
  <si>
    <t>z = 1
while mystery(z) != False:
    z = z + 1
# Your loop here</t>
  </si>
  <si>
    <t>z = 1
while mystery(z) == True:
    z = z+1
# Your loop here</t>
  </si>
  <si>
    <t xml:space="preserve">z = 0
x = True
while x != False:
    z = z + 1
    x = mystery(z)
mystery(z)
    </t>
  </si>
  <si>
    <t xml:space="preserve">z = 1
# Your loop here
while(mystery(z)==True):
    z+=1
</t>
  </si>
  <si>
    <t xml:space="preserve">z = 1
while mystery(z)==True:
    z+=1
</t>
  </si>
  <si>
    <t xml:space="preserve">z = 1
ans = mystery(z)
while ans == True:
    z += 1
    ans = mystery(z)
    </t>
  </si>
  <si>
    <t xml:space="preserve">import random
Z = random.randint(1, 1000)
z = 1
while mystery(z) == True:
    z = z + 1
   </t>
  </si>
  <si>
    <t xml:space="preserve">
z=1  
while mystery(z)==True:
    z+=1
# Your loop here</t>
  </si>
  <si>
    <t xml:space="preserve">z = 1
while z &lt;= 1000:
    result = mystery(z)
    if result == False:
        ans = z
        break
    else:
        z += 1
</t>
  </si>
  <si>
    <t>z=1
while z&gt;=1 and z&lt;=1000 and mystery(z)==True:
    z+=1</t>
  </si>
  <si>
    <t>x=0
while mystery(x) == True:
    x+=1
z = x
# Your loop here</t>
  </si>
  <si>
    <t>z = 1
while mystery(z)!=False:
    z=z+1
# Your loop here</t>
  </si>
  <si>
    <t>z = 1
# Your loop here
while mystery(z) == True:
    z += 1
    print(z)</t>
  </si>
  <si>
    <t>z = 1
while mystery(z) == True:
    z = z + 1
# Your loop here</t>
  </si>
  <si>
    <t>z = 1
while mystery(z):
    z+=1
# Your loop here</t>
  </si>
  <si>
    <t>z = 1
while mystery(z) == True:
    z = z + 1
# Your loop here</t>
  </si>
  <si>
    <t>z = 1
# Your loop here
while z &gt; 0:
    z += 1
    if False == mystery(z):
        break</t>
  </si>
  <si>
    <t>z = 1
# Your loop here
while z &lt;= 1000 and mystery(z) == True:
    z += 1</t>
  </si>
  <si>
    <t xml:space="preserve">i=0
while mystery(i)==True:
    i+=1
z = i
    </t>
  </si>
  <si>
    <t>z = 1
while mystery(z)==True and z&lt;=1000:
    z+=1</t>
  </si>
  <si>
    <t>z = 1
# Your loop here
while mystery(z) != False:
    z+=1</t>
  </si>
  <si>
    <t>z = 1
while mystery (z)==True:
    z+=1
# Your loop here</t>
  </si>
  <si>
    <t>z = 1
while mystery(z) == True:
    z+=1
# Your loop here</t>
  </si>
  <si>
    <t>z = 1
# Your loop here
while mystery(z):
    z += 1</t>
  </si>
  <si>
    <t>z = 1
# Your loop here
while mystery(z) == True:
    z += 1</t>
  </si>
  <si>
    <t>z = 1
while mystery(z)==True:
    z=z+1
# Your loop here</t>
  </si>
  <si>
    <t>z=1
while mystery(z)==True:
    z=z+1
# Your loop here</t>
  </si>
  <si>
    <t>z = 1
while mystery(z)==(1==1):
    z=z+1
print(z)
# Your loop here</t>
  </si>
  <si>
    <t>z = 1
for count in range(1,1001):
    if mystery(z) == False:
        break
    z += 1</t>
  </si>
  <si>
    <t xml:space="preserve">z = 1
while mystery(z) == True:
    z = z+1
</t>
  </si>
  <si>
    <t>z = 1
while mystery(z)==True:
    z=z+1
# Your loop here</t>
  </si>
  <si>
    <t xml:space="preserve">
z = 1
while mystery(z)==True:
    z += 1
# Your loop here</t>
  </si>
  <si>
    <t xml:space="preserve">z = 1
while mystery(z) == True:
    z += 1
print(z)
    </t>
  </si>
  <si>
    <t>z = 1
ans = 0
while mystery(z) == True:
    z+=1
    ans+=1
# Your loop here</t>
  </si>
  <si>
    <t>z = 1
while mystery(z) != False :
    mystery(z)
    z = z + 1
# Your loop here</t>
  </si>
  <si>
    <t>z = 1
while mystery(z) != False:
    z+=1
# Your loop here</t>
  </si>
  <si>
    <t>z = 1
while mystery(z)==True:
    z+=1
# Your loop here</t>
  </si>
  <si>
    <t xml:space="preserve">z = 1
while mystery(z):
    z +=1
</t>
  </si>
  <si>
    <t xml:space="preserve">z = 1
while mystery(z) == True:
    z+=1
Z=z    
</t>
  </si>
  <si>
    <t>z = 1
# Your loop here
while mystery(z):
    z += 1
    ans = z</t>
  </si>
  <si>
    <t>z = 1
while mystery(z) == True:
    z = z + 1
# Your loop here</t>
  </si>
  <si>
    <t>z = 1
ans=0
while mystery(z)==True:
    z+=1
    ans+=1</t>
  </si>
  <si>
    <t>length_of_list = 0
smallest_number = 0
greatest_number = 0
sum_of_numbers = 0
length_of_list += len(myList)
smallest_number += min(myList)
greatest_number += max(myList)
sum_of_numbers += sum(myList)</t>
  </si>
  <si>
    <t>length_of_list = len(myList)
smallest_number = min(myList)
greatest_number = max(myList)
sum_of_numbers = sum(myList)</t>
  </si>
  <si>
    <t>length_of_list =len(myList)
smallest_number =min(myList)
greatest_number =max(myList)
sum_of_numbers =sum(myList)</t>
  </si>
  <si>
    <t xml:space="preserve">length_of_list = len(myList)
smallest_number = min(myList)
greatest_number = max(myList)
sum_of_numbers = sum(myList)
</t>
  </si>
  <si>
    <t>length_of_list = len(myList)
smallest_number = min(myList)   
greatest_number = max(myList)
sum_of_numbers = sum(myList)</t>
  </si>
  <si>
    <t>length_of_list = 0
smallest_number = 0
greatest_number = 0
sum_of_numbers = 0
length_of_list = len(myList)
smallest_number = min(myList)
greatest_number = max(myList)
sum_of_numbers = sum(myList)</t>
  </si>
  <si>
    <t xml:space="preserve">length_of_list = len(myList)
smallest_number = min(myList)
greatest_number = max(myList)
sum_of_numbers = sum(myList)
</t>
  </si>
  <si>
    <t>length_of_list = (len(myList))
smallest_number = (min(myList))
greatest_number = (max(myList))
sum_of_numbers = (sum(myList))</t>
  </si>
  <si>
    <t xml:space="preserve">length_of_list =len(myList)
smallest_number = min(myList)
greatest_number = max(myList)
sum_of_numbers = sum(myList)
</t>
  </si>
  <si>
    <t xml:space="preserve">length_of_list = len(myList)   
smallest_number = min(myList)
greatest_number = max(myList)
sum_of_numbers = sum(myList)
</t>
  </si>
  <si>
    <t xml:space="preserve">
length_of_list = len(myList)
smallest_number = min(myList)
greatest_number = max(myList)
sum_of_numbers = sum(myList)
</t>
  </si>
  <si>
    <t>length_of_list = len(myList)
smallest_number =min(myList)
greatest_number = max(myList)
sum_of_numbers = sum(myList)</t>
  </si>
  <si>
    <t xml:space="preserve">import math
r = 5.5  
result = format(((3 * math.sqrt(3))/2) *  ((2*r* math.sin(math.pi/5))**2), ".2f")
print(result)
</t>
  </si>
  <si>
    <t xml:space="preserve"># r represent length from center of pentagon to vertex. Do not change the name. 
# You may change the value of r for testing purposes
r = 5.5  
import math
result = format(((3*math.sqrt(3))/2)*(2*r*math.sin(math.pi/5))**2, ".2f")
</t>
  </si>
  <si>
    <t xml:space="preserve"># r represent length from center of pentagon to vertex. Do not change the name. 
# You may change the value of r for testing purposes
import math
r = 5.5  
s = 2*r*math.sin(math.pi/5)
result = format(((3*math.sqrt(3))/2)*s**2,".2f")
print(result)
</t>
  </si>
  <si>
    <t># r represent length from center of pentagon to vertex. Do not change the name. 
# You may change the value of r for testing purposes
import math
r = 5.5  
s = 2 * r * math.sin(math.pi/5)
result = 3 * 3 **0.5 /2 * s * s 
result = "%.2f" % result
print(result)</t>
  </si>
  <si>
    <t># r represent length from center of pentagon to vertex. Do not change the name. 
# You may change the value of r for testing purposes
import math
r = 5.5  
s = 2 * r * math.sin(math.pi / 5)
result = format((3 * (3 ** 0.5) * s * s) / 2, ".2f")</t>
  </si>
  <si>
    <t xml:space="preserve">import math
r = 5.5  
s=2*r*math.sin(math.pi/5)
result=((3*math.sqrt(3))/2)*(s*s)
result=format(result,".2f")
</t>
  </si>
  <si>
    <t xml:space="preserve"># r represent length from center of pentagon to vertex. Do not change the name. 
# You may change the value of r for testing purposes 
import math
r = 5.5
s = 2*r*(math.sin((math.pi)/5))
result = format(((3*math.sqrt(3)/2)*s**2),".2f")
print(result)
</t>
  </si>
  <si>
    <t xml:space="preserve"># r represent length from center of pentagon to vertex. Do not change the name. 
# You may change the value of r for testing purposes
import math
r = 5.5  
result=format((3*math.sqrt(3))/2*(2*r*math.sin(math.pi/5))**2,".2f")
print(result)
</t>
  </si>
  <si>
    <t>import math
r = 5.5
s = (2 * r) * (math.sin(math.pi / 5))
area = ((3 * (math.sqrt(3))) / 2 ) * (s ** 2)
result = format(area, ".2f")
print (result)</t>
  </si>
  <si>
    <t># r represent length from center of pentagon to vertex. Do not change the name. 
# You may change the value of r for testing purposes
import math
r = 5.5  
s=2*r*math.sin(math.pi/5)
a=((3*(3**0.5)/2)*s*s)
result=format(a,".2f")</t>
  </si>
  <si>
    <t xml:space="preserve"># r represent length from center of pentagon to vertex. Do not change the name. 
# You may change the value of r for testing purposes
r = 5.5  
import math
s=2*r*math.sin(math.pi/5)
result=((3*math.sqrt(3))/2)*s**2
result=format(result,".2f")
print(result)
</t>
  </si>
  <si>
    <t># r represent length from center of pentagon to vertex. Do not change the name. 
# You may change the value of r for testing purposes
r = 5.5  
import math
s=2*r*math.sin(math.pi/5)
result=format((3*math.sqrt(3))/2*s**2,".2f")</t>
  </si>
  <si>
    <t># r represent length from center of pentagon to vertex. Do not change the name. 
# You may change the value of r for testing purposes
r = 5.5  
import math
s= 2 * r * math.sin( math.pi/5)
Area = ((3 * math.sqrt(3))/2)*s**2
result = format(Area, ".2f" )
print (result)</t>
  </si>
  <si>
    <t>import math
r = 5.5
result = format((((3**0.5)*3)/2)*((2*r*math.sin(math.pi/5))**2),".2f")
print(result)</t>
  </si>
  <si>
    <t># r represent length from center of pentagon to vertex. Do not change the name. 
# You may change the value of r for testing purposes
import math
r = 5.5  
s = (2 * r * math.sin(math.pi/5))
a = (((3 * math.sqrt(3))/2) * s** 2)
result = format(a, ".2f")
print(result)</t>
  </si>
  <si>
    <t># r represent length from center of pentagon to vertex. Do not change the name. 
# You may change the value of r for testing purposes
r = 5.5
import math
s = 2 * r * math.sin(math.pi/5)
area = (3 * math.sqrt(3))/2 * s **2
result = format(area,'.2f')</t>
  </si>
  <si>
    <t xml:space="preserve"># r represent length from center of pentagon to vertex. Do not change the name. 
# You may change the value of r for testing purposes
r = 5.5  
import math
s=2*r*(math.sin(math.pi/5))
result=(3*math.sqrt(3)*s*s)/2
result=format(result,".2f")
print (result)
</t>
  </si>
  <si>
    <t xml:space="preserve">import math
r = 5.5
result = format(((3 * math.sqrt(3)) / 2) * ((2 * r * math.sin(math.pi / 5))**2),'.2f')
print('The are of the pentagon is", result)
</t>
  </si>
  <si>
    <t xml:space="preserve">import math
r = 5.5
s =(math.sin(math.pi/5))* r * 2
area = (3 * (3 ** 0.5)* s ** 2)/2
result = format(area,".2f")
print(result)
</t>
  </si>
  <si>
    <t># r represent length from center of pentagon to vertex. Do not change the name. 
# You may change the value of r for testing purposes
r = 5.5  
import math
s = 2 * 5.5 * (math.sin(math.pi / 5))
area = (3 * math.sqrt(3)) / 2 * (s ** 2)
result = format(area, "6.2f")</t>
  </si>
  <si>
    <t xml:space="preserve">import math
r = 5.5
s = 2*r * math.sin(math.pi/5)
result =format(((3 * math.sqrt(3))/2)*(s**2),".2f")
</t>
  </si>
  <si>
    <t># r represent length from center of pentagon to vertex. Do not change the name. 
# You may change the value of r for testing purposes
import math
r = 5.5  
side = 2*r*(math.sin(math.pi/5))
result = (format(((3*math.sqrt(3))/2)*(side**2),".2f"))</t>
  </si>
  <si>
    <t>import math
r = 5.5
s = 2 * r * math.sin(math.pi/5)
area = (3 * math.sqrt(3))/2 * s *s
result = format(area,".2f")
print (result)</t>
  </si>
  <si>
    <t xml:space="preserve">r = 5.5
import math
side = (2 * r )*(math.sin(math.pi /5))
area = ((3 * math.sqrt(3))/2) * (side * side)
result = format(area, ".2f")
</t>
  </si>
  <si>
    <t xml:space="preserve"># r represent length from center of pentagon to vertex. Do not change the name. 
# You may change the value of r for testing purposes
r = 5.5
import math
s = 2 * r * (math.sin(math.pi / 5))
a = ((3 * 3 ** 0.5) / 2) * s ** 2
result = format(a, ".2f")
print(result)
</t>
  </si>
  <si>
    <t xml:space="preserve"># r represent length from center of pentagon to vertex. Do not change the name. 
# You may change the value of r for testing purposes
import math
r = 5.5
s = 2 * r * math.sin(math.pi / 5)
area = (( 3 * math.sqrt(3) )/2 ) * (s **2)
result = format(area , ".2f")
print("The area of the pentagon is " ,result)
</t>
  </si>
  <si>
    <t xml:space="preserve">import math
r = 5.5
s = 2 * r * math.sin(math.pi / 5)
area = ((3 * math.sqrt(3)) / 2) * (s ** 2)
result = format(area,".2f")
print (result)
</t>
  </si>
  <si>
    <t xml:space="preserve"># r represent length from center of pentagon to vertex. Do not change the name. 
# You may change the value of r for testing purposes
import math
r = 5.5
s = 2*r*math.sin(math.pi /5)
result = format(3**1.5 / 2 * s**2,".2f")
print(str(result))
</t>
  </si>
  <si>
    <t xml:space="preserve">import math
r = 5.5
s = 2*5.5*math.sin(math.pi/5)
y = (3*math.sqrt(3.0)/2)*s*s
result = format(y, ".5")
print (result)
</t>
  </si>
  <si>
    <t>import math
r = 5.5 
s= 2*r*(math.sin(math.pi/5))
result = ((s**2)*(3**1.5))/2
result = format(result,".2f")</t>
  </si>
  <si>
    <t xml:space="preserve"># r represent length from center of pentagon to vertex. Do not change the name. 
# You may change the value of r for testing purposes
import math
r = 5.5  
s = 2*r*math.sin(math.pi/5)
result = format(((3*math.sqrt(3))/2)*s**2,".2f")
</t>
  </si>
  <si>
    <t xml:space="preserve"># r represent length from center of pentagon to vertex. Do not change the name. 
# You may change the value of r for testing purposes
import math
r = 5.5  
s = 2*r* (math.sin(math.pi/5))
area=3*(math.sqrt(3))/2*(s**2)
result=format(area,'.2f')
</t>
  </si>
  <si>
    <t># r represent length from center of pentagon to vertex. Do not change the name. 
# You may change the value of r for testing purposes
r = 5.5  
import math
s=2*r*math.sin(math.pi/5)
result=format((3*(math.sqrt(3))/2)*s**2,".2f")</t>
  </si>
  <si>
    <t># r represent length from center of pentagon to vertex. Do not change the name. 
# You may change the value of r for testing purposes
r = 5.5  
import math
s = 2 * r * math.sin (math.pi / 5)
areatop = 3 * math.sqrt(3) * s * s
area = areatop / 2
result = format (area, ".2f")
answer = print(result)</t>
  </si>
  <si>
    <t xml:space="preserve">import math
r = 5.5
PI = math.pi
x = math.sin(PI/5)
s = (2 * r * x)
area = (3 * (math.sqrt(3))/2) * s * s
result = format(area,".2f")
print (result)
</t>
  </si>
  <si>
    <t>import math
r=5.5
s=2*r*math.sin(math.pi/5)
a=(3*math.sqrt(3))/2
result=format(a*s*s,".2f")</t>
  </si>
  <si>
    <t xml:space="preserve"># r represent length from center of pentagon to vertex. Do not change the name. 
# You may change the value of r for testing purposes
import math
r = 5.5  
s=2*r*math.sin(math.pi/5)
area=(3*math.sqrt(3)*s**2)/2
result=format(area,".2f")
answer=print(result)
</t>
  </si>
  <si>
    <t xml:space="preserve">import math
r = 5.5
s = 2*r*(math.sin(math.pi/5))
area = ((3*pow(3,0.5))/2)*pow(s,2)
result = (format(area,'.2f'))
print(result)
</t>
  </si>
  <si>
    <t># r represent length from center of pentagon to vertex. Do not change the name. 
# You may change the value of r for testing purposes
import math
r = 5.5  
s = 2 * r * math.sin(math.pi / 5)
area = 3 * math.sqrt(3) * s * s / 2
result = format(area, ".2f")
print (result)</t>
  </si>
  <si>
    <t># r represent length from center of pentagon to vertex. Do not change the name. 
# You may change the value of r for testing purposes
import math
r = 5.5
s = 2 * r * math.sin( math.pi / 5 )
result = ((3 * (3 **(1/2))) / 2) * (s **2)
result = format(result,".2f")
print (result)</t>
  </si>
  <si>
    <t># r represent length from center of pentagon to vertex. Do not change the name. 
# You may change the value of r for testing purposes
import math
r =  5.5
s = 2*r*(math.sin(math.pi/5))
area = ((3**(1.5))*(s**2))/2
result = (format(area, ".2f"))</t>
  </si>
  <si>
    <t xml:space="preserve">import math
r = 5.5
s = 2 * r * math.sin(math.pi / 5)
Area = ((3 * math.sqrt(3)) / 2) * s**2
result = format(Area, ".2f")
print(result)
</t>
  </si>
  <si>
    <t xml:space="preserve"># r represent length from center of pentagon to vertex. Do not change the name. 
# You may change the value of r for testing purposes
import math
r=5.5
s=2*r*math.sin(math.pi/5)
result=format(3*math.sqrt(3)/2*s**2,".2f")
</t>
  </si>
  <si>
    <t xml:space="preserve">import math
r = 5.5
s= 2*r *math.sin(math.pi/5)
area=3*math.sqrt(3)/2*s*s
result=format(area, ".2f")
print(result)
</t>
  </si>
  <si>
    <t># r represent length from center of pentagon to vertex. Do not change the name. 
# You may change the value of r for testing purposes
import math
r = 5.5
s = 2 * r * math.sin(math.pi / 5)
Area = ((3 * math.sqrt(3)) / 2) * (s ** 2)
result = format(Area, "5.2f")
print(result)</t>
  </si>
  <si>
    <t xml:space="preserve"># r represent length from center of pentagon to vertex. Do not change the name. 
# You may change the value of r for testing purposes
r = 5.5  
import math
s = 2 * r * math.sin(math.pi / 5)
result = format((3 * (3 ** (1 / 2)) * (s ** 2)) / 2, ".2f")
</t>
  </si>
  <si>
    <t># r represent length from center of pentagon to vertex. Do not change the name. 
# You may change the value of r for testing purposes
import math
r=5.5
s=2*r*math.sin(math.pi/5)
area=((3*math.sqrt(3))/2)*s**2
result=format(area,".2f")
answer=print(result)</t>
  </si>
  <si>
    <t>import math
r = 5.5
s = 2*r*(math.sin(math.pi/5))
x = ((3*math.sqrt(3))/2)
result = format(x*s*s, ".2f")</t>
  </si>
  <si>
    <t xml:space="preserve"># r represent length from center of pentagon to vertex. Do not change the name. 
# You may change the value of r for testing purposes
import math
r = 5.5  
s=2*r*math.sin(math.pi/5)
area=((3*math.sqrt(3))/2)*s**2
result=format(area,".2f")
print(result)
</t>
  </si>
  <si>
    <t xml:space="preserve">import math
r=5.5
s=2*r*math.sin(math.pi/5)
result=format(s*s*(3*(3**(1/2))/2), ".2f")
print(result)
</t>
  </si>
  <si>
    <t># r represent length from center of pentagon to vertex. Do not change the name. 
# You may change the value of r for testing purposes
r = 5.5  
import math
s=2*r*math.sin(math.pi/5)
Area=((3*math.sqrt(3))/2)*s*s
result=format(Area,".2f")
print(result)</t>
  </si>
  <si>
    <t xml:space="preserve"># r represent length from center of pentagon to vertex. Do not change the name. 
# You may change the value of r for testing purposes
r = 5.5  
import math
r = 5.5
side = 2 * r * math.sin(math.pi / 5)
area = (3 * pow(3, 0.5)) / 2
area2 = area * pow(side, 2)
result = str(format(area2, ".2f"))
print(result)
</t>
  </si>
  <si>
    <t xml:space="preserve">import math
r = 5.5
s = 2 * r * math.sin(math.pi / 5)
area = (3 * math.sqrt(3)) / 2 * s ** 2
result = format(area, ".2f")
print(result)
</t>
  </si>
  <si>
    <t>import math
r = 5.5  
s = 2 * r * math.sin(math.pi/5)
result = format(((3 * (3**0.5))/2) * s**2, ".2f")</t>
  </si>
  <si>
    <t xml:space="preserve"># r represent length from center of pentagon to vertex. Do not change the name. 
# You may change the value of r for testing purposes
import math
r = 5.5  
s=2*r*math.sin(math.pi/5)
result=format((((3*3**0.5)/2)*s**2), ".2f")
print(result)
</t>
  </si>
  <si>
    <t>import math
# r represent length from center of pentagon to vertex. Do not change the name. 
# You may change the value of r for testing purposes
r = 5.5
s = 2 * r * math.sin (math.pi / 5)
result = format(((3 * (3** 0.5)/2) * s * s), ".2f")</t>
  </si>
  <si>
    <t xml:space="preserve">import math
r = 5.5
s = 2*r*math.sin(math.pi/5)
result1 = ((3*math.sqrt(3))/2)*(s**2)
result = format(result1, ".2f")
print(result)
</t>
  </si>
  <si>
    <t>import math
# r represent length from center of pentagon to vertex. Do not change the name. 
# You may change the value of r for testing purposes
r = 5.5  
s = 2 * r * math.sin(math.pi/5)
result=format(((3*(3**0.5)/2)*s**2),".2f")</t>
  </si>
  <si>
    <t># r represent length from center of pentagon to vertex. Do not change the name. 
# You may change the value of r for testing purposes
import math
r = 5.5  
s = 2 * r * math.sin(math.pi / 5)
area = ((3 * math.sqrt(3)) / 2) * s * s
result = format(area, ".2f")
print(result)</t>
  </si>
  <si>
    <t>import math
r = 5.5
s = 2*r*(math.sin(math.pi/5))
result = (((3*(math.sqrt(3)))/2)*(s**2))
result = format(result, ".2f")</t>
  </si>
  <si>
    <t xml:space="preserve"># r represent length from center of pentagon to vertex. Do not change the name. 
# You may change the value of r for testing purposes
import math
r=5.5
s=2*r*(math.sin(math.pi/5))
result=format((3*math.sqrt(3)/2)*s*s,".2f")
print(result)
</t>
  </si>
  <si>
    <t># r represent length from center of pentagon to vertex. Do not change the name. 
# You may change the value of r for testing purposes
import math
r = 5.5  
result=format((((3*math.sqrt(3))/2)*((2*r*math.sin(math.pi/5))**2)),".2f")</t>
  </si>
  <si>
    <t># r represent length from center of pentagon to vertex. Do not change the name. 
# You may change the value of r for testing purposes
import math
r = 5.5  
s=2*r*math.sin((math.pi/5))
i=3* math.sqrt(3)
x=2
result=format((i/x*s**2),'.2f')
print('The area of the pentagon is",result)</t>
  </si>
  <si>
    <t># r represent length from center of pentagon to vertex. Do not change the name. 
# You may change the value of r for testing purposes
import math
r = 5.5
x = (3 * math.sqrt(3) / 2)
y = ((2 * r * math.sin(math.pi / 5)))
result = format(x * y * y , ".2f")</t>
  </si>
  <si>
    <t xml:space="preserve">import math
r= 5.5
s = 2 * r * math.sin(math.pi/5)
area = (3 * math.sqrt(3)/2)*s*s
result = format(area, ".2f")
</t>
  </si>
  <si>
    <t xml:space="preserve"># r represent length from center of pentagon to vertex. Do not change the name. 
# You may change the value of r for testing purposes
import math
r = 5.5  
side = 2*r*(math.sin(math.pi/5))
area = (3*math.sqrt(3))/2*side*side
result = format(area,".2f")
</t>
  </si>
  <si>
    <t># r represent length from center of pentagon to vertex. Do not change the name. 
# You may change the value of r for testing purposes
import math 
r = 5.5
s=2*r*math.sin(math.pi/5)
b=((3*math.sqrt(3))/2)*(s**2)
result=format(b,".2f")</t>
  </si>
  <si>
    <t># r represent length from center of pentagon to vertex. Do not change the name. 
# You may change the value of r for testing purposes 
import math
r=5.5
s=2*r*math.sin(math.pi/5)
result=format((((3*math.sqrt(3))/2)*s**2),".2f")
print(result)</t>
  </si>
  <si>
    <t># r represent length from center of pentagon to vertex. Do not change the name. 
# You may change the value of r for testing purposes
import math
r=5.5
s=2*r*(math.sin(math.pi/5))
result=format(((3*(3**(1/2))/2)*s**2),".2f")
print(result)</t>
  </si>
  <si>
    <t># r represent length from center of pentagon to vertex. Do not change the name. 
# You may change the value of r for testing purposes
import math
r = 5.5  
s= 2*r*(math.sin(math.pi/5))
result=format((((3*(3**0.5))/2)*s*s),".2f")
print(result)</t>
  </si>
  <si>
    <t># r represent length from center of pentagon to vertex. Do not change the name. 
# You may change the value of r for testing purposes
import math
r = 5.5  
s=(2*r)*math.sin(math.pi/5)
area=((3*(math.sqrt(3)))/2)*(s**2)
result=format(area,".2f")
print(result)</t>
  </si>
  <si>
    <t xml:space="preserve">import math
r = 5.5
s = ((2*r)*math.sin(math.pi/5))
result = ((3*math.sqrt(3))/2)*s*s
result = format(result,".2f")
print(result)
</t>
  </si>
  <si>
    <t># r represent length from center of pentagon to vertex. Do not change the name. 
# You may change the value of r for testing purposes
import math
r = 5.5  
s = 2*r*math.sin(math.pi/5)
result = format(((3*math.sqrt(3)/2)*s*s),".2f")</t>
  </si>
  <si>
    <t xml:space="preserve"># r represent length from center of pentagon to vertex. Do not change the name. 
# You may change the value of r for testing purposes
r = 5.5  
import math
side=2*5.5*math.sin(math.pi/5)
result=format(math.sqrt(3)*3*side**2/2,".2f")
print(result)
</t>
  </si>
  <si>
    <t xml:space="preserve"># r represent length from center of pentagon to vertex. Do not change the name. 
# You may change the value of r for testing purposes
import math
r = 5.5
s = 2*r*math.sin(math.pi/5)
result = format(((3*math.sqrt(3))/2)*s**2, ".2f")
</t>
  </si>
  <si>
    <t xml:space="preserve">import math
r = 5.5
s = 2*r*(math.sin(math.pi/5))
result = ((3*math.sqrt(3))/2)*(s**2)
result = format(result,".2f")
</t>
  </si>
  <si>
    <t xml:space="preserve"># r represent length from center of pentagon to vertex. Do not change the name. 
# You may change the value of r for testing purposes
import math
r = 5.5 
ans=(abs((3 * math.sqrt( 3 ) ) / 2 )*(2*r*math.sin((math.pi/5)))**2)
result=(format(ans,".2f"))
</t>
  </si>
  <si>
    <t xml:space="preserve"># r represent length from center of pentagon to vertex. Do not change the name. 
import math
r = 5.5  
result = (((3 * math.sqrt(3))/2) * (2 * r * math.sin(math.pi/5)) ** 2 )
result = format(result, ".2f")
print(result)
</t>
  </si>
  <si>
    <t xml:space="preserve">import math
r = 5.5
s = 2*r*math.sin(math.pi/5)
x =  (3*math.sqrt(3))/2*s**2
result = format  (x,".2f")
          </t>
  </si>
  <si>
    <t xml:space="preserve">import math
r = 5.5
s = ((2 * r * math.sin(math.pi / 5)))
x= (3 * math.sqrt (3)/2)
result = format(x * s * s, ".2f")
print(result)
</t>
  </si>
  <si>
    <t xml:space="preserve">import math
r = 5.5  
s = 2 * r *(math.sin(math.pi/5))
area = ((3 * math.sqrt(3)) /2) * (s**2)
result = format ( area , "0.2f")
</t>
  </si>
  <si>
    <t># r represent length from center of pentagon to vertex. Do not change the name. 
# You may change the value of r for testing purposes
import math
r= 5.5
s =2*r*math.sin(math.pi/5)
area=(3*math.sqrt(3)*s**2)/2
result=format(area, ".2f")
print(result)</t>
  </si>
  <si>
    <t xml:space="preserve">import math
# r represent length from center of pentagon to vertex. Do not change the name. 
# You may change the value of r for testing purposes
r = 5.5  
s = 2 * r * math.sin(math.pi / 5)
area = (3 * math.sqrt(3)) / 2 * s ** 2
result = format(area, ".2f")
</t>
  </si>
  <si>
    <t># r represent length from center of pentagon to vertex. Do not change the name. 
# You may change the value of r for testing purposes 
import math
r = 5.5
s = 2*r*(math.sin((math.pi)/5))
result = format(((3*math.sqrt(3)/2)*s**2),".2f")
print(result)</t>
  </si>
  <si>
    <t># r represent length from center of pentagon to vertex. Do not change the name. 
import math
r = 5.5  
s= 2*r*math.sin(math.pi/5)
result= format(((3*math.sqrt(3))/2)*s**2,".2f")</t>
  </si>
  <si>
    <t xml:space="preserve"># r represent length from center of pentagon to vertex. Do not change the name. 
# You may change the value of r for testing purposes
r = 5.5
import math
s= 2*r*(math.sin(math.pi/5))
result=format((((3*(3**0.5))/2)*(s**2)),".2f")
print ("The area of the pentagon is ",result,)
</t>
  </si>
  <si>
    <t># r represent length from center of pentagon to vertex. Do not change the name. 
# You may change the value of r for testing purposes
import math
r = 5.5
s = 2*r*math.sin(math.pi/5)
a = ((3*math.sqrt(3))/2)*s**2
result = format(a, ".2f")</t>
  </si>
  <si>
    <t>import math
r = 5.5  
s = 2 * r * math.sin(math.pi / 5)
area = ((3 * math.sqrt(3)) / 2) * s ** 2
result = format(area, ".2f")
print(result)</t>
  </si>
  <si>
    <t>import math
r= 5.5
s=2*r*math.sin(math.pi/5)
area = (3*math.sqrt(3))/2*s**2
result = format(area,".2f")</t>
  </si>
  <si>
    <t xml:space="preserve">import math
r = 5.5  
s = 2*r*math.sin(math.pi/5)
area = (3*math.sqrt(3))/2*s**2
result = format(area, ".2f")
print(result)
</t>
  </si>
  <si>
    <t xml:space="preserve"># r represent length from center of pentagon to vertex. Do not change the name. 
# You may change the value of r for testing purposes 
import math
r = 5.5
s = 2 * r * math.sin(math.pi/5)
a = (((3 * math.sqrt(3))/  2) * (s ** 2))
result = format(a, ".2f")
</t>
  </si>
  <si>
    <t># r represent length from center of pentagon to vertex. Do not change the name. 
# You may change the value of r for testing purposes
import math
r = 5.5  
result = "108.61"</t>
  </si>
  <si>
    <t>import math
r = 7
s=2*(r)*math.sin(math.pi/5)
area=0.5*math.sqrt(27)*s**2
result=format(area,".2f")
print(result)</t>
  </si>
  <si>
    <t xml:space="preserve">import math
n = 5
s = 6.5
result = format((n*s*s)/(4 * math.tan(math.pi/5)),".4f")
print(result)
</t>
  </si>
  <si>
    <t># n represent the number of sides and s represent the length of aide
# You may use the value of n and s for testing purpose. Do not prompt the user for inputs.
n = 5
s = 6.5
import math
from math import *
result = format((n*(s**2))/(4*(math.tan(math.pi/n))), ".4f")#fill in your code here after testing</t>
  </si>
  <si>
    <t># n represent the number of sides and s represent the length of aide
# You may the value of n and s for testing purpose
import math
n = 5
s = 6.5
result = format((n*s**2)/(4*math.tan(math.pi/5)), ".4f")
 #fill in your code here after testing</t>
  </si>
  <si>
    <t>import math
n = 5
s = 6.5
area = (n * s * s ) / (4 * math.tan(math.pi/n))
result = format(area, ".4f")</t>
  </si>
  <si>
    <t># n represent the number of sides and s represent the length of aide
# You may the value of n and s for testing purpose
import math
n = 5
s = 6.5
result=format((n * (s ** 2)) / (4 * math.tan(math.pi / n)), ".4f")#fill in your code here after testing</t>
  </si>
  <si>
    <t xml:space="preserve">import math
n=5
s=6.5
result=(n*(s*s))/(4*(math.tan((math.pi)/5)))
result=format(result,".4f")
</t>
  </si>
  <si>
    <t># n represent the number of sides and s represent the length of aide
# You may use the value of n and s for testing purpose. Do not prompt the user for inputs.
n = 5
s = 6.5
import math
x = (n*s**2)/(4*math.tan((math.pi)/5))
result = format(x, ".4f")
print(result)</t>
  </si>
  <si>
    <t># n represent the number of sides and s represent the length of aide
# You may the value of n and s for testing purpose
import math
n = 5
s = 6.5
result =format((n*s*s)/(4*math.tan(math.pi/5)),".4f")
print (result) #fill in your code here after testing</t>
  </si>
  <si>
    <t># n represent the number of sides and s represent the length of aide
# You may use the value of n and s for testing purpose. Do not prompt the user for inputs.
import math
n = 5
s = 6.5
result = (n * (s ** 2)) / (4 * (math.tan(math.pi / 5)))
result = format(result, ".4f")</t>
  </si>
  <si>
    <t># n represent the number of sides and s represent the length of aide
# You may use the value of n and s for testing purpose. Do not prompt the user for inputs.
n = 5
s = 6.5
import math
a=((n*(s**2))/(4*(math.tan((math.pi)/5))))
result=format(a,".4f")</t>
  </si>
  <si>
    <t># n represent the number of sides and s represent the length of aide
import math# You may the value of n and s for testing purpose
n = 5
s = 6.5
result=(n*s**2)/(4*math.tan(math.pi/5))
result=format(result,".4f")
print(result)
 #fill in your code here after testing</t>
  </si>
  <si>
    <t>import math
n=5
s=6.5
result = format((n*s**2)/(4*(math.tan(math.pi/5))),".4f")
print(result)</t>
  </si>
  <si>
    <t># n represent the number of sides and s represent the length of aide
# You may the value of n and s for testing purpose
n = 5
s = 6.5
import math
Area = (n * s ** 2)/(4 * math.tan(math.pi / 5))
result = format(Area, ".4f" )#fill in your code here after testing</t>
  </si>
  <si>
    <t xml:space="preserve">import math
n=5
s=6.5
result = format((n*s*s)/(4*math.tan(math.pi/5)),".4f")
print(result)
 </t>
  </si>
  <si>
    <t># n represent the numberhttp://coursemology.org/courses/320/assessments/6286/submissions/169808/edit?step=5#training-stop-pos of sides and s represent the length of aide
# You may use the value of n and s for testing purpose. Do not prompt the user for inputs.
import math
n = 5
s = 6.5
result1 =  (n * s ** 2) / (4 * math.tan(math.pi / 5))
result = format(result1, ".4f") 
print(result)
#fill in your code here after testing</t>
  </si>
  <si>
    <t># n represent the number of sides and s represent the length of a side
# You may the value of n and s for testing purpose
import math
n = 5
s = 6.5
area = (n * s**2)  /  (4 * math.tan(math.pi/5))
area = format(area, '.4f')
result = area #fill in your code here after testing :D</t>
  </si>
  <si>
    <t>import math
# n represent the number of sides and s represent the length of aide
# You may the value of n and s for testing purpose
n = 5
s = 6.5
result=(n*(s**2))/(4*(math.tan(math.pi/5)))
result=format(result,'.4f')
print (result)
#fill in your code here after testing</t>
  </si>
  <si>
    <t>import math
n = 5
s = 6.5
result = format((n * s**2) / (4 * math.tan(math.pi / 5)),'.4f')
print('The are of the polygon is", result)</t>
  </si>
  <si>
    <t xml:space="preserve"># n represent the number of sides and s represent the length of aide
# You may use the value of n and s for testing purpose. Do not prompt the user for inputs.
n = 5
s = 6.5
import math
result = format((n*s**2)/(4 * math.tan(math.pi/5)), ".4f")
</t>
  </si>
  <si>
    <t># n represent the number of sides and s represent the length of aide
# You may the value of n and s for testing purpose
n = 5
s = 6.5
import math
num = (5 * (6.5 ** 2)) / (4 * math.tan(math.pi / 5))
result = format(num, "7.4f")</t>
  </si>
  <si>
    <t>import math
n = 5
s = 6.5
result = format((n*(s**2))/(4*(math.tan(math.pi/5))),".4f")</t>
  </si>
  <si>
    <t xml:space="preserve">
import math
n = 5
s = 6.5
result = (format(((n*s**2)/(4 * math.tan(math.pi/5))),".4f"))</t>
  </si>
  <si>
    <t>import math
n = 5
s = 6.5
area = (n*s*s) / (4 *  math.tan(math.pi/5))
result = format(area,".4f")
print (result)</t>
  </si>
  <si>
    <t>n = 5
s = 6.5
import math
Tan = math.tan(math.pi /5)
area = (n * (s ** 2)) / (4 * Tan)
result = format(area, ".4f")
print(result)</t>
  </si>
  <si>
    <t xml:space="preserve">n = 5
s = 6.5
import math
a = (n * s ** 2) / (4 * math.tan(math.pi / 5))
result = format(a, ".4f")
print(result)
</t>
  </si>
  <si>
    <t xml:space="preserve"># n represent the number of sides and s represent the length of aide
# You may the value of n and s for testing purpose
#fill in your code here after testing
import math
n = 5
s = 6.5
a = n * ( s **2 )
b = 4 * math.tan(math.pi / 5)
c = a / b
result = format( c , ".4f" )
print( "The area of the polygon is " , result)
</t>
  </si>
  <si>
    <t xml:space="preserve">
import math
n = 5
s = 6.5
area = (n * s * s) / (4 * math.tan(math.pi / 5))
result = format(area,".4f")
print (result)
</t>
  </si>
  <si>
    <t># n represent the number of sides and s represent the length of aide
# You may the value of n and s for testing purpose
import math
n = 5
s = 6.5
result = format((n*s*s)/(4.0*math.tan(math.pi / 5.0)),".4f")
print(str(result))</t>
  </si>
  <si>
    <t xml:space="preserve">import math
n = 5
s = 6.5
result = n*(s**2)/(4*(math.tan((math.pi)/n)))
result = format(result ,".4f")
</t>
  </si>
  <si>
    <t xml:space="preserve"># n represent the number of sides and s represent the length of aide
# You may the value of n and s for testing purpose
import math
n = 5
s = 6.5
result = format((n*s**2)/(4*math.tan(math.pi/5)), ".4f")#fill in your code here after testing
print (result)
</t>
  </si>
  <si>
    <t># n represent the number of sides and s represent the length of aide
# You may use the value of n and s for testing purpose. Do not prompt the user for inputs.
n = 5
s = 6.5
import math
area1 = n*(s**2)
area2 =(math.tan(math.pi/5))*4
area = area1/area2
result = format(area,'.4f')#fill in your code here after testing</t>
  </si>
  <si>
    <t># n represent the number of sides and s represent the length of side
# You may use the value of n and s for testing purpose. Do not prompt the user for inputs.
import math
n = 5
s = 6.5
result=format((n*s**2)/(4*math.tan(math.pi/5)),".4f")</t>
  </si>
  <si>
    <t>import math
n = 5
s = 6.5
PI = math.pi
top = n * s * s
bottom = math.tan (PI / 5) * 4
alpha = top / bottom
result = format(alpha, ".4f")
answer = print(result)</t>
  </si>
  <si>
    <t xml:space="preserve">import math
n = 5
s = 6.5
PI = math.pi
x = math.tan(PI/5)
area = (n * s * s)/(4 * x)
result = format(area,".4f")
print (result)
</t>
  </si>
  <si>
    <t>import math
n = 5
s = 6.5
top=n*s*s
bottom=4*math.tan(math.pi/5)
a=top/bottom
result=format(a,".4f")</t>
  </si>
  <si>
    <t># n represent the number of sides and s represent the length of aide
# You may the value of n and s for testing purpose
import math
n = 5
s = 6.5
area=(n *( s**2))/(4*math.tan(math.pi/5))
result=format(area,".4f")
answer=print(result)</t>
  </si>
  <si>
    <t>import math
n = 5
s = 6.5
area = (n*pow(s,2))/(4*math.tan(math.pi/5))
result = format(area,'.4f')
print(result)</t>
  </si>
  <si>
    <t xml:space="preserve">import math
n = 5
s = 6.5
result1 = (n * s * s) / (4 * math.tan(math.pi / 5))
result = format(result1, ".4f")
print (result)
</t>
  </si>
  <si>
    <t xml:space="preserve">import math
n = 5
s = 6.5
result = ( n * s ** 2) /( 4 * math.tan(math.pi / 5))
result = (format(result,".4f"))
print (result)
</t>
  </si>
  <si>
    <t># n represent the number of sides and s represent the length of aide
# You may use the value of n and s for testing purpose. Do not prompt the user for inputs.
#fill in your code here after testing
import math
n = 5
s = 6.5
area = (n*(s**2))/(4*(math.tan(math.pi/5)))
result = (format(area, ".4f"))</t>
  </si>
  <si>
    <t xml:space="preserve">import math
n = 5
s = 6.5
area = (n * s**2) / (4 * math.tan (math.pi / 5))
result = format(area, ".4f")
print (result)
</t>
  </si>
  <si>
    <t># n represent the number of sides and s represent the length of side (typo found)
# You may input the value of n and s for testing purpose
import math
n=5
s=6.5
result=format((n*s*s)/(4*math.tan(math.pi/5)),".4f")
print("This is the area: ",result) #fill in your code here after testing</t>
  </si>
  <si>
    <t xml:space="preserve">import math
n = 5
s = 6.5
area = (n * s ** 2) / (4 * math.tan ( math.pi / 5) )
result = format (area,".4f")
</t>
  </si>
  <si>
    <t>n = 5
s = 6.5
import math
result = format((n * (s ** 2)) / (4 * math.tan(math.pi / 5)), ".4f")
print (result)</t>
  </si>
  <si>
    <t>import math
n=5
s=6.5
x=math.pi
area = (n * s**2)/(4*(math.tan(x/5)))
result = format (area, ".4f")
answer = print(result)</t>
  </si>
  <si>
    <t>import math
n = 5
s = 6.5
result = format((n*s*s)/(4*(math.tan(math.pi/5))), "6.4f")</t>
  </si>
  <si>
    <t># n represent the number of sides and s represent the length of aide
# You may use the value of n and s for testing purpose. Do not prompt the user for inputs.
import math
n = 5
s = 6.5
a = (n * s**2) / (4 * math.tan((math.pi/5)))
result=format(a,".4f")
print(result)#fill in your code here after testing</t>
  </si>
  <si>
    <t xml:space="preserve">import math
n=5
s=6.5
result=(n*s*s)/(4*math.tan(math.pi/5))
result=format(result, ".4f")
print(result)
</t>
  </si>
  <si>
    <t xml:space="preserve"># n represent the number of sides and s represent the length of aide
# You may the value of n and s for testing purpose
n = 5
s = 6.5
import math
area = (n*s*s)/(4*math.tan(math.pi/5))
result = (format(area, ".4f"))
print(result)
</t>
  </si>
  <si>
    <t># n represent the number of sides and s represent the length of aide
# You may the value of n and s for testing purpose
import math
n = 5
s = 6.5
Area = (n * pow(s,2)) / (math.tan(math.pi / 5) * 4)
result = str(format(Area, ".4f"))
print(result)</t>
  </si>
  <si>
    <t xml:space="preserve">import math
n = 5
s = 6.5
area = (n * s**2)/(4 * math.tan(math.pi/5))
result = format(area, ".4f")                
print(result)
</t>
  </si>
  <si>
    <t xml:space="preserve">import math
n = 5
s = 6.5
result = format((n * s**2) / (4 * math.tan(math.pi/5)), ".4f")
</t>
  </si>
  <si>
    <t>import math
n=5
s=6.5
result=format((n*s**2)/(4*(math.tan(math.pi/5))), ".4f")
print(result)</t>
  </si>
  <si>
    <t>import math
# n represent the number of sides and s represent the length of aide
# You may the value of n and s for testing purpose
n = 5
s = 6.5
result = format((n*(s**2))/(4*(math.tan(math.pi/n))),".4f")#fill in your code here after testing</t>
  </si>
  <si>
    <t xml:space="preserve">import math
n = 5
s = 6.5
result1 = ( n * (s ** 2))/( 4 * ( math.tan( math.pi / 5 )))
result = format(result1, ".4f")
</t>
  </si>
  <si>
    <t xml:space="preserve">import math
# n represent the number of sides and s represent the length of aide
# You may the value of n and s for testing purpose
n = 5
s = 6.5
result = format((n*(s**2))/(4*(math.tan(math.pi/n))), ".4f")
</t>
  </si>
  <si>
    <t># n represent the number of sides and s represent the length of aide
# You may the value of n and s for testing purpose
import math
n = 5
s = 6.5
result = (n * s * s) / (4 * math.tan(math.pi / 5))
result = format(result, ".4f")
print(result)</t>
  </si>
  <si>
    <t xml:space="preserve">import math
n = 5
s = 6.5
result = (n*(s**2))/(4*(math.tan(math.pi/5)))
result = format(result, ".4f")
</t>
  </si>
  <si>
    <t># n represent the number of sides and s represent the length of aide
# You may the value of n and s for testing purpose
import math
n=5
s=6.5
result=format((n*s*s)/(4*(math.tan(math.pi/5))),".4f")
print(result)</t>
  </si>
  <si>
    <t xml:space="preserve">import math
n=5
s=6.5
result=format((n*(s**2))/(4*(math.tan(math.pi/5))),".4f")
print (result)
</t>
  </si>
  <si>
    <t xml:space="preserve">import math
n = 5
s = 6.5
i=n *(s**2)
x=4*math.tan(math.pi/5)
result=format(i/x,'.4f')
print('The area of the polygon is",(result))
</t>
  </si>
  <si>
    <t># n represent the number of sides and s represent the length of aide
# You may the value of n and s for testing purpose
import math
n = 5
s = 6.5
result = format((n * s * s) /  (4 * math.tan(math.pi / 5)) , ".4f")#fill in your code here after testing</t>
  </si>
  <si>
    <t>import math
n = 5
s = 6.5
result = (n * (s**2) )/(4 *(math.tan(math.pi/5)))
result = format(result, ".4f")</t>
  </si>
  <si>
    <t xml:space="preserve"># n represent the number of sides and s represent the length of aide
# You may the value of n and s for testing purpose
import math
n = 5
s = 6.5
result = format((n*s*s)/(4*math.tan(math.pi/5)), ".4f")
</t>
  </si>
  <si>
    <t># n represent the number of sides and s represent the length of aide
# You may the value of n and s for testing purpose
import math
n = 5
s = 6.5
a=(n*(s**2))/(4*(math.tan(math.pi/5)))
result=format(a,".4f")
print(result)</t>
  </si>
  <si>
    <t xml:space="preserve"># n represent the number of sides and s represent the length of aide
# You may the value of n and s for testing purpose
import math
n=5
s=6.5
result=format((n*s**2)/(4*math.tan(math.pi/5)),".4f")
print(result) #fill in your code here after testing
</t>
  </si>
  <si>
    <t># n represent the number of sides and s represent the length of aide
# You may use the value of n and s for testing purpose. Do not prompt the user for inputs.
import math
n = 5
s = 6.5
result = format((n*s**2)/(4*math.tan(math.pi/5)),".4f")
print(result)#fill in your code here after testing</t>
  </si>
  <si>
    <t># n represent the number of sides and s represent the length of aide
# You may the value of n and s for testing purpose
import math
n = 5
s = 6.5
result = format(n*(s**2)/(4*(math.tan(math.pi/n))),".4f") #fill in your code here after testing
print(result)</t>
  </si>
  <si>
    <t># n represent the number of sides and s represent the length of aide
# You may use the value of n and s for testing purpose. Do not prompt the user for inputs.
import math
n = 5
s = 6.5
area= (n*(s**2))/(4*(math.tan(math.pi/5)))
result =(format(area,".4f"))#fill in your code here after testing
print(result)</t>
  </si>
  <si>
    <t>import math
n = 5
s = 6.5
result = (n * (s**2))/(4*math.tan(math.pi/5))
result = format(result,".4f")</t>
  </si>
  <si>
    <t># n represent the number of sides and s represent the length of aide
# You may the value of n and s for testing purpose
import math
n = 5
s = 6.5
result = format((n*s*s)/(math.tan(math.pi/5)*4),".4f")#fill in your code here after testing</t>
  </si>
  <si>
    <t># n represent the number of sides and s represent the length of aide
# You may the value of n and s for testing purpose
import math
n=5
s=6.5
result =format((5*6.5**2)/(4*math.tan(math.pi/5)),".4f")
print(result)
#fill in your code here after testing</t>
  </si>
  <si>
    <t xml:space="preserve">import math
n = 5
s = 6.5
result = format(n*(s**2)/(4*(math.tan(math.pi/n))), ".4f")
print(result)
</t>
  </si>
  <si>
    <t># n represent the number of sides and s represent the length of aide
# You may the value of n and s for testing purpose
n = 5
s = 6.5
import math
result=(n*s**2)/(4*math.tan(math.pi/5))
result=format(result,".4f")
print("The area of the polygon is",result)
 #fill in your code here after testing</t>
  </si>
  <si>
    <t xml:space="preserve">import math
n = 5
s = 6.5
Sum =((n*(s**2))/(4*(math.tan(math.pi/5))))
Final=(format(Sum,".4f"))
result=Final
</t>
  </si>
  <si>
    <t># n represent the number of sides and s represent the length of aide
import math# You may the valueimport math
n = 5
s = 6.5
result = (n * (s ** 2) ) / (4 * math.tan(math.pi / 5))
result = format(result,".4f")
print(result) 
#fill in your code here after testing</t>
  </si>
  <si>
    <t># n represent the number of sides and s represent the length of aide
# You may the value of n and s for testing purpose
import math
n = 5
s = 6.5
eqns = (s*n*s)/(4*math.tan(math.pi/5))
result= (format(eqns,".4f"))</t>
  </si>
  <si>
    <t>import math
n = 5
s = 6.5
result = format((n * (s ** 2)) / (4 * math.tan ( math.pi / n)), ".4f")
print(result)</t>
  </si>
  <si>
    <t xml:space="preserve">import math
n = 5
s = 6.5
ans=(n * s**2)/(4 * math.tan(math.pi/5))
result=format(ans,"0.4f")
</t>
  </si>
  <si>
    <t># n represent the number of sides and s represent the length of aide
# You may use the value of n and s for testing purpose. Do not prompt the user for inputs.
import math
n = 5
s = 6.5
area=(n*s**2)/(4*math.tan(math.pi/5))
result=format(area,".4f")
#fill in your code here after testing</t>
  </si>
  <si>
    <t># n represent the number of sides and s represent the length of aide
# You may use the value of n and s for testing purpose. Do not prompt the user for inputs.
import math
n = 5
s = 6.5
ans = (n * s ** 2) / (4 * math.tan(math.pi / n))
result = format(ans, ".4f")</t>
  </si>
  <si>
    <t xml:space="preserve"># n represent the number of sides and s represent the length of aide
# You may the value of n and s for testing purpose
n = 5
s = 6.5
import math
x = (n*s**2)/(4*math.tan((math.pi)/5))
result = format(x, ".4f")
print(result)
</t>
  </si>
  <si>
    <t xml:space="preserve">import math
n = 5
s = 6.5
result = format((n*s**2)/(4*math.tan(math.pi/5)),".4f")
</t>
  </si>
  <si>
    <t># n represent the number of sides and s represent the length of aide
# You may use the value of n and s for testing purpose. Do not prompt the user for inputs.
n = 5
s = 6.5
import math
result=format((n*(s**2))/(4*(math.tan(math.pi/5))),".4f")
print (result)
#fill in your code here after testing</t>
  </si>
  <si>
    <t># n represent the number of sides and s represent the length of aide
# You may the value of n and s for testing purpose
import math
n = 5
s = 6.5
a = (n*(s**2))/(4*(math.tan(math.pi/5)))
result = format(a, ".4f")</t>
  </si>
  <si>
    <t>import math
n = 5
s = 6.5
area = (n * s ** 2) / (4 * math.tan(math.pi / 5))
result = format(area, ".4f")
print(result)</t>
  </si>
  <si>
    <t>import math
# n represent the number of sides and s represent the length of aide
# You may the value of n and s for testing purpose
n = 5
s = 6.5
a = (n * s * s) / (4 * (math.tan)(math.pi / 5))
result = format (a, ".4f")
#fill in your code here after testing</t>
  </si>
  <si>
    <t>import math
n=5
s=6.5
almost= (n*s*s)/(4*math.tan(math.pi/5))
result =(format(almost,".4f"))</t>
  </si>
  <si>
    <t>import math
n = 5
s = 6.5
area = (n*s**2)/(4*(math.tan(math.pi/5)))
result = format (area,".4f")
print (result)</t>
  </si>
  <si>
    <t xml:space="preserve"># n represent the number of sides and s represent the length of aide
# You may the value of n and s for testing purpose
import math
n = 5
s = 6.5
area = (n * (s ** 2))/ (4 * math.tan(math.pi/5))
result = format(area, ".4f")
</t>
  </si>
  <si>
    <t># n represent the number of sides and s represent the length of aide
# You may use the value of n and s for testing purpose. Do not prompt the user for inputs.
import math
n = 5
s = 6.5
area = (n * s * s ) / (4 * math.tan(math.pi/n))
result = format(area, ".4f")</t>
  </si>
  <si>
    <t>import math
# n represent the number of sides and s represent the length of aide
# You may use the value of n and s for testing purpose. Do not prompt the user for inputs.
n = 5
s = 6.5
a=(n*s**2)/(4*math.tan(math.pi/5))
result = format(a,".4f")
print(result)</t>
  </si>
  <si>
    <t xml:space="preserve">import random
result = chr(random.randint(65,90))
print(result)
</t>
  </si>
  <si>
    <t xml:space="preserve">import random
result = chr(random.randint(65,90))
print(result)
</t>
  </si>
  <si>
    <t xml:space="preserve">import random
result=chr(random.randrange(65, 65+26+1))
print (result)
</t>
  </si>
  <si>
    <t>import random
result = chr(random.randint(65,90))
print(result)</t>
  </si>
  <si>
    <t xml:space="preserve">import random
result=chr(random.randint(65,90))
print(result)
</t>
  </si>
  <si>
    <t xml:space="preserve">import random
x = random.randint(65,90)
result = (chr(x))
</t>
  </si>
  <si>
    <t xml:space="preserve">import random
result=chr(random.randint(65, 90))
print(result)
</t>
  </si>
  <si>
    <t xml:space="preserve">import random
result = chr(random.randint(65,90))
</t>
  </si>
  <si>
    <t>import random
result=chr(random.randint(65,90))
print(result)</t>
  </si>
  <si>
    <t xml:space="preserve">import random
x=random.randint(65,90)
result=chr(x)
print(result)
</t>
  </si>
  <si>
    <t xml:space="preserve">import random
result=chr(random.randint(65,90))
</t>
  </si>
  <si>
    <t>import random
no = random.randint(65,90)
result = (chr(no))</t>
  </si>
  <si>
    <t xml:space="preserve">import random
x =random.randint(65,90)
result = chr(x)
print(result)
</t>
  </si>
  <si>
    <t>import random
x = (random.randint(65,90))
result = chr(x)
print(result)</t>
  </si>
  <si>
    <t>import random
number = random.randint(65,90)
result = chr(number)</t>
  </si>
  <si>
    <t>import random
number=random.randint(65,90)
result=chr(number)
print (result)</t>
  </si>
  <si>
    <t xml:space="preserve">import random
result = chr(random.randint(65, 90))
</t>
  </si>
  <si>
    <t>import random
integer = random.randint(65,90)
result = chr(integer)
print(result)</t>
  </si>
  <si>
    <t xml:space="preserve">import random
num = random.randint(65,90)
result = chr(num)
</t>
  </si>
  <si>
    <t>import string
import random
result = (random.choice(string.ascii_uppercase))</t>
  </si>
  <si>
    <t>import random
result = chr(random.randint(65,90))</t>
  </si>
  <si>
    <t>import random
result = chr(random.randint(65,90))
print(chr(random.randint(65,90)))</t>
  </si>
  <si>
    <t>import random
letter = random.randint(65, 90)
result = chr(letter)</t>
  </si>
  <si>
    <t>import random
num1 = random.randint(65, 90)
num2 = chr(num1)
result = num2
print(result)</t>
  </si>
  <si>
    <t xml:space="preserve">from random import randint
integer = randint(65,90)
alpha = chr(integer)
result = alpha
print (result)
</t>
  </si>
  <si>
    <t>import random
letters = 'A B C D E F G H I J K L M N O P Q R S T U V W X Y Z'.split()
result = random.choice(letters)
print(result)</t>
  </si>
  <si>
    <t>import random
result = chr(random.randint(65, 90))</t>
  </si>
  <si>
    <t>import random
char1 = int(random.randint(1,26))
result = chr(char1+64)</t>
  </si>
  <si>
    <t xml:space="preserve">import random
import math
number = random.randint ( 65,90)
result = chr(number)
print (result)
</t>
  </si>
  <si>
    <t xml:space="preserve">import random
number=random.randint(65,90)
result=chr(number)
</t>
  </si>
  <si>
    <t>import random
result = (chr(random.randint(65,90)))
print(result)</t>
  </si>
  <si>
    <t>import random
alpha = random.randint(65, 90)
result = chr (alpha)
ans = result</t>
  </si>
  <si>
    <t xml:space="preserve">import random
asciival = random.randint(65,90)
result = chr(asciival)
print (result)
</t>
  </si>
  <si>
    <t>import random
letter = random.randint(65,90)
result = (chr(letter))
print(result)</t>
  </si>
  <si>
    <t xml:space="preserve">import random
a=random.randint(65,90)
result=chr(a)
print(result)
</t>
  </si>
  <si>
    <t xml:space="preserve">import random
acsi = random.randint (65,90)
result = chr(acsi)
print(result)
</t>
  </si>
  <si>
    <t>import random
x = random.randint(65,90)
result = chr(x)
print (result)</t>
  </si>
  <si>
    <t>import random
result = chr(random.randint(65,90))
print (result)</t>
  </si>
  <si>
    <t>import random
result = chr(random.randint(65, 90))
print (result)</t>
  </si>
  <si>
    <t xml:space="preserve">import random
no = random.randint(65, 90)
result = chr(no)
</t>
  </si>
  <si>
    <t>import random
random_number=random.randint(65,90)
result=chr(random_number)</t>
  </si>
  <si>
    <t xml:space="preserve">import random
uppercase=random.randint(65, 90)
result=chr(uppercase)
print(result)
</t>
  </si>
  <si>
    <t>import random
import string
result = (random.choice(string.ascii_uppercase))
print( result )</t>
  </si>
  <si>
    <t>import random
a = random.randint(65, 90)
result = chr(a)
print (result)</t>
  </si>
  <si>
    <t>import random
result=chr(random.randint(65,80))</t>
  </si>
  <si>
    <t>import random
import string    
result = random.choice(string.ascii_uppercase)</t>
  </si>
  <si>
    <t>import random
values="ABCDEFGHIJKLMNOPQRSTUVWXYZ"
result=random.choice(values)
print(result)</t>
  </si>
  <si>
    <t xml:space="preserve">import random
result=chr(random.randint(65, 90))
print(result)
</t>
  </si>
  <si>
    <t xml:space="preserve">import random
acsii = random.randint(65,90)
result = chr(acsii)
print(result)
</t>
  </si>
  <si>
    <t>import random
num1 = random.randint (65, 90)
result = chr(num1)
print(result)</t>
  </si>
  <si>
    <t xml:space="preserve">import random
number = random.randint(65,90)
result = chr(number)
print(result)
</t>
  </si>
  <si>
    <t>import random
x=random.randint(65,90)
result=chr(x)
print(result)</t>
  </si>
  <si>
    <t>import random
x = (random.randint(65,90))
result = chr(x)</t>
  </si>
  <si>
    <t xml:space="preserve">import random
before = random.randint(65,90)
result = chr(before)
print(result)
</t>
  </si>
  <si>
    <t>import random
value = random.randint(65,90)
result = chr(value)
print(result)</t>
  </si>
  <si>
    <t>import random
result = chr((random.randint(65, 90)))
print(result)</t>
  </si>
  <si>
    <t>import string
string.letters='ABCDEFGHIJKLMNOPQRSTUVWXYZ'
import random
result=random.choice(string.letters)
print(result)</t>
  </si>
  <si>
    <t xml:space="preserve">import random
result =chr(random.randint(65,90))
print (result)
</t>
  </si>
  <si>
    <t>import random
result=chr(random.randrange(65, 65 + 26 + 1))
print(result)</t>
  </si>
  <si>
    <t>import random
x = random.randint(65,80)
result = chr(x)
print (result)</t>
  </si>
  <si>
    <t xml:space="preserve">import random
e = random.randint(65,90)
result = chr(e)
</t>
  </si>
  <si>
    <t xml:space="preserve">import random
randomno = random.randint(65,90)
result = chr(randomno)
</t>
  </si>
  <si>
    <t xml:space="preserve">import random
n=random.randint(65,90)
result=chr(n)
print(result)
</t>
  </si>
  <si>
    <t>import random
number=random.randint(65,90)
result=(chr(number))
print(result)</t>
  </si>
  <si>
    <t>import random
x=random.randint(65,91)
result=chr(x)
print (result)</t>
  </si>
  <si>
    <t xml:space="preserve">import random
a = random.randint(65,90)
result = chr(a)
print(result)
</t>
  </si>
  <si>
    <t xml:space="preserve">import random
x=random.randrange(65,91)
result=chr(x)
print(result)
</t>
  </si>
  <si>
    <t xml:space="preserve">import random
x = random.randint(65,90)
result = chr(x)
print(result)
</t>
  </si>
  <si>
    <t xml:space="preserve">import random
rand=random.randint(65,90)
result=chr(rand)
print(result)
</t>
  </si>
  <si>
    <t>import random
number=random.randint(65,90)
result=(chr(number))</t>
  </si>
  <si>
    <t>import random
number =random.randint(65,90)
result = (chr(number))
print(result)</t>
  </si>
  <si>
    <t>import random
x = random.randint(65,90)
result = chr(x)
print(result)</t>
  </si>
  <si>
    <t>import random
character = random.randint(65,90)
result = chr(character)</t>
  </si>
  <si>
    <t>import random
result = chr(random.randint(65, 99))
print(result)</t>
  </si>
  <si>
    <t>import random
a= random.randint(65,90)
result= chr(a)</t>
  </si>
  <si>
    <t xml:space="preserve">import random
result = (chr(random.randint( 65, 90)))
print (result)
              </t>
  </si>
  <si>
    <t>import random
asciiint = random.randint(65, 90)
result = chr(asciiint)
print(result)</t>
  </si>
  <si>
    <t>import random
x = random.randint (65, 90)
result=chr(x)
print (result)</t>
  </si>
  <si>
    <t>import random
Letter=random.randint(0,25)
almost=Letter+ 65
result=(chr(almost))
print(result)</t>
  </si>
  <si>
    <t>import random
x=(random.randint(65,90))
result=(chr(x))
print(result)</t>
  </si>
  <si>
    <t xml:space="preserve">import random
num = random.randint(65,90)
result = chr(num)
</t>
  </si>
  <si>
    <t xml:space="preserve">import random
n=random.randint(65,90)
result = chr(int(n))
print(result)
</t>
  </si>
  <si>
    <t xml:space="preserve">import random
result1 = chr(random.randint(97,122))
result2 = chr(random.randint(97,122))
result3 = chr(random.randint(97,122))
result4 = chr(random.randint(97,122))
result5 = chr(random.randint(97,122))
result =(str(result1) + str(result2) + str(result3) + str(result4) + str(result5))
print(result)
</t>
  </si>
  <si>
    <t>import random
result = ""
for i in range(5):
    result += chr(random.randint(ord('a'), ord('z')))</t>
  </si>
  <si>
    <t xml:space="preserve">import random
result = ''
for count in range(5):
    add = chr(random.randint(97,122))
    result = result + add
print(result)
</t>
  </si>
  <si>
    <t xml:space="preserve">import random
result1=chr(random.randrange(97,121))
result2=chr(random.randrange(97,121))
result3=chr(random.randrange(97,121))
result4=chr(random.randrange(97,121))
result5=chr(random.randrange(97,121))
result = result1 + result2 + result3 + result4 + result5
print (result)
</t>
  </si>
  <si>
    <t>import random
a = random.randint(97,122)
b = random.randint(97,122)
c = random.randint(97,122)
d = random.randint(97,122)
e = random.randint(97,122)
ap = chr(a)
bp = chr(b)
cp = chr(c)
dp = chr(d)
ep = chr(e)
result = ap + bp + cp + dp + ep
print(result)</t>
  </si>
  <si>
    <t>import random
a =(chr(random.randint(97,122)))
b =(chr(random.randint(97,122)))
c =(chr(random.randint(97,122)))
d =(chr(random.randint(97,122)))
e =(chr(random.randint(97,122)))
result=a+b+c+d+e
print(str(result))</t>
  </si>
  <si>
    <t xml:space="preserve">import random
a = random.randint(97,122)
ta=(chr(a))
b = random.randint(97,122)
tb=(chr(b))
c = random.randint(97,122)
tc=(chr(c))
d = random.randint(97,122)
td=(chr(d))
e = random.randint(97,122)
te=(chr(e))
result = ta + tb + tc + td + te
print(result)
</t>
  </si>
  <si>
    <t>import random
result1=chr(random.randint(97,122))
result2=chr(random.randint(97,122))
result3=chr(random.randint(97,122))
result4=chr(random.randint(97,122))
result5=chr(random.randint(97,122))
result=(result1+result2+result3+result4+result5)
print(result)</t>
  </si>
  <si>
    <t>import random
result = ""
for count in range(5):
    result += str(chr(random.randint(97,122)))</t>
  </si>
  <si>
    <t>import random
a=chr(random.randint(97,122))
b=chr(random.randint(97,122))
c=chr(random.randint(97,122))
d=chr(random.randint(97,122))
e=chr(random.randint(97,122))
result=a+b+c+d+e
print(result)</t>
  </si>
  <si>
    <t xml:space="preserve">import random
a=random.randint(97,122)
b=random.randint(97,122)
c=random.randint(97,122)
d=random.randint(97,122)
e=random.randint(97,122)
result1=chr(a)
result2=chr(b)
result3=chr(c)
result4=chr(d)
result5=chr(e)
result=result1+result2+result3+result4+result5
print(result)
</t>
  </si>
  <si>
    <t xml:space="preserve">import random
a=chr(random.randint(97,122))
b=chr(random.randint(97,122))
c=chr(random.randint(97,122))
d=chr(random.randint(97,122))
e=chr(random.randint(97,122))
result=a+b+c+d+e
print(result)
</t>
  </si>
  <si>
    <t>import random
no = (chr(random.randint(97,122)))
no1 = (chr(random.randint(97,122)))
no2 = (chr(random.randint(97,122)))
no3 = (chr(random.randint(97,122)))
no4 = (chr(random.randint(97,122)))
result = str(no+no1+no2+no3+no4)</t>
  </si>
  <si>
    <t xml:space="preserve">import random
x1 = chr(random.randint(97,122))
x2 = chr(random.randint(97,122))
x3 = chr(random.randint(97,122))
x4 = chr(random.randint(97,122))
x5 = chr(random.randint(97,122))
result = str(x1)+str(x2)+str(x3)+str(x4)+str(x5)
print(result)
</t>
  </si>
  <si>
    <t xml:space="preserve">import random
x = (random.randint(97,122))
y = chr(x)
x1 = (random.randint(97,122))
y1 = chr(x1)
x2 = (random.randint(97,122))
y2 = chr(x2)
x3 = (random.randint(97,122))
y3 = chr(x3)
x4 = (random.randint(97,122))
y4 = chr(x4)
result = (str(y)+str(y1)+str(y2)+str(y3)+str(y4))
print(result)
</t>
  </si>
  <si>
    <t>import random
one = chr(random.randint(97,122))
two = chr(random.randint(97,122))
three = chr(random.randint(97,122))
four = chr(random.randint(97,122))
five = chr(random.randint(97,122))
result = one + two + three + four + five
print(result)</t>
  </si>
  <si>
    <t xml:space="preserve">import random
number1=random.randint(97,122)
result1=chr(number1)
number2=random.randint(97,122)
result2=chr(number2)
number3=random.randint(97,122)
result3=chr(number3)
number4=random.randint(97,122)
result4=chr(number4)
number5=random.randint(97,122)
result5=chr(number5)
result=result1+result2+result3+result4+result5
print (result)
</t>
  </si>
  <si>
    <t xml:space="preserve">import random
result = chr(random.randint(97, 122)) + chr(random.randint(97, 122)) + chr(random.randint(97, 122)) + chr(random.randint(97, 122)) + chr(random.randint(97, 122))
print(result)
</t>
  </si>
  <si>
    <t>import random
a = random.randint(97,122)
b = random.randint(97,122)
c = random.randint(97,122)
d = random.randint(97,122)
e = random.randint(97,122)
ap = chr(a)
bp = chr(b)
cp = chr(c)
dp = chr(d)
ep = chr(e)
result = ap+bp+cp+dp+ep
print (result)</t>
  </si>
  <si>
    <t xml:space="preserve">import random
let1 = random.randint(97,122)
let2 = random.randint(97,122)
let3 = random.randint(97,122)
let4 = random.randint(97,122)
let5 = random.randint(97,122)
result = chr(let1) + chr(let2) + chr(let3) + chr(let4) + chr(let5)
</t>
  </si>
  <si>
    <t xml:space="preserve">import string
import random
a = random.choice(string.ascii_lowercase)
b = random.choice(string.ascii_lowercase)
c = random.choice(string.ascii_lowercase)
d = random.choice(string.ascii_lowercase)
e = random.choice(string.ascii_lowercase)
result  = a+b+c+d+e
</t>
  </si>
  <si>
    <t xml:space="preserve">import random
rangenchr1 = chr(random.randint(97,122))
rangenchr2 = chr(random.randint(97,122))
rangenchr3 = chr(random.randint(97,122))
rangenchr4 = chr(random.randint(97,122))
rangenchr5 = chr(random.randint(97,122))
result = str(rangenchr1+rangenchr2+rangenchr3+rangenchr4+rangenchr5)
</t>
  </si>
  <si>
    <t>import random
a =chr(random.randint(97,122))
b =chr(random.randint(97,122))
c =chr(random.randint(97,122))
d =chr(random.randint(97,122))
e =chr(random.randint(97,122))
result = a + b + c + d + e
answer=print(result)</t>
  </si>
  <si>
    <t xml:space="preserve">import random
letter1 = random.randint(97, 122)
letter2 = random.randint(97, 122)
letter3 = random.randint(97, 122)
letter4 = random.randint(97, 122)
letter5 = random.randint(97, 122)
a = chr(letter1)
b = chr(letter2)
c = chr(letter3)
d = chr(letter4)
e = chr(letter5)
result =  a + b + c + d + e
print(result)
</t>
  </si>
  <si>
    <t>import random
random.randint (97, 122)
num1 = random.randint (97, 122)
num2 = random.randint (97, 122)
num3 = random.randint (97, 122)
num4 = random.randint (97, 122)
num5 = random.randint (97, 122)
num6 = chr(num1)
num7 = chr(num2)
num8 = chr(num3)
num9 = chr(num4)
num10 = chr(num5)
result = str(num6) + str(num7) + str(num8) + str(num9) + str(num10)
print(result)</t>
  </si>
  <si>
    <t xml:space="preserve">import random
one = chr(random.randint(97,122))
two = chr(random.randint(97,122))
three = chr(random.randint(97,122))
four = chr(random.randint(97,122))
five = chr(random.randint(97,122))
result = str(one) + str(two) + str(three) + str(four) + str(five)
print(result)
</t>
  </si>
  <si>
    <t xml:space="preserve">from random import randint
def gen():
    integer = randint(65,90)
    alpha = chr(integer)
    return alpha
a = gen().lower()
b = gen().lower()
c = gen().lower()
d = gen().lower()
e = gen().lower()
result = a + b + c + d + e
print (result)
</t>
  </si>
  <si>
    <t>import random
letters = 'A B C D E F G H I J K L M N O P Q R S T U V W X Y Z'.lower().split()
result = ""
for i in range(5):
    result += random.choice(letters)
print(result)</t>
  </si>
  <si>
    <t>import random
a = chr(random.randint(97, 122))
b = chr(random.randint(97, 122))
c = chr(random.randint(97, 122))
d = chr(random.randint(97, 122))
e = chr(random.randint(97, 122))
result = a + b + c + d + e</t>
  </si>
  <si>
    <t>import random
result = str(chr(random.randint(1,26)+96))+str(chr(random.randint(1,26)+96))+str(chr(random.randint(1,26)+96))+str(chr(random.randint(1,26)+96))+str(chr(random.randint(1,26)+96))</t>
  </si>
  <si>
    <t xml:space="preserve">import random
import math
number1 = random.randint(97,122)
number2 = random.randint(97,122)
number3 = random.randint(97,122)
number4 = random.randint(97,122)
number5 = random.randint(97,122)
result = chr(number1)+chr(number2)+chr(number3)+chr(number4)+chr(number5)
print (result)
</t>
  </si>
  <si>
    <t xml:space="preserve">import random
number=random.randint(97,122)
numbera=random.randint(97,122)
numberc=random.randint(97,122)
numberd=random.randint(97,122)
numberi=random.randint(97,122)
x=chr(number)
y=chr(numbera)
f=chr(numberc)
i=chr(numberd)
a=chr(numberi)
result='x'+'y'+'f'+'i'+'a'
print(result)
</t>
  </si>
  <si>
    <t>import random
z = (chr(random.randint(97,122)))
x = (chr(random.randint(97,122)))
c = (chr(random.randint(97,122)))
v = (chr(random.randint(97,122)))
b = (chr(random.randint(97,122)))
result = z + x + c + v + b 
answer = print(result)</t>
  </si>
  <si>
    <t>import random
num1 = random.randint (97, 122)
num2 = random.randint (97, 122)
num3 = random.randint (97, 122)
num4 = random.randint (97, 122)
num5 = random.randint (97, 122)
result = (chr(num1) + chr(num2) + chr(num3) + chr(num4) + chr(num5))
ans = print (result)</t>
  </si>
  <si>
    <t>import random
asciival1 = random.randint(97,122)
asciival2 = random.randint(97,122)
asciival3 = random.randint(97,122)
asciival4 = random.randint(97,122)
asciival5 = random.randint(97,122)
asciival1 = chr(asciival1)
asciival2 = chr(asciival2)
asciival3 = chr(asciival3)
asciival4 = chr(asciival4)
asciival5 = chr(asciival5)
result = (asciival1+asciival2+asciival3+asciival4+asciival5)
print (result)</t>
  </si>
  <si>
    <t>import random
K1 = random.randint(97,122)
K2 = random.randint(97,122)
K3 = random.randint(97,122)
K4 = random.randint(97,122)
K5 = random.randint(97,122)
result = (chr(K1) + chr(K2) + chr(K3) + chr(K4) + chr(K5))
print(result)</t>
  </si>
  <si>
    <t xml:space="preserve">import random
a=random.randint(97,122)
b=random.randint(97,122)
c=random.randint(97,122)
d=random.randint(97,122)
e=random.randint(97,122)
result=chr(a)+chr(b)+chr(c)+chr(d)+chr(e)
print(result)
</t>
  </si>
  <si>
    <t xml:space="preserve">import random
l1 = random.randint (97,122)
l2 = random.randint (97,122)
l3 = random.randint (97,122)
l4 = random.randint (97,122)
l5 = random.randint (97,122)
result = str(chr(l1))+ str(chr(l2))+str(chr(l3))+ str(chr(l4))+ str(chr(l5))
print(result)
</t>
  </si>
  <si>
    <t>import random
n1 = random.randint(97,122)
N1 = chr(n1)
n2 = random.randint(97,122)
N2 = chr(n2)
n3 = random.randint(97,122)
N3 = chr(n3)
n4 = random.randint(97,122)
N4 = chr(n4)
n5 = random.randint(97,122)
N5 = chr(n5)
result = N1 + N2 + N3 + N4 + N5
print (result)</t>
  </si>
  <si>
    <t xml:space="preserve">import random
a = chr(random.randint(97,122))
b = chr(random.randint(97,122))
c = chr(random.randint(97,122))
d = chr(random.randint(97,122))
e = chr(random.randint(97,122))
result = a + b + c + d + e
print (result)
</t>
  </si>
  <si>
    <t>import random
a = chr(random.randint(97, 122))
b = chr(random.randint(97, 122))
c = chr(random.randint(97, 122))
d = chr(random.randint(97, 122))
e = chr(random.randint(97, 122))
result = a + b + c + d + e
print (result)</t>
  </si>
  <si>
    <t xml:space="preserve">import random
no1 = random.randint(97, 122)
no2 = random.randint(97, 122)
no3 = random.randint(97, 122)
no4 = random.randint(97, 122)
no5 = random.randint(97, 122)
l1 = chr(no1)
l2 = chr(no2)
l3 = chr(no3)
l4 = chr(no4)
l5 = chr(no5)
result = (l1 + l2 + l3 + l4 + l5)
print (result)
</t>
  </si>
  <si>
    <t>import random
result=""
for i in range(1,6):
    random_number=random.randint(97,122)
    result+=chr(random_number)</t>
  </si>
  <si>
    <t>import random
uppercase1=random.randint(97, 122)
result1=chr(uppercase1)
uppercase2=random.randint(97, 122)
result2=chr(uppercase2)
uppercase3=random.randint(97, 122)
result3=chr(uppercase3)
uppercase4=random.randint(97, 122)
result4=chr(uppercase4)
uppercase5=random.randint(97, 122)
result5=chr(uppercase5)
result=(result1+result2+result3+result4+result5)
print(result)</t>
  </si>
  <si>
    <t>import random
import string
lowercase1 = (random.choice(string.ascii_lowercase))
lowercase2 = (random.choice(string.ascii_lowercase))
lowercase3 = (random.choice(string.ascii_lowercase))
lowercase4 = (random.choice(string.ascii_lowercase))
lowercase5 = (random.choice(string.ascii_lowercase))
result = (lowercase1 + lowercase2 + lowercase3 + lowercase4 + lowercase5)
print( result )</t>
  </si>
  <si>
    <t xml:space="preserve">import random
a = random.randint(97, 122)
b = random.randint(97, 122)
c = random.randint(97, 122)
d = random.randint(97, 122)
e = random.randint(97, 122)
A = chr(a)
B = chr(b)
C = chr(c)
D = chr(d)
E = chr(e)
result = format(str(A) + str(B) + str(C) + str(D) + str(E))
</t>
  </si>
  <si>
    <t>import random
x=random.randint(97,122)
y=random.randint(97,122)
z=random.randint(97,122)
a=random.randint(97,122)
b=random.randint(97,122)
result=str(chr(x))+str(chr(y))+str(chr(z))+str(chr(a))+str(chr(b))</t>
  </si>
  <si>
    <t>import random
import string
A1 = random.choice(string.ascii_lowercase)
A2 = random.choice(string.ascii_lowercase)
A3 = random.choice(string.ascii_lowercase)
A4 = random.choice(string.ascii_lowercase)
A5 = random.choice(string.ascii_lowercase)
result = str(A1+A2+A3+A4+A5)</t>
  </si>
  <si>
    <t>import random
values="abcdefghijklmnopqrstuvwxyz"
letterf=random.choice(values)
letters=random.choice(values)
lettert=random.choice(values)
letterrf=random.choice(values)
letterrrf=random.choice(values)
result=str(letterf)+str(letters)+str(lettert)+str(letterrf)+str(letterrrf)
print(result)</t>
  </si>
  <si>
    <t xml:space="preserve">import random
aa=chr(random.randint(97, 122))
ab=chr(random.randint(97, 122))
ac=chr(random.randint(97, 122))
ad=chr(random.randint(97, 122))
ae=chr(random.randint(97, 122))
result=aa+ab+ac+ad+ae
print(result)
</t>
  </si>
  <si>
    <t xml:space="preserve">import random
acsii1 = random.randint(97,122)
acsii2 = random.randint(97,122)
acsii3 = random.randint(97,122)
acsii4 = random.randint(97,122)
acsii5 = random.randint(97,122)
letter1 = chr(acsii1)
letter2 = chr(acsii2)
letter3 = chr(acsii3)
letter4 = chr(acsii4)
letter5 = chr(acsii5)
result = letter1 + letter2 + letter3 + letter4 + letter5
print(result)
</t>
  </si>
  <si>
    <t xml:space="preserve">import random
num1 = random.randint (97, 122)
num2 = random.randint (97, 122)
num3 = random.randint (97, 122)
num4 = random.randint (97, 122)
num5 = random.randint (97, 122)
num6 = chr(num1)
num7 = chr(num2)
num8 = chr(num3)
num9 = chr(num4)
num10 = chr(num5)
result = str(num6) + str(num7) + str(num8) +str(num9) + str(num10)
print(result)
</t>
  </si>
  <si>
    <t xml:space="preserve">import random
number1 = random.randint(97,122)
number2 = random.randint(97,122)
number3 = random.randint(97,122)
number4 = random.randint(97,122)
number5 = random.randint(97,122)
result = chr(number1) + chr(number2) + chr(number3) + chr(number4)+ chr(number5)
print(result)
</t>
  </si>
  <si>
    <t>import random
result = chr(random.randint(97,122)) + chr(random.randint(97,122)) + chr(random.randint(97,122)) + chr(random.randint(97,122)) + chr(random.randint(97,122))</t>
  </si>
  <si>
    <t>import random
result=str()
for x in range(5):
    x=str(chr(random.randint(97,122)))
    result+=x
print(result)</t>
  </si>
  <si>
    <t>import random
a = random.randint(97,122)
z = chr(a)
b = random.randint(97,122)
y = chr(b)
c = random.randint(97,122)
x = chr(c)
d = random.randint(97,122)
w = chr(d)
e = random.randint(97,122)
u = chr(e)
result = 'u' 'w' 'x' 'y' 'z'</t>
  </si>
  <si>
    <t>import random
before1 = random.randint(97,122)
before2 = random.randint(97,122)
before3 = random.randint(97,122)
before4 = random.randint(97,122)
before5 = random.randint(97,122)
result1 = chr(before1)
result2 = chr(before2)
result3 = chr(before3)
result4 = chr(before4)
result5 = chr(before5)
result = result1 + result2 + result3 + result4 + result5
print(result)</t>
  </si>
  <si>
    <t>import random
x=random.randint(97,122)
a=chr(x)
y=random.randint(97,122)
b=chr(y)
z=random.randint(97,122)
c=chr(z)
w=random.randint(97,122)
d=chr(w)
v=random.randint(97,122)
e=chr(v)
result='v' 'w' 'x' 'y' 'z'</t>
  </si>
  <si>
    <t>import random
value1 = random.randint(97,122)
value2 = random.randint(97,122)
value3 = random.randint(97,122)
value4 = random.randint(97,122)
value5 = random.randint(97,122)
character1 = chr(value1)
character2 = chr(value2)
character3 = chr(value3)
character4 = chr(value4)
character5 = chr(value5)
result = character1 + character2 + character3 + character4 + character5
print(result)</t>
  </si>
  <si>
    <t>import random
a = (chr((random.randint(97, 122))))
b = (chr((random.randint(97, 122))))
c = (chr((random.randint(97, 122))))
d = (chr((random.randint(97, 122))))
e = (chr((random.randint(97, 122))))
result = a + b + c + d + e
print (str((result)))</t>
  </si>
  <si>
    <t xml:space="preserve">import random
import string
string.letters='abcdefghijklmnopqrstuvwxyz'
a=random.choice(string.letters)
b=random.choice(string.letters)
c=random.choice(string.letters)
d=random.choice(string.letters)
e=random.choice(string.letters)
result="a"+"b"+"c"+"d"+"e"
print(result)
</t>
  </si>
  <si>
    <t xml:space="preserve">import random
result =chr(random.randint(97,122))+chr(random.randint(97,122))+chr(random.randint(97,122))+chr(random.randint(97,122))+chr(random.randint(97,122))
print (result)
</t>
  </si>
  <si>
    <t>import random
x=chr(random.randrange(97, 123))
y=chr(random.randrange(97, 123))
z=chr(random.randrange(97, 123))
a=chr(random.randrange(97, 123))
b=chr(random.randrange(97, 123))
result=x+y+z+a+b
print(result)</t>
  </si>
  <si>
    <t xml:space="preserve">import random
v = random.randint(97,112)
a = chr(v)
w = random.randint(97,112)
b = chr(w)
x = random.randint(97,112)
c = chr(x)
y = random.randint(97,112)
d = chr(y)
z = random.randint(97,112)
e = chr(z)
result = str(a + b + c + d + e)
print(result)
  </t>
  </si>
  <si>
    <t>import random
result = ""
for count in range(5):
    e = random.randint(97,122)
    result = result + chr(e)
print(result)</t>
  </si>
  <si>
    <t>import random
no1=random.randint(97,122)
no2=random.randint(97,122)
no3=random.randint(97,122)
no4=random.randint(97,122)
no5=random.randint(97,122)
result = chr(no1)+chr(no2)+chr(no3)+chr(no4)+chr(no5)</t>
  </si>
  <si>
    <t>import random
num1=chr(random.randint(97,122))
num2=chr(random.randint(97,122))
num3=chr(random.randint(97,122))
num4=chr(random.randint(97,122))
num5=chr(random.randint(97,122))
result=(num1+num2+num3+num4+num5)
print(result)</t>
  </si>
  <si>
    <t>import random
a=random.randint(97,122)
b=random.randint(97,122)
c=random.randint(97,122)
d=random.randint(97,122)
e=random.randint(97,122)
a=chr(a)
b=chr(b)
c=chr(c)
d=chr(d)
e=chr(e)
result=str(a)+str(b)+str(c)+str(d)+str(e)
print(result)</t>
  </si>
  <si>
    <t>import random
result=""
for count in range(5):
    number=random.randint(97,122)
    sum=(chr(number))
    result=result+sum
print(result)</t>
  </si>
  <si>
    <t>import random
A=random.randint(97,122)
B=random.randint(97,122)
C=random.randint(97,122)
D=random.randint(97,122)
E=random.randint(97,122)
result=chr(A)+chr(B)+chr(C)+chr(D)+chr(E)
print(result)</t>
  </si>
  <si>
    <t xml:space="preserve">import random
a1 = chr(random.randint(97,122))
a2 = chr(random.randint(97,122))
a3 = chr(random.randint(97,122))
a4 = chr(random.randint(97,122))
a5 = chr(random.randint(97,122))
result = (a1 + a2 + a3 + a4 + a5)
print(result)
</t>
  </si>
  <si>
    <t>import string
import random
a = (random.choice(string.ascii_lowercase))
b = (random.choice(string.ascii_lowercase))
c = (random.choice(string.ascii_lowercase))
d = (random.choice(string.ascii_lowercase))
e = (random.choice(string.ascii_lowercase))
result = a + b + c + d + e</t>
  </si>
  <si>
    <t>import random
x=random.randrange(97,123)
y=chr(x)
a=random.randrange(97,123)
b=chr(a)
c=random.randrange(97,123)
d=chr(c)
e=random.randrange(97,123)
f=chr(e)
g=random.randrange(97,123)
h=chr(g)
result=y+ b +d +f+h
print(result)</t>
  </si>
  <si>
    <t xml:space="preserve">import random
a = random.randint(97,122)
b = chr(a)
c = random.randint(97,122)
d = chr(c)
e = random.randint(97,122)
f = chr(e)
g = random.randint(97,122)
h = chr(g)
i = random.randint(97,122)
j = chr(i)
result = 'b' 'd' 'f' 'h' 'j'
print(result)
</t>
  </si>
  <si>
    <t>import random
a=chr(random.randint(97,122))
b=chr(random.randint(97,122))
c=chr(random.randint(97,122))
d=chr(random.randint(97,122))
e=chr(random.randint(97,122))
result=a+b+c+d+e
print(result)</t>
  </si>
  <si>
    <t>import random
n1=random.randint(97,122)
n2=random.randint(97,122)
n3=random.randint(97,122)
n4=random.randint(97,122)
n5=random.randint(97,122)
c1=(chr(n1))
c2=(chr(n2))
c3=(chr(n3))
c4=(chr(n4))
c5=(chr(n5))
result=c1+c2+c3+c4+c5</t>
  </si>
  <si>
    <t xml:space="preserve">import random
result5 = chr(random.randint(97,122))
result1 = chr(random.randint(97,122))
result2 = chr(random.randint(97,122))
result3 = chr(random.randint(97,122))
result4 = chr(random.randint(97,122))
result =  str(result5+result1+result2+result3+result4,)
</t>
  </si>
  <si>
    <t xml:space="preserve">import random
x1=random.randint(97,122)
x2=random.randint(97,122)
x3=random.randint(97,122)
x4=random.randint(97,122)
x5=random.randint(97,122)
result=(chr(x1)+chr(x2)+chr(x3)+chr(x4)+chr(x5))
print(result)
</t>
  </si>
  <si>
    <t xml:space="preserve">import random
number1= chr(random.randint(97,122))
number2= chr(random.randint(97,122))
number3= chr(random.randint(97,122))
number4= chr(random.randint(97,122))
number5= chr(random.randint(97,122))
result = number1 + number2 + number3 + number4 + number5
print(result)
</t>
  </si>
  <si>
    <t xml:space="preserve">import random
number1=random.randint(97,112)
number2=random.randint(97,112)
number3=random.randint(97,112)
number4=random.randint(97,112)
number5=random.randint(97,112)
result=chr(number1)+chr(number2)+chr(number3)+chr(number4)+chr(number5)
</t>
  </si>
  <si>
    <t>import random
a= chr(random.randint(97,122))
b= chr(random.randint(97,122))
c= chr(random.randint(97,122))
d= chr(random.randint(97,122))
e= chr(random.randint(97,122))
result=a+b+c+d+e
print(result)</t>
  </si>
  <si>
    <t>import random
result = str(chr(random.randint(97, 122))) + str(chr(random.randint(97, 122))) + str(chr(random.randint(97, 122))) + str(chr(random.randint(97, 122))) + str(chr(random.randint(97, 122)))</t>
  </si>
  <si>
    <t xml:space="preserve">import random
a = chr(random.randint(97,122))
b = chr(random.randint(97,122))
c = chr(random.randint(97,122))
d = chr(random.randint(97,122))
e = chr(random.randint(97,122))
result = (str(a) + str(b) + str(c) + str(d) + str(e))
print(result)
</t>
  </si>
  <si>
    <t>import random
no1= random.randint(97,122)
no2= random.randint(97,122)
no3= random.randint(97,122)
no4= random.randint(97,122)
no5= random.randint(97,122)
a= chr(no1)
b= chr(no2)
c= chr(no3)
d= chr(no4)
e= chr(no5)
result= (str(a))+(str(b))+(str(c))+(str(d))+(str(e))</t>
  </si>
  <si>
    <t>import random
result= str(chr(random.randint(97,122))+chr(random.randint(97,122))+chr(random.randint(97,122))+chr(random.randint(97,122))+chr(random.randint(97,122)))
print (result)</t>
  </si>
  <si>
    <t xml:space="preserve">import random
result = ""
for count in range(5):
    a = chr(random.randint(97,122))
    result = result + a
print(result)
</t>
  </si>
  <si>
    <t xml:space="preserve">import random
val1 = random.randint(97, 122)
val2 = random.randint(97, 122)
val3 = random.randint(97, 122)
val4 = random.randint(97, 122)
val5 = random.randint(97, 122)
let1 = chr(val1)
let2 = chr(val2)
let3 = chr(val3)
let4 = chr(val4)
let5 = chr(val5)
result = str(let1) + str(let2) + str(let3) + str(let4) + str(let5)
print(result)
</t>
  </si>
  <si>
    <t xml:space="preserve">import random
a = random.randint (97, 122)
f = chr(a)
b = random.randint (97, 122)
g = chr (b)
c = random.randint (97, 122)
h = chr (c)
d = random.randint (97, 122)
i = chr (d)
e = random.randint (97, 122)
j = chr (e)
result = "f" "g" "h" "i" "j"
</t>
  </si>
  <si>
    <t xml:space="preserve">import random
first=random.randint(0,25)
one=(chr(first+97))
second=random.randint(0,25)
two=(chr(second+97))
third=random.randint(0,25)
three=(chr(third+97))
fourth=random.randint(0,25)
four=(chr(fourth+97))
fifth=random.randint(0,25)
five=(chr(fifth+97))
result= one+two+three+four+five
</t>
  </si>
  <si>
    <t xml:space="preserve">import random
x=(random.randint(97,122))
x1=(chr(x))
x2=(chr(x))
x3=(chr(x))
x4=(chr(x))
x5=(chr(x))
result=str(x1)+str(x2)+str(x3)+str(x4)+str(x5)
   </t>
  </si>
  <si>
    <t>import random
num1 = random.randint(97,122)
num2 = random.randint(97,122)
num3 = random.randint(97,122)
num4 = random.randint(97,122)
num5 = random.randint(97,122)
let1 = chr(num1)
let2 = chr(num2)
let3 = chr(num3)
let4 = chr(num4)
let5 = chr(num5)
result = let1 + let2 + let3 + let4 + let5</t>
  </si>
  <si>
    <t>import random
n1=random.randint(97,122)
n2=random.randint(97,122)
n3=random.randint(97,122)
n4=random.randint(97,122)
n5=random.randint(97,122)
result = (chr(n1)+chr(n2)+chr(n3)+chr(n4)+chr(n5))
print(result)</t>
  </si>
  <si>
    <t>import random
result1 = chr(random.randint(65,90))
result2 = chr(random.randint(65,90))
result3 = chr(random.randint(48,57))
result4 = chr(random.randint(48,57))
result5 = chr(random.randint(48,57))
result6 = chr(random.randint(97,122))
result = (str(result1) + str(result2) + str(result3) + str(result4) + str(result5) + str(result6))
print(result)</t>
  </si>
  <si>
    <t>import random
result = ""
for i in range(2):
    result += chr(random.randint(ord('A'), ord('Z')))
for i in range(3):
    result += chr(random.randint(ord('0'), ord('9')))
for i in range(1):
    result += chr(random.randint(ord('a'), ord('z')))</t>
  </si>
  <si>
    <t xml:space="preserve">import random
result = ''
for count in range(2):
    add = chr(random.randint(65,90))
    result = result + add
for count in range(3):
    add = chr(random.randint(48,57))
    result = result + add
result = result + chr(random.randint(97,122))
print(result)
</t>
  </si>
  <si>
    <t>import random
result1=chr(random.randrange(65,90))
result2=chr(random.randrange(65,90))
result3=chr(random.randrange(48,57))
result4=chr(random.randrange(48,57))
result5=chr(random.randrange(48,57))
result6=chr(random.randrange(97,121))
result = result1 + result2 + result3 + result4 + result5 + result6
print (result)</t>
  </si>
  <si>
    <t xml:space="preserve">import random
a = random.randint(65,90)
b = random.randint(65,90)
c = random.randint(48,57)
d = random.randint(48,57)
e = random.randint(48,57)
f = random.randint(97,122)
ap = chr(a)
bp = chr(b)
cp = chr(c)
dp = chr(d)
ep = chr(e)
fp = chr(f)
result = ap + bp + cp + dp + ep + fp
print(result)
</t>
  </si>
  <si>
    <t>import random
a =chr(random.randint(65,90))
b =chr(random.randint(65,90))
c =str((random.randint(0,9)))
d =str((random.randint(0,9)))
e =str((random.randint(0,9)))
f =(chr(random.randint(97,122)))
result=a+b+c+d+e+f
print(result)</t>
  </si>
  <si>
    <t>import random
C = chr(random.randint(65,90))
C = chr(random.randint(65,90))
N = random.randint(0,9)
N = random.randint(0,9)
N = random.randint(0,9)
c = chr(random.randint(97,122))
result = (str(C) + str(C) + str(N) + str(N) + str(N) + str(c))
print(result)</t>
  </si>
  <si>
    <t xml:space="preserve">import random
c1=chr(random.randint(65,90))
c2=chr(random.randint(65,90))
n1=random.randint(0,9)
n2=random.randint(0,9)
n3=random.randint(0,9)
sc=chr(random.randint(97,122))
result=c1+c2+str(n1)+str(n2)+str(n3)+sc
print(result)
</t>
  </si>
  <si>
    <t>import random
a=chr(random.randint(65,90))
b=chr(random.randint(65,90))
c=str(random.randint(0,9))
d=str(random.randint(0,9))
e=str(random.randint(0,9))
f=chr(random.randint(97,122))
result=a+b+c+d+e+f
print(result)</t>
  </si>
  <si>
    <t xml:space="preserve">import random
x1=random.randint(65,90)
x2=random.randint(65,90)
x3=random.randint(0,9)
x4=random.randint(0,9)
x5=random.randint(0,9)
x6=random.randint(97,122)
str1=chr(x1)
str2=chr(x2)
str6=chr(x6)
result=str1+str2+str(x3)+str(x4)+str(x5)+str6
print(result)
</t>
  </si>
  <si>
    <t xml:space="preserve">import random
a=chr(random.randint(65,90))
b=chr(random.randint(65,90))
z=str(random.randint(1,10))
d=str(random.randint(1,10))
f=str(random.randint(1,10))
e=chr(random.randint(97,122))
result=a+b+z+d+f+e
</t>
  </si>
  <si>
    <t>import random
no = (chr(random.randint(65,90)))
no1 = (chr(random.randint(65,90)))
no2 = str(random.randint(0,9))
no3 = str(random.randint(0,9))
no4 = str(random.randint(0,9))
no5 = (chr(random.randint(97,122)))
result = str(no+no1+no2+no3+no4+no5)</t>
  </si>
  <si>
    <t xml:space="preserve">import random
x1 = chr(random.randint(65,90))
x2 = chr(random.randint(65,90))
x3 = chr(random.randint(48,57))
x4 = chr(random.randint(48,57))
x5 = chr(random.randint(48,57))
x6 = chr(random.randint(97,122))
result = str(x1)+str(x2)+str(x3)+str(x4)+str(x5)+str(x6)
print(result)
</t>
  </si>
  <si>
    <t xml:space="preserve">import random
C = chr(random.randint(65,90))
N = chr(random.randint(48,57))
c = chr(random.randint(97,122))
result = str(C+C+N+N+N+c)
print(result)
</t>
  </si>
  <si>
    <t>import random
result = chr(random.randint(65,90)) +  chr(random.randint(65,90)) + str(random.randint(0,9)) + str(random.randint(0,9)) + str(random.randint(0,9)) + chr(random.randint(97,122))</t>
  </si>
  <si>
    <t xml:space="preserve">import random
C1=chr(random.randint(65,90))
C2=chr(random.randint(65,90))
N1=chr(random.randint(48,57))
N2=chr(random.randint(48,57))
N3=chr(random.randint(48,57))
c=chr(random.randint(97,122))
result=C1+C2+N1+N2+N3+c
print (result)
</t>
  </si>
  <si>
    <t>import random
result = chr(random.randint(65, 90)) + chr(random.randint(65, 90)) + chr(random.randint(48, 57)) + chr(random.randint(48, 57)) + chr(random.randint(48, 57)) + chr(random.randint(97, 122))</t>
  </si>
  <si>
    <t>import random
_C1 = random.randint(65,90)
_C2 = random.randint(65,90)
_N1 = random.randint(0,9)
_N2 = random.randint(0,9)
_N3 = random.randint(0,9)
_c1 = random.randint(97,122)
result = chr(_C1) +chr(_C2) + str(_N1) + str(_N2) + str(_N3) + chr(_c1)
print(result)</t>
  </si>
  <si>
    <t>import random
l1 = random.randint(65,90)
l2 = random.randint(65,90)
n1 = random.randint(0,9)
n2 = random.randint(0,9)
n3 = random.randint(0,9)
d1 = random.randint(97,122)
result = chr(l1) + chr(l2) + str(n1) + str(n2) + str(n3) + chr(d1)</t>
  </si>
  <si>
    <t xml:space="preserve">import random
import string
a = random.choice(string.ascii_uppercase)
b = random.choice(string.ascii_uppercase)
c = random.randint(0,9)
d = random.randint(0,9)
e = random.randint(0,9)
f = random.choice(string.ascii_lowercase)
result = a+b+str(c)+str(d)+str(e)+f
</t>
  </si>
  <si>
    <t xml:space="preserve">import random 
Cap1 = chr(random.randint(65,90))
Cap2 = chr(random.randint(65,90))
Num1 = str(random.randint(1,9))
Num2 = str(random.randint(1,9))
Num3 = str(random.randint(1,9))
char1 = chr(random.randint(97,122))
result = str(Cap1+Cap2+Num1+Num2+Num3+char1)
</t>
  </si>
  <si>
    <t xml:space="preserve">import random
a =chr(random.randint(65, 90))
b =chr(random.randint(65, 90))
c =chr(random.randint(48, 57))
d =chr(random.randint(48, 57))
e =chr(random.randint(48, 57))
f =chr(random.randint(97, 122))
result = a + b + c + d + e + f
print (result)
</t>
  </si>
  <si>
    <t>import random
letter1 = random.randint(65, 90)
letter2 = random.randint(65, 90)
letter3 = random.randint(0, 9)
letter4 = random.randint(0, 9)
letter5 = random.randint(0, 9)
letter6 = random.randint(97, 122)
a = chr(letter1)
b = chr(letter2)
c = chr(letter6)
A = str(letter3)
B = str(letter4)
C = str(letter5)
result =  str(a + b + A + B + C + c)
print(result)</t>
  </si>
  <si>
    <t xml:space="preserve">import random
one = chr(random.randint(65,90))
two = chr(random.randint(65,90))
three = random.randint(0,9)
four = random.randint(0,9)
five = random.randint(0,9)
six = chr(random.randint(97,122))
result = str(one) + str(two) + str(three) + str(four) + str(five) + str(six)
print(result)
</t>
  </si>
  <si>
    <t xml:space="preserve">from random import randint
def gen():
    integer = randint(65,90)
    alpha = chr(integer)
    return alpha
a = gen()
b = gen()
c = gen().lower()
d = str(randint(0,9))
e =str( randint(0,9))
f = str(randint(0,9))
result = a + b + d + e + f + c
print (result)
</t>
  </si>
  <si>
    <t>import random
letters = 'A B C D E F G H I J K L M N O P Q R S T U V W X Y Z'.lower().split()
result = random.choice(letters).upper()+random.choice(letters).upper()+str(random.randint(0,9))+str(random.randint(0,9))+str(random.randint(0,9))+random.choice(letters)
print(result)</t>
  </si>
  <si>
    <t xml:space="preserve">import random
a = chr(random.randint(65, 90))
b = chr(random.randint(65, 90))
c = str(random.randint(0, 9))
d = str(random.randint(0, 9))
e = str(random.randint(0, 9))
f = chr(random.randint(97, 122))
result = a + b + c + d + e + f
print(result)
</t>
  </si>
  <si>
    <t>import random
result = str(chr(random.randint(1,26)+64))+str(chr(random.randint(1,26)+64))+str(chr(random.randint(0,9)+48))+str(chr(random.randint(0,9)+48))+str(chr(random.randint(0,9)+48))+str(chr(random.randint(1,26)+96))</t>
  </si>
  <si>
    <t xml:space="preserve">import random
import math
number1 = random.randint(65,90)
number2 = random.randint(65,90)
number3 = random.randint(49,57)
number4 = random.randint(49,57)
number5 = random.randint(49,57)
number6 = random.randint(97,122)
result = chr(number1)+chr(number2)+chr(number3)+chr(number4)+chr(number5)+chr(number6)
print (result)
</t>
  </si>
  <si>
    <t xml:space="preserve">import random
number1 = random.randint (65,90)
numbera = chr(number1)
number2 = random.randint (65,90)
numberb = chr(number2)
number3 = random.randint (0,9)
number4 = random.randint (0,9)
number5 = random.randint (0,9)
number6 = random.randint (97,122)
numberc = chr(number6)
result = numbera+numberb+str(number3)+str(number4)+str(number5)+numberc
</t>
  </si>
  <si>
    <t>import random
C = (chr(random.randint(65,90)))
N = (chr(random.randint(48,57)))
c = (chr(random.randint(97,122)))
result = C + C + N + N + N  + c
answer = print(result)</t>
  </si>
  <si>
    <t>import random
up1 = random.randint (65, 90)
up2 = random.randint (65, 90)
num1 = random.randint (48, 57)
num2 = random.randint (48, 57)
num3 = random.randint (48, 57)
low1 = random.randint (97, 122)
result = (chr(up1) + chr(up2) + chr(num1) +  chr(num2) + chr(num3) + chr(low1))
ans = print(result)</t>
  </si>
  <si>
    <t xml:space="preserve">import random
Alpha1 = random.randint(65,90)
Alpha1 = chr(Alpha1)
Alpha2 = random.randint(65,90)
Alpha2 = chr(Alpha2)
number1 = random.randint(0,9)
number2 = random.randint(0,9)
number3 = random.randint(0,9)
alpha = random.randint(97,122)
alpha = chr(alpha)
result = (Alpha1 + Alpha2 + str(number1) + str(number2) + str(number3) + alpha)
print (result)
</t>
  </si>
  <si>
    <t xml:space="preserve">import random
K1 = random.randint(65,90)
K2 = random.randint(65,90)
K3 = random.randint(48,57)
K4 = random.randint(48,57)
K5 = random.randint(48,57)
K6 = random.randint(97,122)
result = (chr(K1) + chr(K2) + chr(K3) + chr(K4) + chr(K5) + chr(K6))
print(result)
</t>
  </si>
  <si>
    <t>import random
a=random.randint(65,90)
b=random.randint(65,90)
c=random.randint(48,57)
d=random.randint(48,57)
e=random.randint(48,57)
f=random.randint(97,122)
result=chr(a)+chr(b)+chr(c)+chr(d)+chr(e)+chr(f)
print(result)</t>
  </si>
  <si>
    <t xml:space="preserve">import random
l1 = random.randint (65,90)
l2 = random.randint (65,90)
l3 = random.randint (48,57)
l4 = random.randint (48,57)
l5 = random.randint (48,57)
l6 = random.randint (97,122)
result = str(chr(l1))+ str(chr(l2))+str(chr(l3))+ str(chr(l4))+ str(chr(l5))+ str(chr(l6))
print(result)
</t>
  </si>
  <si>
    <t>import random
n1 = random.randint(65,90)
C1 = chr(n1)
n2 = random.randint(65,90)
C2 = chr(n2)
n6 = random.randint(97,122)
c6 = chr(n6)
N3 = str(random.randint(0,9))
N4 = str(random.randint(0,9))
N5 = str(random.randint(0,9))
result = C1 + C2 + N3 + N4 + N5 + c6
print(result)</t>
  </si>
  <si>
    <t>import random
C = chr(random.randint(65,90))
c = chr(random.randint(97,122))
N = chr(random.randint(48,57))
result = C + C + N + N + N + c
print (result)</t>
  </si>
  <si>
    <t>import random
a = chr(random.randint(65, 90))
b = chr(random.randint(65, 90))
c = chr(random.randint(48, 57))
d = chr(random.randint(48, 57))
e = chr(random.randint(48, 57))
f = chr(random.randint(97, 122))
result = a + b + str(c) + str(d) + str(e) + f
print (result)</t>
  </si>
  <si>
    <t xml:space="preserve">import random
no1 = random.randint(65, 90)
no2 = random.randint(65, 90)
no = random.randint(97, 122)
l1 = random.randint(48, 57)
l2 = random.randint(48, 57)
l3 = random.randint(48, 57)
C3 = chr(no1)
C2 = chr(no2)
c1 = chr(no)
N1 = chr(l1)
N2 = chr(l2)
N3 = chr(l3)
result = (C2 + C3 + N1 + N2 + N3 + c1)
print (result)
</t>
  </si>
  <si>
    <t>import random
result=""
for i in range(1,3):
    random_number=random.randint(65,90)
    result+=chr(random_number)
for i in range(1,4):
    random_number=str(random.randint(0,9))
    result+=random_number
for i in range(1,2):
    random_number=random.randint(97,122)
    result+=chr(random_number)</t>
  </si>
  <si>
    <t>import random
uppercase1=random.randint(65, 90)
result1=chr(uppercase1)
uppercase2=random.randint(65, 90)
result2=chr(uppercase2)
lowercase1=random.randint(97, 122)
result3=chr(lowercase1)
numbera=random.randint(48, 57)
digita=chr(numbera)
numberb=random.randint(48, 57)
digitb=chr(numberb)
numberc=random.randint(48, 57)
digitc=chr(numberc)
result=(result1+result2+digita+digitb+digitc+result3)
print(result)</t>
  </si>
  <si>
    <t xml:space="preserve">import random
import string
uppercase1 = (random.choice(string.ascii_uppercase))
uppercase2 = (random.choice(string.ascii_uppercase))
number1 = (random.randint(0, 9))
number2 = (random.randint(0, 9))
number3 = (random.randint(0, 9))
lowercase1 = (random.choice(string.ascii_lowercase))
result = uppercase1 + uppercase2 + str(number1) + str(number2) + str(number3) + lowercase1
print( result )
</t>
  </si>
  <si>
    <t>import random 
a = random.randint(0, 9)
b = random.randint(0, 9)
c = random.randint(0, 9)
d = random.randint(65, 90)
D = chr(d)
e = random.randint(65, 90)
E = chr(e)
f = random.randint(97, 122)
F = chr(f)
result = (str(D) + str(E) + str(a) + str(b) + str(c) + str(F))</t>
  </si>
  <si>
    <t>import random
x=chr(random.randint(65,80))
y=chr(random.randint(65,80))
a=random.randint(0,9)
b=random.randint(0,9)
d=random.randint(0,9)
c=chr(random.randint(97,122))
result=x+y+str(a)+str(b)+str(d)+c</t>
  </si>
  <si>
    <t>import random
import string
C1 = random.choice(string.ascii_uppercase)
C2 = random.choice(string.ascii_uppercase)
N1 = str(random.randint(0,9))
N2 = str(random.randint(0,9))
N3 = str(random.randint(0,9))
c1 = random.choice(string.ascii_lowercase)
result = str(C1+C2+N1+N2+N3+c1)</t>
  </si>
  <si>
    <t>import random
x="ABCDEFGHIJKLMNOPQRSTUVWXYZ"
y="abcdefghijklmnopqrstuvwxyz"
uppercase=random.choice(x)
lowercase=random.choice(y)
intege=random.randint(0,9)
result=str(uppercase)+str(uppercase)+str(intege)+str(intege)+str(intege)+str(lowercase)
print(result)</t>
  </si>
  <si>
    <t xml:space="preserve">import random
aa=chr(random.randint(65, 90))
ab=chr(random.randint(65, 90))
ac=(random.randint(0, 9))
ad=(random.randint(0, 9))
ae=(random.randint(0, 9))
af=chr(random.randint(97, 122))
result=aa+ab+str(ac)+str(ad)+str(ae)+af
print(result)
</t>
  </si>
  <si>
    <t>import random
acsii1 = random.randint(65,90)
acsii2 = random.randint(65,90)
acsii3 = random.randint(48,57)
acsii4 = random.randint(48,57)
acsii5 = random.randint(48,57)
acsii6 = random.randint(97,122)
letter1 = chr(acsii1)
letter2 = chr(acsii2)
letter3 = chr(acsii3)
letter4 = chr(acsii4)
letter5 = chr(acsii5)
letter6 = chr(acsii6)
result = letter1 + letter2 + letter3 + letter4 + letter5 + letter6
print(result)</t>
  </si>
  <si>
    <t xml:space="preserve">import random
num1 = random.randint (65, 90)
num2 = random.randint (65, 90)
num3 = random.randint (0, 9)
num4 = random.randint (0, 9)
num5 = random.randint (0, 9)
num6 = random.randint (97, 122)
num7 = chr(num1)
num8 = chr(num2)
num10 = chr(num6)
result = str(num7) + str(num8) + str(num3) +str(num4) + str(num5) + str(num10)
print(result)
</t>
  </si>
  <si>
    <t>import random
upp1 = random.randint(65,90)
upp2 = random.randint(65,90)
num1 = random.randint(48,57)
num2 = random.randint(48,57)
num3 = random.randint(48,57)
low = random.randint(97,122)
result = chr(upp1) + chr(upp2) + chr(num1) + chr(num2) + chr(num3) + chr(low)
print(result)</t>
  </si>
  <si>
    <t>import string
import random
a = random.choice(string.ascii_uppercase)
b = random.choice(string.ascii_uppercase)
d = str(random.randint(0,9))
e = str(random.randint(0,9))
f = str(random.randint(0,9))
g = random.choice(string.ascii_lowercase)
result = a + b + d + e + f + g</t>
  </si>
  <si>
    <t>import random
u1=chr(random.randint(65,90))
u2=chr(random.randint(65,90))
n1=chr(random.randint(48,57))
n2=chr(random.randint(48,57))
n3=chr(random.randint(48,57))
l1=chr(random.randint(97,122))
result=u1+u2+n1+n2+n3+l1
print (result)</t>
  </si>
  <si>
    <t>import random
a = random.randint(65,90)
g = chr(a)
b = random.randint(65,90)
h = chr(b)
c = random.randint(48,57)
i = chr(c)
d = random.randint(48,57)
j = chr(d)
e = random.randint(48,57)
k = chr(e)
f = random.randint(97,122)
l = chr(f)
result = g+h+i+j+k+l</t>
  </si>
  <si>
    <t xml:space="preserve">import random
before1 = random.randint(65,90)
before2 = random.randint(65,90)
before3 = random.randint(0,9)
before4 = random.randint(0,9)
before5 = random.randint(97,122)
result1 = chr(before1)
result2 = chr(before2)
result3 = str(before3)
result4 = str(before4)
result45 = str(random.randint(0,9))
result5 = chr(before5)
result = result1 + result2 + result3 + result4 + result45 + result5
print(result)
</t>
  </si>
  <si>
    <t>import random
x = random.randint(65,90)
C = chr(x)
z = random.randint(48,57)
N = chr(z)
y = random.randint(97,122)
c = chr(y)
result = C+C+N+N+N+c</t>
  </si>
  <si>
    <t>import random
C1 = random.randint(65,90)
C1 = chr(C1)
C2 = random.randint(65,90)
C2 = chr(C2)
N1 = random.randint(48,57)
N1 = chr(N1)
N2 = random.randint(48,57)
N2 = chr(N2)
N3 = random.randint(48,57)
N3 = chr(N3)
c = random.randint(97,122)
c = chr(c)
result = C1 + C2 + N1 + N2 + N3 + c
print(result)</t>
  </si>
  <si>
    <t xml:space="preserve">import random
a = (chr((random.randint(65, 90))))
b = (chr((random.randint(65, 90))))
c = str((random.randint(0, 9)))
d = str((random.randint(0, 9)))
e = str((random.randint(0, 9)))
f = (chr((random.randint(97, 122))))
result = a + b + c + d + e + f
print(str((result)))
</t>
  </si>
  <si>
    <t>import random
import string
C='ABCDEFGHIJKLMNOPQRSTUVWXYZ'
N='1234567890'
c='abcdefghijklmnopqrutuvwxyz'
a1=random.choice(C)
a2=random.choice(C)
a3=random.choice(N)
a4=random.choice(N)
a5=random.choice(N)
a6=random.choice(c)
result=(a1+a2+a3+a4+a5+a6)
print(result)</t>
  </si>
  <si>
    <t xml:space="preserve">import random
result =chr(random.randint(65,90))+chr(random.randint(65,90))+str(random.randint(0,9))+str(random.randint(0,9))+str(random.randint(0,9))+chr(random.randint(97,122))
print (result)
</t>
  </si>
  <si>
    <t>import random
x=chr(random.randrange(65, 91))
y=chr(random.randrange(65, 91))
z=chr(random.randrange(48, 58))
a=chr(random.randrange(48,58))
d=chr(random.randrange(48,58))
b=chr(random.randrange(97, 123))
result=x+y+z+d+a+b
print(result)</t>
  </si>
  <si>
    <t xml:space="preserve">import random
v = random.randint(65,80)
a = chr(v)
w = random.randint(65,80)
b = chr(w)
x = str(random.randint(0,9))
y = str(random.randint(0,9))
w = str(random.randint(0,9))
z = random.randint(97,112)
e = chr(z)
result = str(a + b + x + y + w + e)
print(result)
  </t>
  </si>
  <si>
    <t xml:space="preserve">import random
a = chr(random.randint(65,90))
b = chr(random.randint(65,90))
c = chr(random.randint(48,57))
d = chr(random.randint(48,57))
e = chr(random.randint(48,57))
f = chr(random.randint(97,122))
result = a+b+c+d+e+f
print(result)
</t>
  </si>
  <si>
    <t>import random
c1=chr(random.randint(65,90))
c2=chr(random.randint(65,90))
c3=chr(random.randint(48,57))
c4=chr(random.randint(48,57))
c5=chr(random.randint(48,57))
c6=chr(random.randint(97,122))
result = c1+c2+c3+c4+c5+c6</t>
  </si>
  <si>
    <t>import random
a=chr(random.randint(65,90))
b=chr(random.randint(65,90))
c=chr(random.randint(97,122))
d=chr(random.randint(97,122))
e=str(random.randint(0,9))
f=str(random.randint(0,9))
g=str(random.randint(0,9))
result=a+b+e+f+g+c
print(result)</t>
  </si>
  <si>
    <t xml:space="preserve">import random
num1=chr(random.randint(65,90))
num2=chr(random.randint(65,90))
num3=str(random.randint(1,9))
num4=str(random.randint(1,9))
num5=str(random.randint(1,9))
num6=chr(random.randint(97,122))
result=(num1+num2+num3+num4+num5+num6)
print(result)
</t>
  </si>
  <si>
    <t>import random
a=random.randint(65,90)
b=random.randint(65,90)
c=random.randint(48,57)
d=random.randint(48,57)
e=random.randint(48,57)
f=random.randint(97,122)
a=chr(a)
b=chr(b)
c=chr(c)
d=chr(d)
e=chr(e)
f=chr(f)
result=str(a)+str(b)+str(c)+str(d)+str(e)+str(f)
print(result)</t>
  </si>
  <si>
    <t>import random
result=""
for count in range(2):
    number=random.randint(65,90)
    sum=(chr(number))
    result=result+sum
for count in range(3):
    number=random.randint(48,57)
    sum=(chr(number))
    result=result+sum
number=random.randint(97,122)
sum=(chr(number))
result=result+sum
print(result)</t>
  </si>
  <si>
    <t>import random
a=random.randint(65,90)
b=random.randint(65,90)
c=random.randint(48,57)
d=random.randint(48,57)
e=random.randint(48,57)
f=random.randint(97,122)
result=chr(a)+chr(b)+chr(c)+chr(d)+chr(e)+chr(f)
print(result)</t>
  </si>
  <si>
    <t>import random
a1 = chr(random.randint(65,90))
a2 = chr(random.randint(65,90))
a3 = chr(random.randint(48,57))
a4 = chr(random.randint(48,57))
a5 = chr(random.randint(48,57))
a6 = chr(random.randint(97,122))
result = (a1 + a2 + a3 + a4 + a5 + a6)
print(str(result))</t>
  </si>
  <si>
    <t>import string 
import random
a = (random.choice(string.ascii_uppercase))
b = (random.choice(string.ascii_uppercase))
c = random.randint(0,9)
d = random.randint(0,9)
e = random.randint(0,9)
f = (random.choice(string.ascii_lowercase))
result = a + b + str(c) + str(d) + str(e) + f</t>
  </si>
  <si>
    <t>import random
x=random.randrange(97,123)
y=chr(x)
a=random.randrange(65,91)
b=chr(a)
c=random.randrange(65,91)
d=chr(c)
e=random.randrange(49,58)
f=chr(e)
g=random.randrange(49,58)
h=chr(g)
i=random.randrange(49,58)
j=chr(i)
result=b+d+f+h+j+y
print(result)</t>
  </si>
  <si>
    <t xml:space="preserve">import random
a = random.randint(65,90)
b = chr(a)
c = random.randint(65,90)
d = chr(c)
e = random.randint(48,57)
f = chr(e)
g = random.randint(48,57)
h = chr(g)
i = random.randint(48,57)
j = chr(i)
k = random.randint(97,122)
l = int(k)
result = b + d + '9' + '6' + '2' + 'e'
print(result)
</t>
  </si>
  <si>
    <t>import random
a=chr(random.randint(65,90))
b=chr(random.randint(65,90))
c=str(random.randint(0,9))
d=str(random.randint(0,9))
e=str(random.randint(0,9))
f=chr(random.randint(97,122))
result=a+b+c+d+e+f
print(result)</t>
  </si>
  <si>
    <t>import random
n1=random.randint(65,90)
n2=random.randint(65,90)
n3=random.randint(48,57)
n4=random.randint(48,57)
n5=random.randint(48,57)
n6=random.randint(97,122)
c1=(chr(n1))
c2=(chr(n2))
c3=(chr(n3))
c4=(chr(n4))
c5=(chr(n5))
c6=(chr(n6))
result=c1+c2+c3+c4+c5+c6</t>
  </si>
  <si>
    <t>import random
a = chr(random.randint(65,90))
b = chr(random.randint(65,90))
c = chr(random.randint(48,57))
c1 = chr(random.randint(48,57))
c2 = chr(random.randint(48,57))
c3 = chr(random.randint(97,122))
result = str(a+b+c+c1+c2+c3)
print(result)</t>
  </si>
  <si>
    <t>import random
c1=random.randint(0,25)
C1=(chr(c1+65))
c2=random.randint(0,25)
C2=(chr(c1+65))
n1=random.randint(0,9)
n2=random.randint(0,9)
n3=random.randint(0,9)
c=random.randint(0,25)
C=(chr(c+97))
result=C1+C2+str(n1)+str(n2)+str(n3)+C</t>
  </si>
  <si>
    <t>import random
number1 = chr(random.randint(65,90))
number2 = chr(random.randint(65,90))
number3 = (random.randint(0,9))
number4 = (random.randint(0,9))
number5 = (random.randint(0,9))
number6 = chr(random.randint(97,122))
result = number1 + number2 + str(number3) + str(number4) + str(number5) + number6
print(result)</t>
  </si>
  <si>
    <t>import random
number1=random.randint(65,90)
number2=random.randint(65,90)
number3=random.randint(0,9)
number4=random.randint(0,9)
number5=random.randint(0,9)
number6=random.randint(97,112)
result=chr(number1)+chr(number2)+str(number3)+str(number4)+str(number5)+chr(number6)</t>
  </si>
  <si>
    <t>import random
a= chr(random.randint(65,90))
b= chr(random.randint(65,90))
c= chr(random.randint(48,57))
d= chr(random.randint(48,57))
e= chr(random.randint(48,57))
f= chr(random.randint(97,122))
result=a+b+c+d+e+f
print(result)</t>
  </si>
  <si>
    <t xml:space="preserve">import random
C = chr(random.randint(65, 90))
c = chr(random.randint(97, 122))
N = random.randint(0, 9)
result = str(C) + str(C) + str(N) + str(N) + str(N) + str(c) </t>
  </si>
  <si>
    <t xml:space="preserve">import random
a= random.randint(65,90)
b= random.randint(65,90)
d= random.randint(48,57)
e= random.randint(48,57)
f= random.randint(48,57)
g= random.randint(97,122)
h= chr(a)
i= chr(b)
j= chr(d)
k= chr(e)
l= chr(f)
m= chr(g)
result= h + i + j + k + l + m
</t>
  </si>
  <si>
    <t xml:space="preserve">import random
C=chr(random.randint(65,90))
c=chr(ord(C)+32)
result=str((chr(random.randint(65,90)))+(chr(random.randint(65,90)))+(str(random.randint(0,9)))+(str(random.randint(0,9)))+(str(random.randint(0,9)))+c)
print (result)
</t>
  </si>
  <si>
    <t xml:space="preserve">import random
result = ""
for count in range(2):
    a = chr(random.randint(65,90))
    result = result + a
for count in range(3):
    b = str(random.randint(0,9))
    result = result + b
c = chr(random.randint(97,122))
result = result + c
print (result)
</t>
  </si>
  <si>
    <t>import random
val1 = random.randint(65, 90)
val2 = random.randint(65, 90)
val3 = random.randint(0, 9)
val4 = random.randint(0, 9)
val5 = random.randint(0, 9)
val6 = random.randint(97, 122)
let1 = chr(val1)
let2 = chr(val2)
let6 = chr(val6)
result = str(let1) + str(let2) + str(val3) + str(val4) + str(val5) + str(let6)
print(result)</t>
  </si>
  <si>
    <t xml:space="preserve">import random
a = random.randint (65, 90)
ab = chr(a)
b = random.randint (65, 90)
bb= chr(b)
c = random.randint (0, 9)
d = random.randint (0, 9)
e = random.randint (0, 9)
f = random.randint (97, 122)
fb = chr(f)
result = ab+bb+str(c)+str(d)+str(e)+fb
</t>
  </si>
  <si>
    <t>import random
first=random.randint(0,25)
one=(chr(first+65))
second=random.randint(0,25)
two=(chr(first+65))
three=str(random.randint(0,9))
four=str(random.randint(0,9))
five=str(random.randint(0,9))
sixth=random.randint(0,25)
six=(chr(sixth+97))
result=one+two+three+four+five+six</t>
  </si>
  <si>
    <t>import random
C1= chr(random.randint(65,90))
C2= chr(random.randint(65,90))
N1= random.randint(0,9)
N2= random.randint(0,9)
N3= random.randint(0,9)
c1= chr(random.randint(97,122))
result= str(C1)+str(C2)+str(N1)+str(N2)+str(N3)+str(c1)</t>
  </si>
  <si>
    <t>import random
c1 = random.randint(65,90)
c2 = random.randint(65,90)
n1 = random.randint(48,57)
n2 = random.randint(48,57)
n3 = random.randint(48,57)
l1 = random.randint(97,122)
C1 = chr(c1)
C2 = chr(c2)
N1 = chr(n1)
N2 = chr(n2)
N3 = chr(n3)
L1 = chr(l1)
result = C1 + C2 + N1 + N2 + N3 + L1</t>
  </si>
  <si>
    <t>import random
n1=random.randint(65,90)
n2=random.randint(65,90)
n3=random.randint(0,9)
n4=random.randint(0,9)
n5=random.randint(0,9)
n6=random.randint(97,122)
result = (chr(n1)+chr(n2)+str(n3)+str(n4)+str(n5)+chr(n6))
print(result)</t>
  </si>
  <si>
    <t>s = "\"He said, \'This is nested\\annoying\'\", Steve recalled."</t>
  </si>
  <si>
    <t xml:space="preserve">s ="\"He said, 'This is nested\\annoying'\", Steve recalled."
</t>
  </si>
  <si>
    <t>s = "\"He said, 'This is nested\\annoying'\", Steve recalled."</t>
  </si>
  <si>
    <t xml:space="preserve">a = '"He said,'
y = " "
z = "'"
b = "This is nested"
c = "\\"
d = "annoying'"
x = '"'
e = ", Steve recalled."
s = a + y + z + b + c + d + x + e
                 </t>
  </si>
  <si>
    <t>s = "\"" + "He said, " +  "'This is nested\\annoying'" + "\"" + "," + " Steve recalled."</t>
  </si>
  <si>
    <t>s="\"He said, \'This is nested\\annoying\'\", Steve recalled."</t>
  </si>
  <si>
    <t xml:space="preserve">s ="\"He said, 'This is nested\\annoying'\", Steve recalled." </t>
  </si>
  <si>
    <t xml:space="preserve">s = '"He said, ' + "'This is nested" +'\\'+"annoying'" + '", Steve recalled.'#"Your Answer Here"
print(s)
</t>
  </si>
  <si>
    <t>s = "\"He said, \'This is nested\\annoying\'\", Steve recalled."#r Answer Here"</t>
  </si>
  <si>
    <t>s = "\"He said, \'This is nested\\annoying\'\", Steve recalled." #"Your Answer Here"</t>
  </si>
  <si>
    <t>s = '"He said, \'This is nested\\annoying\'\", Steve recalled.'</t>
  </si>
  <si>
    <t xml:space="preserve">d = "'This is nested"
e = "annoying'"
a = d+"\\"+e
b = '"He said, '
c = '", Steve recalled.'
s = b+a+c
</t>
  </si>
  <si>
    <t>s = """"He said, 'This is nested\\annoying'", Steve recalled."""</t>
  </si>
  <si>
    <t>s = "\"He said, 'This is nested\\annoying'\", Steve recalled."#"Your Answer Here"</t>
  </si>
  <si>
    <t xml:space="preserve">s = ("\"He said, 'This is nested\\annoying'\", Steve recalled.")
</t>
  </si>
  <si>
    <t>s = "\"He said, \'This is nested\\annoying\'\", Steve recalled."#Your Answer Here
print(s)</t>
  </si>
  <si>
    <t xml:space="preserve">s = "\"He said, \'This is nested\\annoying\'\", Steve recalled."
</t>
  </si>
  <si>
    <t xml:space="preserve">s = "\"He said, \'This is nested\\"+"annoying\'\", Steve recalled."
</t>
  </si>
  <si>
    <t>s = "\"He said, 'This is nested\\annoying'\", Steve recalled." #"Your Answer Here"</t>
  </si>
  <si>
    <t>s = chr(34)+'He said, '+chr(39)+'This is nested'+chr(92)+'annoying'+chr(39)+chr(34)+", Steve recalled.'</t>
  </si>
  <si>
    <t xml:space="preserve">
s = "\"He said, \'This is nested\\annoying\'\", Steve recalled."</t>
  </si>
  <si>
    <t>s = '"He said, ' + "'This is nested\\an" +"noying'" + '"' + ", Steve recalled."
 #"Your Answer Here"</t>
  </si>
  <si>
    <t>s = "\"He " + "said, " + "\'This " + "is " + "nested\\" + "annoying\'\"," + " Steve " + "recalled." 
print (s)</t>
  </si>
  <si>
    <t>s = "\"He said, \'This is nested\\"+"annoying'\", Steve recalled." #"Your Answer Here"</t>
  </si>
  <si>
    <t>s = "\"He said, \'This is nested\\annoying\'\", Steve recalled."#"Your Answer Here"</t>
  </si>
  <si>
    <t>s = '\"He said, \'This is nested\\annoying\'\", Steve recalled.'</t>
  </si>
  <si>
    <t>s = str("\"He said, 'This is nested\\")+str("annoying'\"")+str(", Steve recalled.")</t>
  </si>
  <si>
    <t>s =  "\"He said, 'This is nested\\annoying'\""+", Steve recalled."#Your Answer Here</t>
  </si>
  <si>
    <t xml:space="preserve">s="\"He said, \'This is nested\\annoying\'\", Steve recalled."
</t>
  </si>
  <si>
    <t xml:space="preserve">s = "\"He said, \'This is nested\\annoying'\", Steve recalled."
</t>
  </si>
  <si>
    <t xml:space="preserve">g = '"He said,' #"Your Answer Here"
f = " 'This is nested"+str(chr(92))+"annoying'"
l = '", Steve recalled.'
s = g+f+l
</t>
  </si>
  <si>
    <t xml:space="preserve">s = '"He said, \'This is nested\\annoying\'", Steve recalled.'
</t>
  </si>
  <si>
    <t>s = "\"He said, 'This is nested\\annoying'\"" + ", Steve recalled."#Your Answer Here</t>
  </si>
  <si>
    <t xml:space="preserve">s = "\"He said, \'This is nested\\annoying\'\", Steve recalled."
print(s)
</t>
  </si>
  <si>
    <t xml:space="preserve">
s = "\"He said, \'This is nested\\annoying\'\", Steve recalled."</t>
  </si>
  <si>
    <t>s = '"'+"He said, "+"'"+"This is nested"+"\\"+"annoying"+"'"+'"'+", Steve recalled." #"Your Answer Here"</t>
  </si>
  <si>
    <t xml:space="preserve">g='"He said,'
f=" 'This is nested"+str(chr(92))+"annoying'"
l='", Steve recalled.'
s=g+f+l
</t>
  </si>
  <si>
    <t>s=chr(34)+"He said, 'This is nested"+chr(92)+"annoying'"+chr(34)+", Steve recalled."</t>
  </si>
  <si>
    <t>s = "" # Your answer here
s += 'a'*1000
s+='b'*1000</t>
  </si>
  <si>
    <t>s = "a" * 1000 + "b" * 1000 # Your answer here</t>
  </si>
  <si>
    <t>s = "a" *1000+"b"*1000</t>
  </si>
  <si>
    <t>s = "a"*1000 + "b"*1000 # Your answer here</t>
  </si>
  <si>
    <t>s = str("a") * 1000 + str("b") * 1000 # Your answer here</t>
  </si>
  <si>
    <t>s = "a"*1000+"b"*1000 # Your answer here</t>
  </si>
  <si>
    <t>s = "a" * 1000 + 'b'* 1000# Your answer here</t>
  </si>
  <si>
    <t>s=1000*"a"+1000*"b"
print(s)</t>
  </si>
  <si>
    <t>s = "" # Your answer here
s += 'a' * 1000
s += 'b' * 1000</t>
  </si>
  <si>
    <t xml:space="preserve">s = ""
for x in range(1000):
    s = s + "a"
for x in range(1000):
    s = s + "b"
print(s)
</t>
  </si>
  <si>
    <t>a = "a"
b = "b"
c = 1000* a
d = 1000* b
e = c + d
s = e</t>
  </si>
  <si>
    <t xml:space="preserve">s = '' # Your answer here
for x in range(1000):
    s += 'a'
for y in range(1000):
    s += 'b'
    </t>
  </si>
  <si>
    <t>string1 = "a"
string2 = "b"
s = string1 * 1000 + string2 * 1000 # Your answer here</t>
  </si>
  <si>
    <t>s = "a"*1000+"b"*1000</t>
  </si>
  <si>
    <t>s = "a"*1000+'b'*1000 # Your answer here</t>
  </si>
  <si>
    <t>s = 1000 * 'a' + 1000 * 'b'</t>
  </si>
  <si>
    <t>s = ""
# Your answer here
s = "a" * 1000 + "b" * 1000</t>
  </si>
  <si>
    <t>s = "a" * 1000 + "b" * 1000</t>
  </si>
  <si>
    <t>s = 1000 * "a" + 1000 * "b" # Your answer here</t>
  </si>
  <si>
    <t>s = 'a'*1000 + 'b'*1000 # Your answer here</t>
  </si>
  <si>
    <t>count=1
s=''
while count&lt;=1000:
    s+='a'
    count+=1
while count&lt;=2000:
    s+='b'
    count+=1</t>
  </si>
  <si>
    <t>s = ("a" * 1000) + ("b" * 1000) # Your answer here</t>
  </si>
  <si>
    <t>s='a'*1000+'b'*1000</t>
  </si>
  <si>
    <t>s = "a" * 1000 + "b" * 1000# Your answer here</t>
  </si>
  <si>
    <t>a = "a" * 1000
b = "b" * 1000
s = a + b</t>
  </si>
  <si>
    <t>s = ("a"*1000)+("b"*1000) # Your answer here</t>
  </si>
  <si>
    <t>s = "" # Your answer here
s = 'a' * 1000 + 'b' * 1000</t>
  </si>
  <si>
    <t>s = "" # Your answer here
for i in range(1000):
    s = s + "a"
for i in range(1000):
    s = s + "b"</t>
  </si>
  <si>
    <t>s = ''
lol = 'a' * 1000
lols = 'b' * 1000
s += lol
s+= lols</t>
  </si>
  <si>
    <t xml:space="preserve">s = "" # Your answer here
for i in range(1,1001):
    s+='a'
for j in range(1, 1001):
    s+='b'
  </t>
  </si>
  <si>
    <t>s = "" 
for count in range(1000):
    s+="a"
for count in range(1000):
    s+="b"</t>
  </si>
  <si>
    <t>s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 Your answer here</t>
  </si>
  <si>
    <t xml:space="preserve">
s = ""
for count in range(1000):
    s += "a"
for count in range(1000):
    s += "b"
</t>
  </si>
  <si>
    <t>s = "" # Your answer here
for count in range(1000):
    s+="a"
for count in range(1000):
    s+="b"</t>
  </si>
  <si>
    <t>s=("a"*1000)+("b"*1000)</t>
  </si>
  <si>
    <t>s = "a"*1000 +'b'*1000 # Your answer here</t>
  </si>
  <si>
    <t>s = "a" * 1000 + 'b' * 1000</t>
  </si>
  <si>
    <t>s = ""# Your answer here
g = "a"
y = "b"
s = g*1000+y*1000</t>
  </si>
  <si>
    <t>s = ""
s1 = "a"
s2 = s1 * 1000
s3 = "b"
s4 = s3 * 1000
s = s2 + s4</t>
  </si>
  <si>
    <t>s = "a" * 1000+"b" * 1000 # Your answer here</t>
  </si>
  <si>
    <t>s = ""
for i in range(1000):
    s+="a"
for i in range(1000):
    s+="b"</t>
  </si>
  <si>
    <t>s = str(str(("a")*1000) + str(("b")*1000))</t>
  </si>
  <si>
    <t>s = ""
s += 'a' * 1000 + 'b' * 1000</t>
  </si>
  <si>
    <t>s = " " # Your answer here
a='a'*1000
b='b'*1000
s=a+b</t>
  </si>
  <si>
    <t>s = s="a"*1000+"b"*1000</t>
  </si>
  <si>
    <t xml:space="preserve">def pad(message):
    a=len(message)
    tweet=''
    if a ==140:
        return message
    elif a%2==0:
        a= 140-2-len(message)
        a=a//2
        tweet+=message+' l'
        tweet+='ol'*a
    else:
        a = 140-1-len(message)
        a=a//2
        tweet+=message+'l'
        tweet+='ol'*a
    return tweet
</t>
  </si>
  <si>
    <t>def pad(message):
    print(140 - len(message))
    if ((140 - len(message))%2 == 0) and ((140 - len(message)) != 0):
        message += ' '
    if (140 - len(message)) != 0:
        message += 'l'
    for i in range((141 - len(message)) // 2):
        message += 'ol'
    print(len(message))
    print(message.count('ol'))
    return message</t>
  </si>
  <si>
    <t>def pad(m):
    # Your code here
    if len(m) == 140:
        return m
    else:
        if len(m) % 2 == 0:
            a = 0 
            b = 140 - len(m) - 2
            c = ''
            d = ''
            while a &lt; b :
                c = c + 'lo'
                a = a + 2
            d = m + ' ' + c + 'l'
            return d
        else:
            a = 0 
            b = 140 - len(m) - 1
            c = ''
            d = ''
            while a &lt; b :
                c = c + 'lo'
                a = a + 2
            d = m + c + 'l'
            return d</t>
  </si>
  <si>
    <t>def pad(message):
    # Your code here
    if len(message)&gt;=140:
        return message
    x=140-len(message)
    x-=1
    x=x%2
    for count in range(x):
        message=message+" "
    for count in range((140-len(message))//2):
        message=message+"lo"
    message=message+"l"
    return message</t>
  </si>
  <si>
    <t>def pad(message):
    if len(message)!=140:
        if (140-len(message))%2==0:
            message+=' l'
        else:
            message+='l'
        for n in range((140-len(message))//2):
            message+='ol'
    tweet=message
    return tweet</t>
  </si>
  <si>
    <t>def pad(message):
    x=len(message)
    print(str(x))
    tweet=message+'lo'*((139-x)//2)+'l'
    print(tweet)
    tweet1=message+' '+'lo'*((139-x)//2)+'l'
    print(tweet1)
    if (x&lt;140) and (x%2!=0):
        return tweet
    elif (x&lt;140) and (x%2==0):
        return tweet1
    else:
        return message</t>
  </si>
  <si>
    <t>def pad(message):
    if len(message)==140:
        return message
    ans=""
    ans+=message
    length=len(message)
    x=140-length-1
    if x%2!=0:
        x-=1
        ans+=" "
    ans+="l"
    y=int(x/2)
    ans+="ol"*y
    return ans</t>
  </si>
  <si>
    <t>def pad(message):
    n = len(message)
    if n == 140:
        return message
    if n % 2 == 0:
        n += 1
        message += ' '
    x = (140 - n) // 2
    tweet = message + 'lo' * x + 'l'
    return tweet</t>
  </si>
  <si>
    <t xml:space="preserve">def pad(message):
    # Your code here
    if len(message)&gt;=140:
        return message
    x=140-len(message)
    x-=1
    x=x%2
    for count in range(x):
        message=message+" "
    for count in range((140-len(message))//2):
        message=message+"lo"
    message=message+"l"
    return message
</t>
  </si>
  <si>
    <t>def pad(message):
    if len(message) == 140:
        return message
    elif ((140-len(message))%2) == 0:
        message += ' l'
        while len(message) &lt;= 138:
            message += 'ol'
    else:
        message += 'l'
        while len(message) &lt;= 139:
            message += 'ol'    
    return message</t>
  </si>
  <si>
    <t>def pad(message):
    a=len(message)
    tweet=''
    if a ==140:
        return message
    elif a%2==0:
        a= 140-2-len(message)
        a=a//2
        tweet+=message+' l'
        tweet+='ol'*a
    else:
        a = 140-1-len(message)
        a=a//2
        tweet+=message+'l'
        tweet+='ol'*a
    return tweet</t>
  </si>
  <si>
    <t>def pad(message):
    a = len(message)
    tweet = ''
    if a == 140:
        return message
    if a % 2 == 0:
        tweet = message + ' ' + 'l'
        add = (140 - len(tweet))//2
        tweet += 'ol'*add
    else:
        tweet = message + 'l'
        add = (140 - len(tweet))//2
        tweet += 'ol'* add
    return tweet</t>
  </si>
  <si>
    <t>def pad(message):
    # Your code here
    tweet = message
    if len(message) == 140:
        return message
    if len(message)%2 == 0:
        tweet += " "
        num = 140 - len(tweet)
        times = num//2
        tweet += "lo"*times + "l"
    else:
        num = 140 - len(tweet)
        times = num//2
        tweet += "lo"*times + "l"
    return tweet</t>
  </si>
  <si>
    <t>def pad(message):
    length_of_pad = 140 - len(message)
    if length_of_pad &lt; 3:
        tweet = message
    else:
        if not length_of_pad % 2:
            tweet = message + " l" + ((length_of_pad-2)//2) * "ol"
        else:
            tweet = message + "l" + ((length_of_pad-1)//2) * "ol"
    return tweet</t>
  </si>
  <si>
    <t>def pad(message):
    tweet = message
    if len(tweet) % 2 == 0 and len(tweet) &lt; 140:
        tweet += ' l'
    elif len(tweet) % 2 == 1 and len(tweet) &lt; 140:
        tweet += 'l'
    while len(tweet) &lt; 140:
        tweet += 'ol'
    return tweet</t>
  </si>
  <si>
    <t>def pad(message):
    if len(message)&gt;=140:
        return message
    tweet=message+" "*((139-len(message))%2)
    while len(tweet)&lt;139:
        tweet+="lo"
    tweet+="l"
    return tweet</t>
  </si>
  <si>
    <t>def pad(message):
    # Your code here
    if len(message) == 140:
        tweet = message
    else:
        if (len(message) % 2) == 0:
            message = message + " l"
        else:
            message = message +"l"
        while len(message) &lt;= 138:
            message += "ol"
        tweet = message    
    return tweet</t>
  </si>
  <si>
    <t xml:space="preserve">def pad(message):
    ans = message
    if len(message) &gt;= 140:
        return ans
    if len(message) %2 == 0:
        ans = ans + ' '
    while len(ans) != 139:
        ans = ans + 'lo'
    ans = ans + 'l'
    return ans
 </t>
  </si>
  <si>
    <t>def pad(message):
    # Your code here
    if len(message) &gt;= 140:
        return message
    if len(message) % 2 == 0:
        message += " "
        tweet = message
        while len(tweet) != 139:
            tweet += "lo"
        tweet += "l"
    else:
        tweet = message
        while len(tweet) != 139:
            tweet += "lo"
        tweet += "l"
    return tweet</t>
  </si>
  <si>
    <t>def pad(message):
    space = 140 - len(message) - 1
    if space &lt;= 0:
        return message
    else:
        if space % 2 != 0:
            message = message + " "
        message = message + 'l'
        space = 140 - len(message)
        p = space // 2
        tweet = message + ('ol' * p)
        return str(tweet)</t>
  </si>
  <si>
    <t>def pad(message):
    a = len(message)
    b = (140-a)//2
    if a &lt; 140:
        if a%2 != 0:
            tweet = message + "lo"*(b)+ "l"
        else:
            tweet = message + " " + "lo"*(b-1)+ "l"
    else:
        tweet = message
    return tweet</t>
  </si>
  <si>
    <t xml:space="preserve">def pad(message):
    if len(message)==140:
          return message
    if len(message)%2==0:
          message=message+' '+'l'+((((140-len(message))-2)//2)*'ol')
    else:
          message=message+'l'+((((140-len(message))-1)//2)*'ol')
    return message
</t>
  </si>
  <si>
    <t>def pad(message):
                if len(message) &gt;= 138:
                                while len(message) &lt; 140:
                                                message = message + " "
                                tweet = message
                                return tweet
                if len(message) % 2 == 0:
                                message = message + " "
                message = message + "l"
                while len(message) &lt; 140:
                                message = message + "ol"
                tweet = message
                return tweet</t>
  </si>
  <si>
    <t>def pad(message):
    # Your code here
    if len(message) == 139:
        return message + " "
    elif len(message) == 140:
        return message
    str_len = len(message)
    if str_len % 2 == 0:
        message += " "
        str_len += 1
    str_lol = (140 - str_len) // 2
    for i in range(str_lol):
        message += "lo"
    message += "l"
    tweet = message
    return tweet</t>
  </si>
  <si>
    <t>def pad(message):
    tweet=message
    tweetlen=len(tweet)
    if tweetlen%2==0 and tweetlen&lt;140:
        tweet+=" "
        remlen=139-tweetlen
    else:
        remlen=140-tweetlen
    for i in range(remlen//2):
        tweet+="lo"
    if tweetlen&lt;140:
        tweet+="l"
    return tweet</t>
  </si>
  <si>
    <t>def pad(message):
    x = len(message)
    if x % 2 == 0 and x &lt; 140:
        tweet = message + " lol"
    elif x &gt;= 140:
        tweet = message
    else:
        tweet = message + "lol"
    if len(tweet) &lt; 140:
        while len(tweet) &lt; 140:
            tweet += "ol"
    else:
        tweet = tweet
    return tweet</t>
  </si>
  <si>
    <t xml:space="preserve">def pad(message):
    lst = list(message)
    l = len(lst)
    s = "ol"
    if l &lt; 140:
        if l % 2 == 0:
            s1 = message + " " + "l" + s * ((140 - l - 2) // 2)
            return s1
        else:
            s1 = message + "l" + s * ((140 - l - 1) // 2)
            return s1
    else:
        return message
     </t>
  </si>
  <si>
    <t>import math
def pad(message):
    # Your code here
    a=len(message)
    if a ==140:
        tweet= message
    else:
        if a % 2 ==0:
            tweet=message+" "+math.floor((140-1-a)/2)*"lo"+"l"
        else:
            tweet=message+math.floor((140-a)/2)*"lo"+"l"
    return tweet</t>
  </si>
  <si>
    <t>def pad(message):
    # Your code here
    tweet=""
    if len(message)==140:
        tweet+=message
    elif (140-len(message))%2-1==0:
        tweet+=message+"l"+"ol"*((140-len(message))//2)
    else:
        tweet+=message+" l"+"ol"*((140-len(message))//2-1)
    return tweet</t>
  </si>
  <si>
    <t>def pad(message):
    # Your code here
    no = (140-len(message)-1)//2
    if len(message) &gt; 137:
        return message
    if (140-len(message)-1)%2 == 1:
        return message + " "+no*"lo"+"l"
    else:
        return message +no*"lo"+"l"</t>
  </si>
  <si>
    <t>def pad(message):
    # Your code here
    if len(message) == 138:
      return message + "  "
    elif len(message) == 139:
      return message + " "
    elif len(message) == 140:
      return message
    if len(message) % 2 == 0:
        tweet = message + " "
    else:
        tweet = message
    for i in range((139 - len(tweet)) // 2):
        tweet += "lo"
        if len(tweet) == 139:
            break
    tweet += "l"
    return tweet</t>
  </si>
  <si>
    <t>def pad(message):
    tweet = ""
    if len(message)%2 == 0 and len(message) &lt; 140:
        tweet = message + " l"
        x = (140 - len(tweet))//2
        tweet = tweet + x * "ol"
    elif len(message)%2 == 1 and len(message) &lt; 140:
        tweet = message + "l"
        x = (140 - len(tweet))//2
        tweet = tweet + x * "ol"
    else:
        tweet = message
    return tweet</t>
  </si>
  <si>
    <t>def pad(message):
        if len(message) &lt; 140:
                if len(message) % 2 == 0:
                        tweet = message + " "
                        while len(tweet) &lt; 139:
                                tweet += "lo"
                        tweet += "l"
                else:
                        tweet = message + ""
                        while len(tweet) &lt; 139:
                                tweet += "lo"
                        tweet += "l"
        else:
                tweet = message
        return tweet</t>
  </si>
  <si>
    <t>def pad(message):
    tweet = ""
    tweet += message
    if len(message) &gt;= 140:
        tweet = message
        return tweet
    if len(message) % 2 == 0:
        tweet = message + ' '# Your code here
    while len(tweet) != 139:
        tweet += 'lo'
    tweet += 'l'
    return tweet</t>
  </si>
  <si>
    <t>def pad(message):
    tweet=""
    if len(message)==140:
        tweet+=message
    elif (140-len(message))%2-1==0:
        tweet+=message+"l"+"ol"*((140-len(message))//2)
    else:
        tweet+=message+" l"+"ol"*((140-len(message))//2-1)
    return tweet</t>
  </si>
  <si>
    <t xml:space="preserve">def pad(m):
    # Your code here
    if len(m) == 140:
        return m
    else:
        if len(m) % 2 == 0:
            a = 0 
            b = 140 - len(m) - 2
            c = ''
            d = ''
            while a &lt; b :
                c = c + 'lo'
                a = a + 2
            d = m + ' ' + c + 'l'
            return d
        else:
            a = 0 
            b = 140 - len(m) - 1
            c = ''
            d = ''
            while a &lt; b :
                c = c + 'lo'
                a = a + 2
            d = m + c + 'l'
            return d
                </t>
  </si>
  <si>
    <t>def pad(message):
    # Your code here
    if len(message) == 140:
        return message
    if len(message) % 2 == 0:
        message += ' l'
    else:
        message += 'l'
    z = 140 - len(message)
    z = z//2
    x = ''.zfill(z)
    message += x
    tweet = message.replace('0",'ol')
    return tweet</t>
  </si>
  <si>
    <t>def pig_latin(word):
    s = word[0]
    word = word[1:]
    word+=s
    word+='ay'
    return word</t>
  </si>
  <si>
    <t>def pig_latin(word):
    # Your code here
    s1 = word[1:len(word)] + word[0]
    s1 = s1 + 'ay'
    return s1</t>
  </si>
  <si>
    <t>def pig_latin(word):
    ans=""
    for count in range(1,len(word)):
        ans+=word[count]
    ans+=word[0]+"ay"
    return ans</t>
  </si>
  <si>
    <t>def pig_latin(word):
    # Your code here
    potato= word[1:]+word[0]
    ans = potato + "ay"
    return ans</t>
  </si>
  <si>
    <t>def pig_latin(word):
    ans = ""
    ans += word[1:(len(word))]
    ans += word[0]
    ans += "ay"
    return ans</t>
  </si>
  <si>
    <t>def pig_latin(word):
    a = word[1 : ]
    ans = str(a) + str(word[0]) + "ay"
    # Your code here
    return ans</t>
  </si>
  <si>
    <t>def pig_latin(word):
    s=0
    s=word[0]
    word=word[1:]
    ans=word+s
    ans=ans+"ay"
    return ans</t>
  </si>
  <si>
    <t>def pig_latin(word):
    x=word[0]
    ans=word[1:]+x+'ay'
    return ans</t>
  </si>
  <si>
    <t>def pig_latin(word):
    # Your code here
    ans = word[1: ] + word[0] + "ay"
    return ans</t>
  </si>
  <si>
    <t>def pig_latin(word):
    a=word[0:1]
    b=word[1:]
    ans = b+a+'ay'
    return ans</t>
  </si>
  <si>
    <t>def pig_latin(word):
    # Your code here
    ans = word[1:]
    ans += word[0]
    ans += 'ay'
    return ans</t>
  </si>
  <si>
    <t>def pig_latin(word):
    x=word[0]
    ans=word[1:]+x+"ay"
    return ans</t>
  </si>
  <si>
    <t xml:space="preserve">def pig_latin(word):
    ans = word[1:] + word[0]
    ans += 'ay'
    return ans
</t>
  </si>
  <si>
    <t xml:space="preserve">def pig_latin(word):
    ans = word[1:len(word)] + word[0] + "ay"
    return ans
</t>
  </si>
  <si>
    <t>def pig_latin(word):
    x = word[:1]
    y = word[1:]
    ans = y + x + "ay"
    return ans</t>
  </si>
  <si>
    <t>def pig_latin(word):
    first_alpha = word[0]
    word = word[1:len(word)]
    word += first_alpha
    word += 'ay'
    return word</t>
  </si>
  <si>
    <t>def pig_latin(word):
    # Your code here
    return word[1:]+word[0]+"ay"</t>
  </si>
  <si>
    <t>def pig_latin(word):
    # Your code here
    temp = word[0]
    word1 = word[1:]
    word1 += temp + "ay"
    ans = word1
    return ans</t>
  </si>
  <si>
    <t>def pig_latin(word):
    first_letter = word[0]
    ans = word[1:len(word)] + first_letter + 'ay'
    return ans</t>
  </si>
  <si>
    <t>def pig_latin(word):
    ans = word[1:]
    ans += word[0] + 'ay'
    return ans</t>
  </si>
  <si>
    <t>def pig_latin(word):
    word=word[1:]+str(word[0])
    word+="ay"
    ans=word
    return( ans)</t>
  </si>
  <si>
    <t>def pig_latin(word):
    # Your code here
    a = word[0]
    word.replace(word[0],"")
    word = word[1:]
    word = word + a
    word = word + "ay"
    ans = word
    return ans</t>
  </si>
  <si>
    <t>def pig_latin(word):
        # Your code here
        ans = word[1:] + word[0] + 'ay'
        return ans</t>
  </si>
  <si>
    <t>def pig_latin(word):
    a = word[0]
    word = word[1:len(word)]
    ans = word + a + 'ay'
    return ans</t>
  </si>
  <si>
    <t>def pig_latin(word):
    # Your code here
    ans = word[1:len(word)] + word[0] + "ay"
    return ans</t>
  </si>
  <si>
    <t xml:space="preserve">def pig_latin(word):
    # Your code here
    ans= word[1:]+word[0]+'ay'
    return ans
</t>
  </si>
  <si>
    <t>def pig_latin(word):
    c=word[0]
    word=word.replace(c,'')
    word=word+str(c)+'ay'
    return word</t>
  </si>
  <si>
    <t>def pig_latin(word):
    first = word[0]
    ans = word[1:(len(word))]
    ans = ans + first + "ay"
    return ans</t>
  </si>
  <si>
    <t>def pig_latin(word):
    # Your code here
    q = word[0]
    ans = word[1:]
    ans += q
    ans += "ay"
    return ans</t>
  </si>
  <si>
    <t xml:space="preserve">def pig_latin(word):
    # Your code here
    joke = word[ :1]
    ans = word[1: ]
    ans += joke
    ans += "ay"
    return ans
</t>
  </si>
  <si>
    <t>def pig_latin(word):
    # Your code here
    word += word[0] # adds the last letter at the back
    word = word[1:] # removes first letter
    word += "ay" # adds the string 'ay' to the end of the word
    ans = word
    return ans</t>
  </si>
  <si>
    <t xml:space="preserve">def pig_latin(word):
    wordfirst=word[0]
    word=word[1:]
    return word+wordfirst+"ay"
    </t>
  </si>
  <si>
    <t>def pig_latin(word):
    ans = word[1: ] + word[0] + "ay"
    return ans</t>
  </si>
  <si>
    <t xml:space="preserve">def pig_latin(word):
    W = str(word)
    w = ''
    for i in range (1, len(W)):
        w += W[i]
    x = w + str(W[0]) + "ay"
    return x
</t>
  </si>
  <si>
    <t>def pig_latin(word):
    w1 = word[ :1]
    w2 = word[1: ]
    ans = w2 + w1 + "ay"
    return ans</t>
  </si>
  <si>
    <t>def pig_latin(word):
    # Your code here
    alp=word[0]
    length=len(word)
    ans=word[1:length]+alp+"ay"
    return ans</t>
  </si>
  <si>
    <t>def pig_latin(word):
    f = word[0]
    ans = word[1:] + f + 'ay'
    return ans</t>
  </si>
  <si>
    <t>def pig_latin(word):
    ans = word[1:] + word[0] + "ay"
    return ans</t>
  </si>
  <si>
    <t>def pig_latin(word):
    # Your code here
    ans=word[1:]+word[0]+"ay"
    return ans</t>
  </si>
  <si>
    <t>def pig_latin(word):
    ans = ''
    last = word[1: ]
    first = word[0]
    ans = last + first + 'ay'
    return ans</t>
  </si>
  <si>
    <t>def pig_latin(word):
    ans = word[1:]
    ans = ans + word[0]
    ans = ans + "ay"
    print(ans)
    return ans</t>
  </si>
  <si>
    <t xml:space="preserve">def pig_latin(word):
    a=word[0]
    word=word[1:]
    ans = word+a+"ay"
    return ans
</t>
  </si>
  <si>
    <t>def pig_latin(word):
    ans=word[1:]+word[0]+str('ay')
    return ans</t>
  </si>
  <si>
    <t>def pig_latin(word):
    # Your code here
    word += word[0]
    word=word[1:]
    word+="ay"
    return word</t>
  </si>
  <si>
    <t>def pig_latin(word):
    # Your code here
    ans = word[1:] + word[0] + "ay"
    return ans</t>
  </si>
  <si>
    <t>def pig_latin(word):
    a = ""
    a += word[1:-1] + word[-1]
    a += word[0]
    a += "ay"
    return a</t>
  </si>
  <si>
    <t>def pig_latin(word):
    ans=word[1:]+word[:1]+"ay"
    return ans</t>
  </si>
  <si>
    <t>def pig_latin(word):
    ans=word[1:]
    ans=ans+word[:1]
    ans=ans+"ay"
    print(ans)
    return ans</t>
  </si>
  <si>
    <t>def pig_latin(word):
    # Your code here
    ans=word[1:]+word[0]+"ay"                                                                                                                                                                   
    return ans</t>
  </si>
  <si>
    <t>def pig_latin(word):
    word1=""
    for count in range(1,len(word)):
        word1=word1+word[count]
    word1=word1+word[0]+"ay"
    return word1</t>
  </si>
  <si>
    <t>def pig_latin(word):
    lst1 = []
    for i in word:
        lst1.append(i)
    temp = lst1.pop(0)
    lst1.append(temp)
    ans = ""
    for j in lst1:
        ans = ans + j
    ans = ans + "ay"
    return ans</t>
  </si>
  <si>
    <t>def pig_latin(word):
    # Your code here
    y=word[0]
    word=word+str(y)
    z=len(word)
    word=word[1:z+1]
    word=word+'ay'
    ans=word
    return ans</t>
  </si>
  <si>
    <t>def pig_latin(word):
    x = word[1:]
    ans = x + word[0] + "ay"
    return ans</t>
  </si>
  <si>
    <t>def pig_latin(word):
    x = "ay"
    g = len(word)
    c = word[0]
    word2 = word[1 :g]
    ans = word2 + c + x
    return ans</t>
  </si>
  <si>
    <t>def pig_latin(word):
    s = ""
    for number in range(1,len(word)):
        s += word[number]
    s += word[0]
    s += "ay"
    return s</t>
  </si>
  <si>
    <t>def pig_latin(word):
    ans = word[1: len(word)] + word[0]
    ans += "ay"
    # Your code here
    return ans</t>
  </si>
  <si>
    <t>def pig_latin(word):
    ans = word[1:]+word[0]+'ay'
    return ans</t>
  </si>
  <si>
    <t xml:space="preserve">def pig_latin(word):
    x = word[0]
    z = word[1:] + str(str(x) + str("ay"))
    return z
print(pig_latin('pig'))
</t>
  </si>
  <si>
    <t xml:space="preserve">
def pig_latin(word):
    s = word[0]
    word = word[1:]
    word+=s
    word+='ay'
    return word
</t>
  </si>
  <si>
    <t>def pig_latin(word):
    # Your code here
    ans = ''
    for i in range(1, len(word)):
        ans = ans + word[i]
    ans = ans + word[0]
    ans = ans + "ay"
    return ans</t>
  </si>
  <si>
    <t>def pig_latin(word):
    ans = word[1:] + word[0] + 'ay'
    return ans</t>
  </si>
  <si>
    <t>def pig_latin(word):
    a=word[0]
    word=word[1:len(word)]
    ans=word+a+'ay'
    return ans</t>
  </si>
  <si>
    <t>def pig_latin(word):
    # Your code here
    x = ''
    x = x + word[1:]
    x = x + word[0]
    x = x + 'ay'
    return x</t>
  </si>
  <si>
    <t xml:space="preserve">def pig_latin(word):
    s=word
    ans=s[1:len(s)]+s[0]+"ay"
    return ans
</t>
  </si>
  <si>
    <t>def swap(s):
    res = s.swapcase()
    return res</t>
  </si>
  <si>
    <t>def swap(s):
    # Your code here
    res = s.swapcase()
    return res</t>
  </si>
  <si>
    <t>def swap(s):
    res=s.swapcase()
    return res</t>
  </si>
  <si>
    <t>def swap(s):
    # Your code here
    global swapcase
    res = str.swapcase(s)
    return res</t>
  </si>
  <si>
    <t>def swap(s):
    res=''
    res=s.swapcase()
    return res</t>
  </si>
  <si>
    <t>def swap(s):
    # Your code here
    res=s.swapcase()
    return res</t>
  </si>
  <si>
    <t>def swap(s):
   res = s.swapcase()
   return res</t>
  </si>
  <si>
    <t>def swap(s):
    # Your code here
    return s.swapcase()</t>
  </si>
  <si>
    <t>def swap(s):
    res = s.swapcase()
    # Your code here
    return res</t>
  </si>
  <si>
    <t>def swap(s):
    res = ""
    for i in s:
        if i == i.upper():
            res += i.lower()
        else:
            res += i.upper()
    return res</t>
  </si>
  <si>
    <t>def swap(s):
    # Your code here
    res = s.swapcase()
    return res</t>
  </si>
  <si>
    <t>def swap(s):
        # Your code here
        res = s.swapcase()
        return res</t>
  </si>
  <si>
    <t xml:space="preserve">def swap(s):
    res = s.swapcase()
    return res
</t>
  </si>
  <si>
    <t>def swap(s):
    s=s.swapcase()
    return s</t>
  </si>
  <si>
    <t xml:space="preserve">def swap(s):
    # Your code here
    res = s.swapcase()
    return res
</t>
  </si>
  <si>
    <t>def swap(s):
    res = str(s).swapcase()
    return res</t>
  </si>
  <si>
    <t>def swap(s):
    # Your code here\
    res=s.swapcase()
    return res</t>
  </si>
  <si>
    <t xml:space="preserve">def swap(s):
    g = ""
    for count in range(len(s)):
        if s[count].isalpha:
            g += s[count].swapcase()
        else:
            g += s[count]
    return g
    </t>
  </si>
  <si>
    <t>def swap(s):
    res=s.swapcase()
    # Your code here
    return res</t>
  </si>
  <si>
    <t>def swap(s):
    res=s.swapcase()# Your code here
    return res</t>
  </si>
  <si>
    <t>def swap(s):
    total=s.swapcase()
    return total</t>
  </si>
  <si>
    <t>def swap(s):
    res = s.swapcase()
    return res</t>
  </si>
  <si>
    <t>def swap(s):
    res = s.swapcase()# Your code here
    return res</t>
  </si>
  <si>
    <t xml:space="preserve">def swap(s):
    # Your code here
    res = ''
    for i in s:
        if isinstance(i, str):
            res = res + i.swapcase()
    return res
</t>
  </si>
  <si>
    <t xml:space="preserve">def swap(s):
    res=s.swapcase()
    return res
</t>
  </si>
  <si>
    <t>def pig_latin_sentence(sentence):
    res = sentence.split()
    x = ''
    for i in range(len(res)):
        s = res[i]
        y = s[0]
        x += s[1:]
        x += y
        x+= 'ay'
        if i != (len(res)-1):
            x+= ' '
    return x</t>
  </si>
  <si>
    <t>def pig_latin_sentence(sentence):
    # Your code here
    sentence = sentence.split()
    res = ''
    c = len(sentence)
    for x in sentence:
        res = res + x[1:] + x[0] + 'ay'
        if c != 1:
            res = res + ' '
        c -= 1
    return res</t>
  </si>
  <si>
    <t>def pig_latin_sentence(sentence):
    # Your code here
    res = sentence.split()
    a = ''
    for i in res:
        a+=pig_latin(i)+" "
    result=a[:-1]
    return result</t>
  </si>
  <si>
    <t xml:space="preserve">def pig_latin_sentence(sentence):
    # Your code here
    x = sentence.split()
    y = ""
    hd = ""
    for i in range (0, len(x)):
        z = x[i]
        m = list(z)
        temp = m[0]
        for i in range (1,len(m)):
            m[i-1] = m[i]
        m[len(m)-1] = temp
        m.append('a')
        m.append('y')
        k = ''.join(m)
        hd = hd + " " +k
    res = hd[1:]
    return res
print(pig_latin_sentence("pig latin"))
</t>
  </si>
  <si>
    <t>def pig_latin_sentence(sentence):
    res = ""
    lst = sentence.split()
    for i in range(len(lst)):
        res += (lst[i])[1:(len(lst[i]))]
        res += (lst[i])[0]
        res += "ay"
        if i &lt; len(lst)-1:
            res += " "
    return res</t>
  </si>
  <si>
    <t>def pig_latin_sentence(s):
    # Your code here
    a = s.split()
    b = 0
    c = ''
    while b &lt; len(a):
        if b == len(a) - 1:
            c = str(c) + str(pig_latin(a[b]))
        else:
            c = str(c) + str(pig_latin(a[b])) + " "
        b = b + 1
    d = str(c)
    return d</t>
  </si>
  <si>
    <t>def pig_latin_sentence(sentence):
    s=sentence.split()
    res=""
    for count in range(len(s)):
        word=s[count]
        a=word[0]
        n=word[1:]
        newword=n+a+"ay"
        res=res+newword
        if count!=len(s)-1:
            res=res+" "
    return res</t>
  </si>
  <si>
    <t>def pig_latin_sentence(sentence):
    x=sentence.split(' ')
    for n in range(len(x)):
        x[n]=pig_latin(x[n])
    res=' '.join(x)
    return res</t>
  </si>
  <si>
    <t>def pig_latin_sentence(sentence):
    # Your code here
    res = ""
    a = sentence.split()
    for q in range(len(a)):
        res = res + pig_latin(a[q])
        if len(a) - q -1 &gt; 0:
            res += " "
    return res</t>
  </si>
  <si>
    <t>def pig_latin_sentence(sentence):
    x = sentence.split()
    y= ''
    for i in x:
        y +=" "+pig_latin(i)
    res=y[1:]
    return res</t>
  </si>
  <si>
    <t>def pig_latin_sentence(sentence):
    lst = sentence.split()
    newS = ''
    for element in lst:
        newS += pig_latin(element)
        newS += ' '
    newS = newS[:-1]
    return newS</t>
  </si>
  <si>
    <t>def pig_latin_sentence(sentence):
    x=sentence.split()
    res=""
    for i in x:
        y=i[0]
        res+=i[1:]+y+"ay"
        res+=" "
    res=res[:-1]
    return res</t>
  </si>
  <si>
    <t>def pig_latin_sentence(sentence):
    sentence = sentence.split()
    res = ''
    print(len(sentence))
    for i in range(len(sentence)):
        sentence[i] = pig_latin(sentence[i])
        print(i)
        res += sentence[i] + ' '
    res = res[:-1]
    return res</t>
  </si>
  <si>
    <t xml:space="preserve">def pig_latin(s):
    word = s[1:len(s)] + s[0] + "ay"
    return word
def pig_latin_sentence(string):
    list1 = string.split()
    new = ''
    for x in range(len(list1)): 
        if x == len(list1) - 1:
            new = new + pig_latin(list1[x])
        else:
            new = new + pig_latin(list1[x]) + " "
    return new
</t>
  </si>
  <si>
    <t>def pig_latin_sentence(sentence):
    d=''
    a=sentence.split(' ')
    for i in (a):
        d+= ' '+pig_latin(i)
    ans = d[1:]
    return ans</t>
  </si>
  <si>
    <t>def pig_latin_sentence(sentence):
    res = ''
    lst = sentence.split()
    for i in lst:
        res += pig_latin(i)
        res += ' '
    res = res[:(len(res)-1)]
    return res</t>
  </si>
  <si>
    <t>def pig_latin_sentence(sentence):
    list1 = sentence.split()
    y= ''
    for i in list1:
        y +=" "+pig_latin(i)
    ans=y[1:]
    return ans</t>
  </si>
  <si>
    <t>def pig_latin_sentence(sentence):
    # Your code here
    res = ""
    a = sentence.split(" ")
    for i in range(len(a)):
        word = a[i]
        res += pig_latin(word)
        if i != len(a)-1:
            res += " "
    return res</t>
  </si>
  <si>
    <t>def pig_latin_sentence(sentence):
    words = sentence.split(" ")
    res = ""
    for i in words[0:len(words) - 1]:
        i = i[1:len(i)] + i[0] + 'ay'
        res = res + i + " "
    words[len(words) - 1] = words[len(words) - 1][1:len(words[len(words) - 1])] + words[len(words) - 1][0] + 'ay'
    res = res + words[len(words) - 1]
    return res</t>
  </si>
  <si>
    <t>def pig_latin_sentence(sentence):
    sentence = sentence.split(' ')
    res = []
    for i in sentence:
        res.append(pig_latin(i))
    res = " ".join(res)
    return res</t>
  </si>
  <si>
    <t>def pig_latin_sentence(sentence):
    sentence=sentence.split()
    for i in range(len(sentence)):
        sentence[i]=pig_latin(sentence[i])
    res=""
    for i in range(len(sentence)):
        res+=sentence[i]
        if i&lt;len(sentence)-1:
            res+=" "
    return res</t>
  </si>
  <si>
    <t>def pig_latin_sentence(sentence):
    # Your code here
    s = sentence.split(" ")
    res = ""
    for i in s:
        res = res + pig_latin(i)
        res = res + " "
    res = res[0:len(res)-1]
    return res</t>
  </si>
  <si>
    <t>def pig_latin_sentence(sentence):
    # Your code here
    lst = sentence.split()
    lst2 = []
    for i in lst:
        x = pig_latin(i)
        lst2.append(x)
    rea = ''
    for j in lst2:
        rea += j + " "
    res = rea[:-1]
    return res</t>
  </si>
  <si>
    <t>def pig_latin_sentence(sentence):
    s = sentence.split()
    res = ''
    for i in range(len(s) - 1):
        a = s[i]
        first = a[0]
        b = a[1:len(a)]
        res = res + b + first +'ay '
    a = s[-1]
    first = a[0]
    b = a[1:len(a)]
    res = res + b + first + 'ay'
    return res</t>
  </si>
  <si>
    <t>def pig_latin_sentence(sentence):
    # Your code here
    sen = ""
    sentence = sentence.split()
    for i in range(len(sentence)-1):
        sen = sen + pig_latin(sentence[i]) + ' '
    sen = sen + pig_latin(sentence[len(sentence)-1])
    return sen</t>
  </si>
  <si>
    <t xml:space="preserve">def pig_latin_sentence(sentence):
    # Your code here
    res=''
    a=sentence.split(' ')
    for i in (a):
        res += ' '+ pig_latin(i)
    res = res[1:]
    return res
</t>
  </si>
  <si>
    <t>def pig_latin_sentence(s):
    l=s.split()
    res=''
    count=0
    for i in l:
        if count==0:
            res=res+pig_latin(i)
            count+=1
        else:
            res=res+' '+pig_latin(i)
    return res</t>
  </si>
  <si>
    <t>def pig_latin_sentence(sentence):
    res = ""
    wordlist = sentence.split()
    for word in wordlist:
        pigged_word = pig_latin(word)
        res = res + pigged_word + " "
    end = len(res) - 1
    res = res[0: end]
    return res</t>
  </si>
  <si>
    <t>def pig_latin_sentence(sentence):
    # Your code here
    res = ""
    a = sentence.split(" ")
    for i in range(len(a)):
        b = a[i]
        c = str(b[0])
        d = str(b[1:])
        d += c
        d += "ay"
        res += d
        if i != len(a)-1:
            res += " "
    return res</t>
  </si>
  <si>
    <t>def pig_latin_sentence(sentence):
    # Your code here
    jishnu = sentence.split(" ")
    jk = ""
    for j in jishnu:
        jk += pig_latin(j) + " "
    res = jk[ :len(jk) - 1]
    return res</t>
  </si>
  <si>
    <t>#Question 5
def pig_latin_sentence(sentence):
    # Your code here
    words = sentence.split()
    res = ""
    for i in words:
        res += pig_latin(i)
        res += " "
    res = res[:-1] #strips off the last space in the result
    return res</t>
  </si>
  <si>
    <t>def pig_latin_sentence(sentence):
    res=""
    sentence=sentence.split()
    for i in range(len(sentence)):
        res+=pig_latin(sentence[i])
        if i!=len(sentence)-1:
            res+=" "
    return res</t>
  </si>
  <si>
    <t>def pig_latin_sentence(sentence):
    s = sentence.split()
    lst = []
    x = len(s)
    y = 0
    while y &lt; x:
        lst = lst + [pig_latin(s[y])]
        y += 1
    z = 0
    res = ""
    while z &lt; x:
        if z &lt; x - 1:
            res = res + lst[z] + " "
        else:
            res = res + lst[z]
        z += 1
    return res</t>
  </si>
  <si>
    <t>def pig_latin_sentence(sentence):
    y = sentence.split()
    e = ''
    for i in range (0, len(y) - 1):
        e += pig_latin(str(y[i])) + ' '
        continue
    b = e + pig_latin(str(y[len(y) - 1]))
    return b</t>
  </si>
  <si>
    <t>def pig_latin_sentence(sentence):
    # Your code here
    y=""
    x=list(sentence.split())
    for r in x:
        res=pig_latin(r)
        y+=res
        if r!=x[-1]:
            y+=" "
    dis=y
    return dis</t>
  </si>
  <si>
    <t>def pig_latin_sentence(sentence):
    res = ""
    lst = sentence.split()
    for i in range (len(lst)):
        s = pig_latin(lst[i])
        res += s
        res += " "
    res = res[ :-1]
    return res</t>
  </si>
  <si>
    <t>def pig_latin_sentence(sentence):
    lst_word=sentence.split()
    length=len(lst_word)
    res=""
    for i in range(length):
        word=pig_latin(lst_word[i])
        res+=word+" "
    res=res[0:(len(res)-1)]
    return res</t>
  </si>
  <si>
    <t>def pig_latin_sentence(sentence):
    s = sentence.split()
    res = ''
    for i in range(len(s)-1):
        a = s[i]
        first = a[0]
        b = a[1:len(a)]
        res = res + b + first + 'ay '
    a = s[-1]
    first = a[0]
    b = a[1:len(a)]
    res = res + b + first + 'ay'
    return res</t>
  </si>
  <si>
    <t xml:space="preserve">def pig_latin_sentence(sentence):
    sen = sentence.split()
    res = ""
    for i in range (len(sen)):
        res += pig_latin(sen[i]) + " "
    res=res[:-1]
    return res
</t>
  </si>
  <si>
    <t>def pig_latin_sentence(sentence):
    res = ''
    words = sentence.split(" ")
    for i in range(len(words)):
        words[i] = pig_latin(words[i])
    for i in words:
        res = res + " " + str(i)
    res = res[1:]    
    return res</t>
  </si>
  <si>
    <t>def pig_latin_sentence(sentence):
    # Your code here
    words=sentence.split()
    ans=""
    for i in words:
        ans+=i[1:]+i[0]+"ay "
    res=ans[:-1]
    return res</t>
  </si>
  <si>
    <t>def pig_latin_sentence(sentence):
    words = sentence.split()
    pigged = []
    for word in words:
        pigged_word = pig_latin(word)
        pigged.append(pigged_word)
    result = " ".join(pigged)
    return result</t>
  </si>
  <si>
    <t>def pig_latin_sentence(sentence):
    resb = sentence.split(" ")
    for i in range(0, len(resb)):
        resb[i] = pig_latin(resb[i])
    res = resb[0]
    for i in range(1, len(resb)):
        res = str(res) + " " + str(resb[i])
        print(res, resb)
    return res</t>
  </si>
  <si>
    <t>def pig_latin_sentence(sentence):
    # Your code here
    res = ""
    sentence = sentence.split()
    for i in range(len(sentence)-1):
        res = res + pig_latin(sentence[i]) + " "
    res = res + pig_latin(sentence[len(sentence)-1])
    return res</t>
  </si>
  <si>
    <t>def pig_latin_sentence(sentence):
    s=sentence.split( )
    res=""
    for count in range(len(s)):
        x=s[count]
        rex=str(x[1:])+str(x[0])+str('ay')
        res+=rex+str(" ")
    res=res[:-1]
    return res</t>
  </si>
  <si>
    <t>def pig_latin_sentence(sentence):
    ans = ""
    # Your code here
    sp = sentence.split(" ")
    for item in sp:
        ans += " " + pig_latin(item)
    ans = ans[1:]
    return ans</t>
  </si>
  <si>
    <t>def pig_latin_sentence(sentence):
    # Your code here
    x = sentence.split()
    a = ""
    b = 0
    c = ""
    for i in x:
        a = i[1:] + i[0] + "ay"
        c += a 
        if i != x[-1]:
            c += " "
    res = c
    return res</t>
  </si>
  <si>
    <t>def pig_latin_sentence(sentence):
    b = sentence.split()
    x = ""
    for count in range(len(b)):
        s = b[count]
        y = s[0]
        x += s[1:]
        x += y
        x+= 'ay'
        if count != (len(b)-1):
            x+= ' '
    return x</t>
  </si>
  <si>
    <t>def pig_latin(word):
    ans=word[1:]+word[:1]+"ay"
    return ans
def pig_latin_sentence(sentence):
    x=sentence.split(' ')
    y=""
    c=1
    for item in x:
        y+=str(pig_latin(item))
        if c&lt;len(x):
            y+=" "
            c+=1
    return y</t>
  </si>
  <si>
    <t xml:space="preserve">def pig_latin_sentence(sentence):
    res=""
    x=sentence.split()
    for count in range(len(x)):
        if count==len(x)-1:
            res=res+pig_latin(x[count])
        else:
            res=res+pig_latin(x[count])
            res=res+" "
    return res
</t>
  </si>
  <si>
    <t>def pig_latin_sentence(sentence):
    words=sentence.split()
    res=""
    for x in words:
        if res=="":
            res=x[1:]+x[0]+"ay"
        else:
            res=res+" "+x[1:]+x[0]+"ay"# Your code here
    return res</t>
  </si>
  <si>
    <t>def pig_latin_sentence(sentence):
    wordlist=sentence.split()
    total=""
    for count in range(len(wordlist)):
        thing=""
        word=wordlist[count]
        for it in range(1,len(word)):
            thing=thing+word[it]
        thing=thing+word[0]+"ay"
        total=total+thing
        if count!=len(wordlist)-1:
            total=total+" "
    return total</t>
  </si>
  <si>
    <t>def pig_latin_sentence(sentence):
    res = ""
    count = 0
    lol1 = sentence.split()
    for i in lol1:
        x = pig_latin(i)
        res += x
        count = count+1
        if count &lt; len(lol1):
            res += " "
    return res</t>
  </si>
  <si>
    <t>def pig_latin_sentence(sentence):
    # Your code here
    res=''
    y=sentence.split()
    z=0
    for x in y:
        x=pig_latin(x)
        y[z]=x
        z=z+1
    z=z-1
    for count in range(len(y)):
        if count&lt;(len(y)-1):
            res=res+str(y[count])+' '
        else:
            res=res+str(y[count])
    return str(res)</t>
  </si>
  <si>
    <t xml:space="preserve">def pig_latin_sentence(sentence):
    res = ""
    a = sentence.split(" ")
    for i in range(len(a)):
        thing = a[i]
        x = thing[1:]
        if i != len(a) - 1:
            addup = x + thing[0] + "ay" + " "
        else:
            addup = x + thing[0] + "ay" 
        res += addup
    return res
print(pig_latin_sentence("pig latin"))
</t>
  </si>
  <si>
    <t>def pig_latin_sentence(sentence):
    q = sentence.split()
    g = len(q)-1
    m = ""
    z = 0
    while g &gt;= z:
        x = q[z]
        y = pig_latin(x)
        m+=y
        if g!= z:
            m+=" "
        ans = m
        z+=1
    return ans</t>
  </si>
  <si>
    <t>def pig_latin_sentence(sentence):
    a = sentence.split()
    b = ""
    c = len(a)
    for ayelmao in range(c):
        if ayelmao != (c - 1):
            b = b + pig_latin(a[ayelmao]) + " "
        else:
            b = b + pig_latin(a[ayelmao])
    return b</t>
  </si>
  <si>
    <t>def pig_latin_sentence(sentence):
    s = sentence.split()
    res = ""
    for i in range(0, len(s)):
        res += pig_latin(str(s[i]))
        if i != (len(s)- 1):
            res += " "
    return res</t>
  </si>
  <si>
    <t>def pig_latin_sentence(sentence):
    res=""
    sentence=sentence.split()
    for i in range(len(sentence)):
        res+=pig_latin(sentence[i])
        if i == len(sentence)-1:
            break
        res+=" "
    return res</t>
  </si>
  <si>
    <t>def pig_latin_sentence(sentence):
    lst = sentence.split()
    for i in range(len(lst)): 
        x = lst[i]
        x_new = x[0]
        x += str(x_new)
        x += "ay"
        x = x[1: ]
        lst[i] = x
    res = " ".join(lst)
    return res</t>
  </si>
  <si>
    <t>def pig_latin_sentence(sentence):
    x =sentence.split()
    y = ""
    for i in x:
        y += i[1:] +i[0] + "ay "
    z = y[:-1]
    return z</t>
  </si>
  <si>
    <t>def pig_latin_sentence(sentence):
    # Your code here
    res = ''
    tempstr = sentence.split()
    for i in tempstr:
        res += pig_latin(i) + " "
    res = res.rstrip(" ")
    return res</t>
  </si>
  <si>
    <t>def pig_latin_sentence(sentence):
    pllst = sentence.split()
    res = ''
    for i in pllst:
        res += i[1:] + i[0] + 'ay' + ' '
    res = res[:-1]
    return res</t>
  </si>
  <si>
    <t xml:space="preserve">def pig_latin_sentence(sentence):
    q = sentence.split()
    g = len(q)-1
    m = ""
    z = 0
    while g &gt;= z:
        x = q[z]
        y = pig_latin(x)
        m+=y
        if g!= z:
            m+=" "
        ans = m
        z+=1
    return ans
</t>
  </si>
  <si>
    <t xml:space="preserve">def pig_latin_sentence(sentence):
    # Your code here
    Z = sentence.split()
    x = ''
    for i in range(len(Z)):
        z = pig_latin(Z[i])
        x = x + z + ' '
    res = x[:-1]
    return res
</t>
  </si>
  <si>
    <t>def pig_latin_sentence(sentence):
    s=sentence.split()
    restemp=""
    temp=pig_latin(s[0])
    for i in range(1,len(s)):
        restemp=restemp+" "+pig_latin(s[i])
        i=i+1
    res=temp+restemp
    return res</t>
  </si>
  <si>
    <t xml:space="preserve">def at_least_n(lst, n):
    list1 = []
    for i in range(len(lst)):
        if lst[i] &gt;= n:
            list1.append(lst[i])
    return list1
</t>
  </si>
  <si>
    <t xml:space="preserve">def at_least_n(lst, n):
    list2 = [x for x in lst if x &gt;= n]
    return list2
</t>
  </si>
  <si>
    <t xml:space="preserve">def at_least_n(lst, n):
    x = []
    for index in range(len(lst)):    
        if lst[index] &gt;= n:
            x.append(lst[index])
    return x
</t>
  </si>
  <si>
    <t xml:space="preserve">def at_least_n(lst, n):
    mylist=[]
    for i in range(len(lst)):
        if lst[i]&gt;=n:
            mylist.append(lst[i])
    return mylist
</t>
  </si>
  <si>
    <t xml:space="preserve">def at_least_n(lst, n):
    a=[]
    for i in lst:
        if i&gt;=n:
            a.append(i)
    return a
</t>
  </si>
  <si>
    <t xml:space="preserve">def at_least_n(lst, n):
    lst1=[]
    for count in range(len(lst)):
        if lst[count] &gt;= n:
            lst1.append(lst[count])
    return lst1
</t>
  </si>
  <si>
    <t>def at_least_n(lst, n):
  mylist = []
  for i in range(len(lst)):
    if lst[i] &gt;= n:
      mylist += [lst[i]]
  return mylist</t>
  </si>
  <si>
    <t>def at_least_n(lst, n):
    list1 = []
    for a in lst:
        if a &gt;= n:
            list1.append(a)
        a = a + 1
    return list1</t>
  </si>
  <si>
    <t>def at_least_n(lst, n):
    list=[]
    for count in range(len(lst)):
        if lst[count]&gt;=n:
            list.append(lst[count])
    return list</t>
  </si>
  <si>
    <t xml:space="preserve">def at_least_n(lst, n):
    ans=[]
    for i in lst:
        if i&gt;=n:
            ans.append(i)
    return ans
</t>
  </si>
  <si>
    <t xml:space="preserve">def at_least_n(lst, n):
    list1 = lst
    ans = []
    for I in range(len(list1)):
        if list1[I] &gt;= n:
            ans.append(list1[I])
    return ans
</t>
  </si>
  <si>
    <t>def at_least_n(list1, n):
    mylist = []
    for i in range(len(list1)):
        if list1[i] &gt;= n:
            mylist.append(list1[i])
    return mylist</t>
  </si>
  <si>
    <t xml:space="preserve">
def at_least_n(lst, n):
    mylist=[]
    for i in range(len(lst)):
        if lst[i] &gt;= n:
            mylist.append(lst[i])
    return mylist</t>
  </si>
  <si>
    <t>def at_least_n(lst, n):
    tg = []
    for element in lst:
        if element &gt;= n:
            tg.append(element)
    return tg</t>
  </si>
  <si>
    <t xml:space="preserve">def at_least_n(lst, n):
    new_list=[]
    for i in lst:
        if i&gt;=n:
            new_list.append(i)
    return new_list
</t>
  </si>
  <si>
    <t xml:space="preserve">def at_least_n(lst,n):
    list = [i for i in lst if i &gt;= n ]
    return list
</t>
  </si>
  <si>
    <t xml:space="preserve">def at_least_n(list1, n):
    list2 = []
    for i in range(len(list1)):
        if not list1[i] &lt; n:
            list2.append(list1[i])
    return list2
</t>
  </si>
  <si>
    <t xml:space="preserve">def at_least_n(lst, n):
    ans = [x for x in lst if x &gt;= n]
    return ans
</t>
  </si>
  <si>
    <t xml:space="preserve">def at_least_n(lst, n):
   ans = []
   for x in lst:
        if x &gt;= n:
            ans.append(x)
   return ans
</t>
  </si>
  <si>
    <t>def at_least_n(lst, n):
    list1=[]
    for x in lst:
        if x &gt;= n :
            list1.append(x)
    return list1</t>
  </si>
  <si>
    <t xml:space="preserve">def at_least_n(lst, n):
    lst = [x for x in lst if x &gt;= n]
    return lst
</t>
  </si>
  <si>
    <t xml:space="preserve">def at_least_n(lst, n):
    ans = [val for val in lst if val&gt;= n]
    return ans
</t>
  </si>
  <si>
    <t xml:space="preserve">def at_least_n(lst, n):
    new_list = []
    for i in lst:
        if i &gt;= n:
            new_list.append(i)
    return new_list
</t>
  </si>
  <si>
    <t xml:space="preserve">def at_least_n(lst, n):
    tsl = []
    for i in lst:
        if i &gt;= n:
            tsl.append(i)
    return tsl
</t>
  </si>
  <si>
    <t>def at_least_n(lst, n):
    count = 0
    ans = []
    while count&lt;=(len(lst)-1):
        if n &lt;= lst[count]:
            ans.append(lst[count])
        count += 1
    return ans
    pass</t>
  </si>
  <si>
    <t xml:space="preserve">def at_least_n(lst, n):
    a=[x for x in lst if x&gt;=n]
    return a
</t>
  </si>
  <si>
    <t xml:space="preserve">def at_least_n(lst, n):
    p = []
    for i in range(0,len(lst)):
        if lst[i] &gt;= n:
            p += [lst[i]]
    return p
</t>
  </si>
  <si>
    <t>def at_least_n(list1, n):
    x = len(list1)
    i = 0
    lst = []
    for ki in range(x):
        jio = int(list1[ki])
        if jio &gt;= n :
            lst.append(jio)
        else :
            lst = lst
    return lst</t>
  </si>
  <si>
    <t xml:space="preserve">def at_least_n(lst, n):
    ans = [i for i in lst if i &gt;= n]
    return ans
</t>
  </si>
  <si>
    <t>def at_least_n(lst, n):
    list1 = []
    for i in range(len(lst)):
        if lst[i] &gt;= n:
            list1.append(i)
    return list1</t>
  </si>
  <si>
    <t>def at_least_n(lst, n):
    ans = []
    for i in range(len(lst)):
        if lst[i] &gt;= n:
            ans.append(lst[i])
    return ans
    pass</t>
  </si>
  <si>
    <t xml:space="preserve">def at_least_n(lst, n):
    a = lst[n:]
    return a
</t>
  </si>
  <si>
    <t xml:space="preserve">def at_least_n(lst, n):
    lst=[x for x in lst if x&gt;=n]
    return lst
</t>
  </si>
  <si>
    <t>def at_least_n(lst, n):
    newlist = []
    count = 0
    lenght = len(lst)
    while count &lt; lenght:
        if lst[count] &gt;= n:
            newlist.append(lst[count])
        count = count + 1
    return newlist</t>
  </si>
  <si>
    <t>def at_least_n(lst, n):
    list2 = []
    for i in range(len(lst)):
        if lst[i] &gt;=n:
            list2.append(lst[i])
    return list2</t>
  </si>
  <si>
    <t xml:space="preserve">def at_least_n(list1, n):
    list2 = []
    for i in range(len(list1)):
        if (list1[i]) &gt;= n:
            list2.append(list1[i])
    return list2
</t>
  </si>
  <si>
    <t>def at_least_n(lst, n):
    list1 = []
    for x in range(len(lst)):
        if lst[x] &gt;= n:
            list1.append(lst[x])
        else:
            ()
    return list1</t>
  </si>
  <si>
    <t>def at_least_n(lst, n):
    result=list()
    for x in lst:
        if x&gt;=n:
            result.append(x)
    return result</t>
  </si>
  <si>
    <t xml:space="preserve">def at_least_n(lst, n):
    list=[]
    for i in range(len(lst)):
        if lst[i]&gt;=n:
            list.append(lst[i])
    return list
</t>
  </si>
  <si>
    <t>def at_least_n(lst, n):
    lst.sort()
    i = 0
    result = 0
    lst1 = []
    for l in range (len(lst)):
        result = lst[i]
        if result &gt;= n:
            lst1 += [result]
        else:
            lst1 = lst1
        i += 1
        l += 1
    return lst1</t>
  </si>
  <si>
    <t xml:space="preserve">def at_least_n(lst, n):
    list3 = [x for x in lst if x &gt;= n]
    return list3
</t>
  </si>
  <si>
    <t xml:space="preserve">def at_least_n(lst, n):
    ans=[]
    for i in lst:
        if i&gt;=n:
            x=[i]
        else:
            x=[]
        ans+=x
    return ans
        </t>
  </si>
  <si>
    <t>def at_least_n(lst, n):
    i = 0
    ans = []
    length = len(lst)
    while i &lt; length:
        num = lst[i]
        if num &gt;= n:
            ans.append(num)
        i += 1
    return ans</t>
  </si>
  <si>
    <t>def at_least_n(lst, n):
    lst.sort()
    number=len(lst)
    list1=[]
    list1.extend(lst)
    j=0
    while j==0 and list1!=[]:
        if list1[j]&lt;n:
            list1.remove(list1[j])
        else:
            break
    return list1</t>
  </si>
  <si>
    <t xml:space="preserve">def at_least_n(lst, n):
    i = 0
    ans = []
    length = len(lst)
    while i &lt; length:
        num = lst[i]
        if num &gt;= n:
            ans.append(num)
        i += 1
    return ans
</t>
  </si>
  <si>
    <t xml:space="preserve">def at_least_n(lst, n):
    lst1=[]
    for i in range(len(lst)):
        if lst[i]&gt;=n:
            lst1.append(lst[i])
    return lst1
</t>
  </si>
  <si>
    <t>def at_least_n(lst, n):
    anslist = [x for x in lst if x+1 &gt; n]
    return anslist</t>
  </si>
  <si>
    <t>def at_least_n(lst, n):
    newlist = []
    for i in range(len(lst)):
        if lst[i] &gt;= n:
            newlist.append(lst[i])
    return newlist</t>
  </si>
  <si>
    <t>def at_least_n(lst, n):
    lst1 = []
    for i in lst:
        if i &gt;= n:
            lst1.append(i)
    return lst1</t>
  </si>
  <si>
    <t>def at_least_n(lst, n):
    lst.sort()    
    a = lst[n:]
    return a</t>
  </si>
  <si>
    <t>def at_least_n(lst, n):
    listv = []
    for u in lst:
        if u &gt;= n:
            listv.append(u)
    return listv</t>
  </si>
  <si>
    <t>def at_least_n(lst, n):
    ans = []
    for i in range(len(lst)):
        if lst[i] &gt;= n:
            ans.append(lst[i])
    return ans</t>
  </si>
  <si>
    <t xml:space="preserve">def at_least_n(lst, n):
    mylist=[]
    for i in range(len(lst)):
        if lst[i] &gt;= n:
            mylist.append(lst[i])
    return mylist
</t>
  </si>
  <si>
    <t xml:space="preserve">def at_least_n(lst, n):
    list1=[]
    for count in range(len(lst)):
        if int(lst[count])&lt;n:
            list1=list1
        else:
            list1=list1+[count]
    return list1
    pass
</t>
  </si>
  <si>
    <t xml:space="preserve">def at_least_n(lst, n):
    ans=[]
    for item in lst:
        if item&gt;=n:
            ans.append(item)
    return ans
    pass
</t>
  </si>
  <si>
    <t xml:space="preserve">def at_least_n(lst, n):
    newlst=[]
    for i in range(len(lst)):
        if int(lst[i])&lt;int(n):
            x=0
        else :
            newlst.append((lst[i]))
    return newlst
    pass
</t>
  </si>
  <si>
    <t xml:space="preserve">def at_least_n(lst, n):
    list69 = []
    for count in lst:
        if count &gt;= n:
            list69.append(count)
    return list69
    pass
</t>
  </si>
  <si>
    <t xml:space="preserve">def at_least_n(list1, n):
    list2 = []
    for count in range(len(list1)):
        if list1[count] &gt;= n:
            list2.append(list1[count])
    return list2
</t>
  </si>
  <si>
    <t>def at_least_n(lst, n):
    list2 = []
    for i in range(1,len(lst)+1):
        if lst[i-1] &gt;= n:
            list2.append(lst[i-1])
    return list2</t>
  </si>
  <si>
    <t xml:space="preserve">def at_least_n(lst, n):
    list2=[x for x in lst if x&gt;= n]
    return list2
</t>
  </si>
  <si>
    <t xml:space="preserve">def at_least_n(lst, n):
    ans=[]
    for count in lst:
        if count&gt;=n:
            ans.append(count)
    return ans
</t>
  </si>
  <si>
    <t xml:space="preserve">def at_least_n(list1, n):
    list2=[]
    for count in range(0,len(list1)):
        x=list1[count]
        if x&gt;=n:
            list2=list2+[x]
        else:
            continue
    return list2
    pass
</t>
  </si>
  <si>
    <t xml:space="preserve">def at_least_n(list1,n):
    list2=[]
    for count in range(len(list1)):
        if list1[count]&gt;=n:
            list2.append(list1[count])
    return list2
</t>
  </si>
  <si>
    <t>def at_least_n(lst, n):
    mylist = []
    for count in range(len(lst)):
        if lst[count] &gt;= n:
            mylist.append(lst[count])
    return mylist</t>
  </si>
  <si>
    <t xml:space="preserve">def at_least_n(list, n):
    x = []
    for i in list:
        if i&gt;=n:
            x.append(i)
        else:
            continue
    return x        
    pass
</t>
  </si>
  <si>
    <t xml:space="preserve">def at_least_n(lst, n):
    list1=list()
    for count in range(len(lst)):
        if int(lst[count])&lt;n:
            list1=list1
        else:
            list1+=[count]
    return list1
    pass
</t>
  </si>
  <si>
    <t xml:space="preserve">def at_least_n(lst, n):
    list1= []
    for a in lst:
        if a &gt;= n:
            list1.append(a)
        a = a + 1
    return list1
</t>
  </si>
  <si>
    <t>def at_least_n(lst, n):
    mylist = []
    for i in range(len(lst)):
        if lst[i] &gt;= n:
            mylist.append(lst[i])
    return mylist</t>
  </si>
  <si>
    <t xml:space="preserve">def at_least_n(lst, n):
    ans = []
    for i in range(len(lst)):
        if i &gt;= n:
            ans.append(i)
    return ans
</t>
  </si>
  <si>
    <t xml:space="preserve">def at_least_n(lst, n):
    lst2 = []
    for objec in lst:
        if objec &gt;= n:
            lst2.append(objec)
        else:
            continue
    return lst2
</t>
  </si>
  <si>
    <t xml:space="preserve">def at_least_n(lst, n):
    x = len(lst)
    a = 0
    list2 = []
    while a &lt; x:
        if lst[a] &lt; n:
            a = a + 1
            continue
        else:
            list2.append(lst[a])
            a = a + 1
    return list2
</t>
  </si>
  <si>
    <t xml:space="preserve">def at_least_n(list1, n):
    list2 = [x for x in list1 if n &lt;= x]
    return list2
</t>
  </si>
  <si>
    <t xml:space="preserve">def at_least_n(lst, n):
    lst=[x for x in lst if x &gt;= n]
    return lst
</t>
  </si>
  <si>
    <t xml:space="preserve">def at_least_n(lst, n):
    ans = []
    for i in range(len(lst)):
        if lst[i] &gt;= n:
            ans.append(lst[i])
    return ans
</t>
  </si>
  <si>
    <t xml:space="preserve">def at_least_n(lst, n):
    mylist = []
    for i in range(len(lst)):
        if lst[i] &gt;= n:
            mylist.append(lst[i])
    return mylist
</t>
  </si>
  <si>
    <t>def at_least_n(lst, n):
    list2 = []
    for i in range(len(lst)):
        if lst[i] &gt;= n:
            list2.append(lst[i])
    return list2</t>
  </si>
  <si>
    <t>def at_least_n(lst, n):
    lista=[]
    for a in range (len(lst)):
        if lst[a]&gt;=n:
            lista.append(a)
    return lista</t>
  </si>
  <si>
    <t>def at_least_n(lst, n):
    x = []
    for a in range(len(lst)):
        if lst[a] &gt;= n:
            x.append(lst[a])
    return x</t>
  </si>
  <si>
    <t xml:space="preserve">def at_least_n(lst, n):
    i=0
    lst1=[]
    lst2=[]
    for i in range(0,len(lst)):
        if lst[i]&lt;n:
            lst1.append(lst[i])
            i=i+1
        else:
            lst2.append(lst[i])
            i=i+1
    return lst2
</t>
  </si>
  <si>
    <t>def binary_to_decimal(lst):
    sum = 0
    for i in range(len(lst)):
        if lst[(i+1)*-1] == 1:
            sum += 2 ** i
    return sum</t>
  </si>
  <si>
    <t>def binary_to_decimal(lst):
    counter = len(lst)-1
    ans = 0
    for x in lst:
        ans += x * 2**counter
        counter -= 1
    return ans</t>
  </si>
  <si>
    <t xml:space="preserve">def binary_to_decimal(lst):
    x = 0
    for power in range(len(lst) - 1, -1, -1):
        if lst[-power - 1] == 1:
            x += 2 ** power
    return x
</t>
  </si>
  <si>
    <t>def binary_to_decimal(lst):
    leng=len(lst)
    leng=-leng
    inte=0
    for i in range(-1,leng-1,-1):
        #print(abs(i)-1)
        inte+=lst[i]*(2**(abs(i)-1))
    return inte</t>
  </si>
  <si>
    <t>def binary_to_decimal(lst):
    x=0
    ans=0
    for i in range(1,len(lst)+1):
        ans+= lst[(i-2*i)]*2**x
        x+=1
    return ans</t>
  </si>
  <si>
    <t>def binary_to_decimal(lst):
    dec=0
    i=0
    for count in range(len(lst)-1,-1,-1):
        if lst[count] == 1:
            dec=dec+2**i
        i=i+1
    return dec</t>
  </si>
  <si>
    <t>def binary_to_decimal(lst):
    x = -1
    ans = 0
    for i in range(len(lst)):
        if lst[x] == 1:
            ans += (2 ** i)
        x -= 1
    return ans</t>
  </si>
  <si>
    <t>def binary_to_decimal1(lst):
    a = 0
    b = 0
    while a &lt; len(lst):
        b = b * 10 + lst[a]
        a = a + 1
    return b
def decimal(b):
    i = 0
    sum = 0
    while b &gt; 0 :
        num = b % 10
        b= b // 10
        sum = sum + (2 ** i) * num
        i+=1
    return sum
def binary_to_decimal(lst):
    a = binary_to_decimal1(lst)
    b = decimal(a)
    return b</t>
  </si>
  <si>
    <t xml:space="preserve">def binary_to_decimal(lst):
    result=0
    for count in range(len(lst)):
        if lst[count]==1:
            result+=2**(len(lst)-count)
    return result//2
</t>
  </si>
  <si>
    <t xml:space="preserve">def binary_to_decimal(lst):
    x=0
    ans=0
    for i in range(1,len(lst)+1):
        ans+= lst[(i-2*i)]*2**x
        x+=1
    return ans
        </t>
  </si>
  <si>
    <t>def binary_to_decimal(lst):
    list1 = lst
    ans = 0
    for I in range(len(list1)):
        a = list1[-I - 1]
        if a == 1:
            ans += 2**I
    return ans</t>
  </si>
  <si>
    <t xml:space="preserve">def binary_to_decimal(lst):
    ans = 0
    power = len(lst) - 1
    for i in range(len(lst)):
        ans = ans + lst[i] * 2 **power
        power = power - 1
    return ans
</t>
  </si>
  <si>
    <t>def binary_to_decimal(lst):
    sum = 0
    for i in range(len(lst)):
        j = (i+1)*-1
        if lst[j] == 1:
            x = 2**i
            sum+=x
    return sum</t>
  </si>
  <si>
    <t>def binary_to_decimal(lst):
    finale = 0
    length = len(lst)
    for digit in range(length):
        to_add = lst.pop() * 2 ** digit
        finale += to_add
    return finale</t>
  </si>
  <si>
    <t>def binary_to_decimal(lst):
    x=""
    for i in lst:
        x+=str(i)
    x=int(x)
    y=0
    b=1
    while x!=0:
        a=x%10
        y+=a*2**b
        b+=1
        x=x//10
    return y//2</t>
  </si>
  <si>
    <t xml:space="preserve">def binary_to_decimal(lst):
    print(lst)
    ans = 0
    for i in range(len(lst)):
        ans += lst[i] * 2**(len(lst)-i-1)
    return ans
</t>
  </si>
  <si>
    <t xml:space="preserve">def binary_to_decimal(lst):
    n = 0
    num = 0
    for i in range(len(lst) - 1,-1,-1):
        if lst[i] == 1:
            num = num + 2 ** n
        n = n + 1
    return num
</t>
  </si>
  <si>
    <t xml:space="preserve">
def binary_to_decimal(list1):
    a = 0    
    for x in range (len(list1)): 
        z = list1.pop()
        if z == 1 :
            a = a + (2**x)
            print(a)
    print(a)
    return a
binary_to_decimal([1, 1, 0, 1, 0, 1])
            </t>
  </si>
  <si>
    <t xml:space="preserve">def binary_to_decimal(lst):
    decimal = 0
    for i in range(len(lst)):
        if lst[-1] == 1:
            decimal += (2**i)
        del lst[-1]
    return decimal
</t>
  </si>
  <si>
    <t xml:space="preserve">def binary_to_decimal(lst):
    lst.reverse()
    ans = 0
    x = 0
    for z in lst:
        if z == 1:
            ans += 2 ** x
        x +=1
    return ans
</t>
  </si>
  <si>
    <t>def binary_to_decimal(lst):
    count = 0
    bina = ''
    while count != len(lst):
        bina += str(lst[count])
        count += 1
    decimal = 0
    for digit in bina:
        decimal = decimal*2 + int(digit)
    return decimal</t>
  </si>
  <si>
    <t xml:space="preserve">def binary_to_decimal(lst):
    length = len(lst)
    power = length - 1
    ans = 0
    for i in range(length):
        x = lst[i]
        part = x*(2**power)
        ans += part
        power -= 1
    return ans
</t>
  </si>
  <si>
    <t>def binary_to_decimal(lst):
    new_list = lst[::-1]
    total = 0
    print(new_list)
    for i in range(len(new_list)):
        total += 2**i * new_list[i]
    return total</t>
  </si>
  <si>
    <t>def binary_to_decimal(lst):
    result = 0
    for i in range(len(lst)):
        result += (lst[i])*2**(len(lst)-i-1)
    return result</t>
  </si>
  <si>
    <t>def binary_to_decimal(lst):
    l = len(lst) - 1
    ans = 0
    for x in lst:
        if x == 1:
            ans = ans + 2 ** l
        l = l - 1
        if l == -1:
            break
    return ans
    pass</t>
  </si>
  <si>
    <t>def binary_to_decimal(lst):
    b=""
    for i in lst:
        b+=str(i)
    i=0
    c=int(b)
    ans=0
    while c&gt;0:
        ans+=((c%2)*(2**i))
        i+=1
        c=c//10
    return ans</t>
  </si>
  <si>
    <t>def binary_to_decimal(lst):
    ans = 0
    lol = 0
    for i in range(0,len(lst)):
        lol = int(lst[-i-1])
        print(-i-1)
        ans = ans + (2**i) * lol
    return ans</t>
  </si>
  <si>
    <t>def binary_to_decimal(lst):
    x = len(lst)
    y = x - 1
    ans = 0
    for qwerty in range(x):
        cv = int(lst[qwerty])
        ans = ans + cv*(2**y)
        y = y - 1
    return ans</t>
  </si>
  <si>
    <t>def binary_to_decimal(lst):
    dec = 0
    for i in range (1,len(lst) + 1):
        if lst[-i] == 1:
            dec += 2 ** (i - 1)
    return dec</t>
  </si>
  <si>
    <t>def binary_to_decimal(lst):
    ans = 0
    a = len(lst)
    for i in range(len(lst)):
        num = lst[i]
        ans += num * 2 ** (a - i - 1)
    return ans</t>
  </si>
  <si>
    <t>def binary_to_decimal(lst):
    power = len(lst) - 1
    ans = 0
    for i in range(len(lst)):
        ans += lst[i] * 2 ** power
        power -= 1
    return ans</t>
  </si>
  <si>
    <t xml:space="preserve">def binary_to_decimal(lst):
    length = len(lst)-1
    ans = 0
    for i in range(len(lst)):
        number = lst[i]
        ans += number*2**length
        length -= 1
    return ans
        </t>
  </si>
  <si>
    <t xml:space="preserve">def binary_to_decimal(lst):
    z=0
    s=0
    for n in range (-1,-1*(len(lst)+1),-1):
        print (z)
        if lst[n] == 0:
            s+=1
        elif lst[n] != 0:
            z =(2 ** s) +z
            s += 1
    return z
</t>
  </si>
  <si>
    <t>def binary_to_decimal(lst):
    ans = 0
    count = 1
    lenght = len(lst)
    while count &lt;= lenght:
        countn = -1 * count
        ans1 = lst[countn] * (2 ** (count - 1))
        ans = ans + ans1
        count = count + 1
    return ans</t>
  </si>
  <si>
    <t xml:space="preserve">def binary_to_decimal(lst):
    sum = 0
    power = len(lst)-1
    for i in range(len(lst)):
        if lst[i] == 1:
            sum += 2**power
        power -= 1
    return sum
</t>
  </si>
  <si>
    <t xml:space="preserve">def binary_to_decimal(lst):
    lst = lst[::-1]
    power = -1
    sum1 = 0
    for i in lst:
        power += 1
        if i == 1:
            sum1 = sum1 + 2**power
    return sum1
        </t>
  </si>
  <si>
    <t>def binary_to_decimal(lst):
    o = 0
    r = 0
    for i in range(len(lst)):
        r += lst[-i - 1] * (2 ** i)
    return r</t>
  </si>
  <si>
    <t>def binary_to_decimal(lst):
    summation=0
    for i in range(len(lst)-1,-1,-1):
        summation+=lst[i]*2**(len(lst)-i-1)
    return summation</t>
  </si>
  <si>
    <t>def binary_to_decimal(lst):
    sum=0
    for i in range(len(lst)):
        sum+=lst[i]*2**(len(lst)-i-1)
    return sum</t>
  </si>
  <si>
    <t>def binary_to_decimal(lst):
    def list_to_int(numList):
        s = ''.join(map(str, numList))
        return int(s)
    n = list_to_int(lst)
    i = 0
    sum = 0
    while n &gt; 0:
        num = n % 10
        n = n // 10
        sum = sum + (2 ** i) * num
        i += 1
    return sum</t>
  </si>
  <si>
    <t>def binary_to_decimal(lst):
    i = 0
    sum = 0
    x = len(lst)
    while i &lt; x:
        y = (2 ** i) * (lst.pop())
        i += 1
        sum += y
    return sum
\</t>
  </si>
  <si>
    <t>def binary_to_decimal(lst):
    ans=0
    for a in range(1, len(lst)+1):
        ans+=lst[-a]*2**(a-1)
    return ans</t>
  </si>
  <si>
    <t>def decimal(b):
    l = len(str(b))
    e = 0
    ans = 0
    num = 1
    while num &lt;= l:
        digit = b % 10
        if digit == 1:
            digit_ans = 2 ** e
        else:
            digit_ans = 0
        ans = ans + digit_ans
        b = (b // 10) 
        e = e + 1
        num = num + 1
    return ans
def x(l):
    str1 = ''.join(str(e) for e in l)
    return str1
def binary_to_decimal(lst):
    string = x(lst)
    print (string)
    string = int(string)
    ans = decimal(string)
    return ans</t>
  </si>
  <si>
    <t>def binary_to_decimal(lst):
    summ=0
    i=0
    while lst!=[]:
        value=lst.pop()
        summ+=(2**i)*value
        i+=1
    return summ</t>
  </si>
  <si>
    <t>def binary_to_decimal(lst):
    ans = 0
    a = len(lst)
    for i in range(len(lst)):
        num = lst[i]
        ans += num * 2 ** (a-i-1)
    return ans</t>
  </si>
  <si>
    <t xml:space="preserve">def binary_to_decimal(lst):
    ans=0
    for i in range(len(lst)):
        if lst[(i+1)*-1]==1:
            ans+=2**i
    return ans
            </t>
  </si>
  <si>
    <t xml:space="preserve">def binary_to_decimal(lst):
    s = "".join(map(str, lst))
    b = int(s, base = 2)
    return b
</t>
  </si>
  <si>
    <t>def binary_to_decimal(lst):
    num = 0
    power = len(lst) - 1
    for i in range(len(lst)):
        num = num + lst[i] * (2 ** power)
        power -= 1
    return num</t>
  </si>
  <si>
    <t xml:space="preserve">def binary_to_decimal(lst):
    lst.reverse()
    ans = 0 
    exp = 0
    for dg in lst:
        if dg == 1:
            ans = ans + (2**exp)
        else:
            ans = ans + 0
        exp += 1
    return ans    
        </t>
  </si>
  <si>
    <t>def binary_to_decimal(lst):
    lst.reverse()
    ans=0
    n=0
    for i in lst:
        if i==1:
            ans+=2**n
        n+=1
    return ans</t>
  </si>
  <si>
    <t>def binary_to_decimall(lst):
    a = 0
    b = 0
    while a &lt; len(lst):
        b = b * 10 + lst[a]
        a = a+1
    return b
def decimal(b):
    i = 0
    sum = 0
    while b &gt; 0:
        num = b%10
        b = b// 10
        sum = sum+ (2** i) * num
        i += 1
    return sum
def binary_to_decimal(lst):
    a = binary_to_decimall(lst)
    b = decimal(a)
    return b</t>
  </si>
  <si>
    <t>def binary_to_decimal(lst):
    su = 0
    for i in range(0, len(lst)):
        q = i + 1
        x = q * -1
        y = lst[x]
        if y == 1:
            su = su + ( 2 ** i )
        else:
            su = su
    return su</t>
  </si>
  <si>
    <t>def binary_to_decimal(lst):
    power = len(lst) - 1
    ans = 0
    for i in range(len(lst)):
        ans += lst[i] * (2 ** power)
        power -= 1
    return ans</t>
  </si>
  <si>
    <t xml:space="preserve">def binary_to_decimal(lst):
    digit=-1
    power=0
    number=0
    for count in range(len(lst)):
        bi=lst[digit]
        number+=bi*(2**power)
        digit-=1
        power+=1
    return number
</t>
  </si>
  <si>
    <t>def binary_to_decimal(lst):
    b=""
    for item in lst:
        b+=str(item)
    b=int(b)
    ans=0
    last_digit=b%10
    x=0
    while b&gt;0:
        ans+=(2**x)*last_digit
        b=b//10
        last_digit=b%10
        x+=1
    return (ans)</t>
  </si>
  <si>
    <t>def binary_to_decimal(lst):
    length=len(lst)
    sum=0
    x=len(lst)
    i=0
    for i in range(length):
        sum+=lst[i]*2**x
        x-=1
        i+=1
    sum=sum//2
    return sum
    pass</t>
  </si>
  <si>
    <t>def binary_to_decimal(lst):
    x = 0
    y = len(lst) - 1
    for count in lst:
        x += count * (2 ** y)
        y -= 1
    return x
    pass</t>
  </si>
  <si>
    <t>def binary_to_decimal(list):
    g = -1
    ans = 0
    a = 0 
    for count in range(len(list)):
        if list[g] == 1:
            ans = ans +( 2 ** a )
        g -= 1
        a +=1
    return ans</t>
  </si>
  <si>
    <t xml:space="preserve">def binary_to_decimal(lst):
    answer = 0
    multiplier = 1
    for i in range(len(lst)):
        x = lst.pop()
        answer = answer + x * multiplier
        multiplier *= 2
        x = 0
    return answer
        </t>
  </si>
  <si>
    <t>def binary_to_decimal(lst):
    a=len(lst)
    ans=0
    for x in lst:
        if x==1:
            ans=2**(a-1)+ans
        a-=1
        if a==0:
            break
    return ans</t>
  </si>
  <si>
    <t>def binary_to_decimal(lst):
    x=len(lst)
    y=0
    ans=0
    i=-1
    for count in range(x):
        if lst[i] == 1:
            ans=ans+2**y
        y=y+1
        i=i-1
    return ans</t>
  </si>
  <si>
    <t>def binary_to_decimal(lst):
    ans=0
    x=0
    for count in range(len(lst)-1,-1,-1):
        ans+=lst[x]*(2**count)
        x+=1
    return ans</t>
  </si>
  <si>
    <t>def binary_to_decimal(lst):
    x=len(lst)
    total=0
    for count in range(x):
        if lst[-1*(count+1)]==1:
            y=2**count
            total=total+y
    return total</t>
  </si>
  <si>
    <t xml:space="preserve">def binary_to_decimal(lst):
    cheesecake = lst[::-1]
    num = 0
    time = 0
    for cheese in cheesecake:
        num += cheese*(2**time)
        time += 1
    return num
</t>
  </si>
  <si>
    <t xml:space="preserve">def binary_to_decimal(lst):
    i = 0
    x = 0
    y = 0
    for count in range(-1,(len(lst)*-1)-1,-1):
        x = lst[count]*(2**(i))
        y = y+x
        i = i+1
    return y
        </t>
  </si>
  <si>
    <t>def binary_to_decimal(lst):
    y=len(lst)-1
    ans=0
    for x in lst:
        if x==1:
            ans=2**y+ans
        y=y-1
        if y==-1:
            break
    return ans    
    pass</t>
  </si>
  <si>
    <t>def binary_to_decimal1(lst):
    a = 0
    b = 0
    while a &lt; len(lst):
        b = b * 10 + lst[a]
        a = a + 1
    return b
def decimal(b):
    x = 0
    y = str(b)
    z = len(y)
    a = b
    if b == 0:
        ans = 0
    else:
        for count in range (1 , z + 1):
            d = a % 10
            if d == 0:
                x = x + 0
            else:
                x = x + (2**(count - 1))
            a = a // 10
    return x
def binary_to_decimal(lst):
    a = binary_to_decimal1(lst)
    b = decimal(a)
    return b</t>
  </si>
  <si>
    <t xml:space="preserve">def binary_to_decimal(lst):
    sum = 0
    for i in range(len(lst)):
        j = (i+1)*-1
        if lst[j] == 1:
            sum += 2**i
    return sum
print(binary_to_decimal([1,1,0,1,0,1]))
</t>
  </si>
  <si>
    <t xml:space="preserve">def binary_to_decimal(lst):
    n = 1
    total = 0
    for i in range(len(lst)):
        thing = lst[i]
        total = lst[i]* (2**(len(lst)-n)) + total 
        n = n + 1
    return total
</t>
  </si>
  <si>
    <t xml:space="preserve">def binary_to_decimal(lst):
    x = len(lst) - 1
    g = 0
    lst2 = []
    while x &gt;= 0:
        h = 2**g
        f = lst.pop(x)
        q = f*h
        lst2.append(q)
        g+=1
        x-=1
    ans = sum(lst2)
    return ans
</t>
  </si>
  <si>
    <t xml:space="preserve">def binary_to_decimal(lst):
    x = len(lst) - 1
    a = 1
    y = 0
    while x &gt;= 0:
        if lst[x] == 0:
            y = y
            a = a * 2
            x = x - 1
        else:
            y = y + a
            a = a * 2
            x = x - 1
    return y
    </t>
  </si>
  <si>
    <t xml:space="preserve">def binary_to_decimal(lst):
    i = -1
    decimal = 0
    while i &gt;= -(len(lst)):
        decimal+= lst[i]*(2**((-i)-1))
        i -= 1
    return decimal
        </t>
  </si>
  <si>
    <t xml:space="preserve">def binary_to_decimal(lst):
    lst.reverse()
    x=0
    a=0
    for i in lst:
        if i == 1:
            a+=2**x
        x+=1
    return a
            </t>
  </si>
  <si>
    <t xml:space="preserve">def binary_to_decimal(lst):
    lst.reverse()
    ans = 0
    n = 0
    for i in lst:
        if i == 1:
            ans += 2**n
        n += 1
    return ans
</t>
  </si>
  <si>
    <t>def binary_to_decimal(lst):
    x = 0
    a = -1
    ans = 0
    for i in range(len(lst)):
        if lst[a] == 1:
            ans += 2**x
        x += 1
        a -= 1
    return ans</t>
  </si>
  <si>
    <t>def binary_to_decimal(lst):
    lst = lst[::-1]
    power = 0
    dcount = 0
    for i in lst:
        dcount += (2 ** power) * i
        power += 1
    return dcount</t>
  </si>
  <si>
    <t xml:space="preserve">def binary_to_decimal1(lst):
    a = 0
    b = 0
    while a &lt; len(lst):
        b = b * 10 + lst[a]
        a = a + 1
    return b
def decimal(b):
    i = 0
    sum = 0
    while b &gt; 0 :
        num = b % 10
        b= b // 10
        sum = sum + (2 ** i) * num
        i+=1
    return sum
def binary_to_decimal(lst):
    a = binary_to_decimal1(lst)
    b = decimal(a)
    return b
</t>
  </si>
  <si>
    <t>def binary_to_decimal(lst):
    a=0
    b=len(lst)
    for c in range (b):
        d=lst[c]
        a+=d*2**(b-c-1)
    return a</t>
  </si>
  <si>
    <t>def binary_to_decimal(lst):
    position = -1
    length = len(lst)
    swai = 0
    while (position * (-1)) &lt;= length:
        if lst[position] == 1:
            bweng = 2 ** ((position * (-1))-1)
        else:
            bweng = 0
        swai += bweng
        position -= 1
    ans = swai
    return ans</t>
  </si>
  <si>
    <t>def binary_to_decimal(lst):
    i=0
    num=0
    for i in range(0,len(lst)):
        digit=lst[len(lst)-1-i]
        num=num+digit*(2**i)
        i=i+1
    return num</t>
  </si>
  <si>
    <t>def insert(string,substring,i):#insert code here
    string1 = string[i:]
    string2 = string[:i]
    string3 = string2 + substring + string1
    return string3</t>
  </si>
  <si>
    <t>def insert(string,substring,i):
    #insert code here
    x = string[:i] + substring + string[i:]
    return x</t>
  </si>
  <si>
    <t>def insert(string,substring,i):
    #insert code here
    if i == 0:
        return substring+string
    if i == len(string)+1:
        return string+substring
    return string[:i]+substring+string[i:]</t>
  </si>
  <si>
    <t xml:space="preserve">def insert(string,substring,i):
    #insert code here
    lstring = string.split()
    x = lstring[0]
    y = list(x)
    y.insert(i, substring)
    z = ''.join(y)
    return z
print(insert("statics","tis",3))
</t>
  </si>
  <si>
    <t>def insert(string,substring,i):
    parta = string[ : i]
    partb = string[i : len(string)]
    ans = parta + substring + partb
    return ans</t>
  </si>
  <si>
    <t>def insert(a,b,i):
    #insert code here
    c = str(a[ : i])
    d = str(a[i : ])
    e = str(c) + str(b) + str(d)
    return e</t>
  </si>
  <si>
    <t xml:space="preserve">def insert(string,substring,i):
    day=string[:i]
    the=string[i:]
    dey=day+substring+the
    return dey
</t>
  </si>
  <si>
    <t>def insert(string,substring,i):
    x=string[:i]
    y=string[i:]
    ans=x+substring+y
    return ans</t>
  </si>
  <si>
    <t>def insert(string,substring,i):
    #insert code here
    a = string[ :i]
    b = string[i: ]
    ans = a + substring + b
    return ans
    pass</t>
  </si>
  <si>
    <t>def insert(string,substring,i):
    #insert code here
    x = string[:i]
    y = x + substring + string[i:]
    return y</t>
  </si>
  <si>
    <t>def insert(string,substring,i):
    ans = string[:i] + substring + string[i:]
    return ans</t>
  </si>
  <si>
    <t>def insert(string,substring,i):
    if i&gt;0:
        x=string[:i]
    if i==0:
        x=""
    y=string[i:]
    ans=x+substring+y
    return ans</t>
  </si>
  <si>
    <t xml:space="preserve">def insert(string,substring,i):
    if i &gt; len(string):
        ans = string + substring
        return ans
    ans = ''
    for x in range(len(string)):
        if x == i:
            ans += substring
        ans += string[x]
    return ans
</t>
  </si>
  <si>
    <t xml:space="preserve">def insert(string,substring,i):
    x = len(string)
    y = len(substring)
    part_1 = string[0:i]
    part_2 = string[i:len(string) + 1]
    if i &gt; len(string) - 1:
        word = part_1 + part_2 + substring
    elif i == 0:
        word = substring + part_1 + part_2
    else:
        word = part_1 + substring + part_2
    return word
</t>
  </si>
  <si>
    <t>def insert(string,substring,i):
    return string[:i]+substring+string[i:]</t>
  </si>
  <si>
    <t>def insert(string,substring,i):
    strlst = list(string)
    strlst.insert(i,substring)
    return (''.join(strlst))</t>
  </si>
  <si>
    <t>def insert(string,substring,i):
    #insert code here
    word1 = string[:i]
    word2 = string[i:]
    ans = word1 + substring + word2
    return ans</t>
  </si>
  <si>
    <t>def insert(string,substring,i):
    meow = list(string)
    meow.insert(i,substring)
    return "".join(meow)</t>
  </si>
  <si>
    <t>def insert(string,substring,i):
    return string[:i] + substring + string[i:]</t>
  </si>
  <si>
    <t>def insert(string,substring,i):
    return str(string[:i]+substring+string[i:])
    pass</t>
  </si>
  <si>
    <t>def insert(string,substring,i):
    #insert code here
    parta = ""
    partb = ""
    parta = string[0:i]
    partb = string[i:]
    res = parta + substring + partb
    return res</t>
  </si>
  <si>
    <t>def insert(string,substring,i):
    x = len(string)
    if i-1 &gt;= x :
        ans = string + substring
        return ans
    if i == 0:
        ans = substring + string
        return ans
    str1 = string[0:i]
    str2 = string[i:x]
    ans = str1 + substring + str2
    return ans</t>
  </si>
  <si>
    <t>def insert(string,substring,i):
    #insert code here
    if i &gt; len(string):
        return string + substring
    elif i == 0:
        return substring + string
    else:
        a = string[:i]
        b = string[i:]
        return a + substring + b</t>
  </si>
  <si>
    <t>def insert(string,substring,i):
    s = string[i:len(string)]
    s1 = string[0:i]
    ans = s1 + substring + s
    return ans</t>
  </si>
  <si>
    <t>def insert(string,substring,i):
    ans = string[:i] + substring + string[i:]
    return ans</t>
  </si>
  <si>
    <t xml:space="preserve">def insert(string,substring,i):
    if i!=0:
        ans=string[:i]+substring+string[i:]
    else:
        ans=substring+string
    return ans
</t>
  </si>
  <si>
    <t xml:space="preserve">def insert(st,sb,i):
    st1=st[:i]
    st2=st[i:]
    ans =st1+sb+st2
    return ans
</t>
  </si>
  <si>
    <t>def insert(string,substring,i):
    string1 = string[0: i]
    string2 = string[i: (len(string))]
    ans = string1 + substring + string2
    return ans</t>
  </si>
  <si>
    <t>def insert(string,substring,i):
    #insert code here
    a = string[0:i]
    b = string[i:]
    ans = a + substring + b
    return ans</t>
  </si>
  <si>
    <t>def insert(string,substring,i):
    #insert code here
    ans = string[ : i] + substring + string [i : ]
    return ans</t>
  </si>
  <si>
    <t>def insert(string,substring,i):
    string_list = []
    for x in range(len(string)):
        string_list.append(string[x]);
    substring_list = []
    for x in range(len(substring)):
        substring_list.append(substring[x]);
    string_list.insert(i, substring)
    print(string_list)
    result = ""
    for x in string_list:
        result += x
    return result</t>
  </si>
  <si>
    <t xml:space="preserve">def insert(string,substring,i):
    return string[:i]+substring+string[i:]
    </t>
  </si>
  <si>
    <t>def insert(string,substring,i):
    x = len(string) + 1
    front = string[0 : i]
    back = string[i : x]
    ans = front + substring + back
    return ans</t>
  </si>
  <si>
    <t>def insert(string,substring,i):
    b = str(string[0 : i]) + substring + str(string[i : len(string)])
    return b</t>
  </si>
  <si>
    <t>def insert(string,substring,i):
    ans=""
    x=(list(string))
    x.insert(i,substring)
    for items in x:
        ans+=items
    return ans</t>
  </si>
  <si>
    <t>def insert(string,substring,i):
    s1 = string[ :i]
    s2 = string[i: ]
    ans = s1 + substring + s2
    return ans</t>
  </si>
  <si>
    <t>def insert(string,substring,i):
    length=len(string)
    part1=string[0:i]
    part2=string[i:length]
    res=part1+substring+part2
    return res</t>
  </si>
  <si>
    <t>def insert(string,substring,i):
    frt = string[:i]
    bck = string[i:]
    ans = frt + substring + bck
    return ans</t>
  </si>
  <si>
    <t>def insert(string,substring,i):
    x = i - 1
    res = string[:i] + substring + string[i:]
    return res</t>
  </si>
  <si>
    <t>def insert(string,substring,i):
    #insert code here
    if i==len(string)+1:
        return string+substring
    ans=string[:i]+substring+string[i:]
    return ans</t>
  </si>
  <si>
    <t>def insert(string,substring,i):
    aft = string[:i]
    bef = string[i:]
    x = ''
    x += aft
    x += substring
    x += bef
    return x</t>
  </si>
  <si>
    <t>def insert(string,substring,i):
    a = string[:i]
    b = string[i:]
    ans = a + substring + b
    print(ans)
    return ans</t>
  </si>
  <si>
    <t>def insert(string,substring,i):
    #insert code here
    ans = string[:i] + substring + string[i:]
    return ans</t>
  </si>
  <si>
    <t>def insert(string,substring,i):
    string1=string[:i]
    string2=string[i:]
    ans=string1+str(substring)+string2
    return ans</t>
  </si>
  <si>
    <t>def insert(string,substring,i):
    #insert code here
    res = string[:i] + substring + string[i:]
    return res</t>
  </si>
  <si>
    <t>def insert(string,s,i):#insert code here
    a = string[i:len(string)]
    b = string[0:i]
    return b + s + a</t>
  </si>
  <si>
    <t>def insert(string,substring,i):
    ans=""
    ans=string[:(i)]+substring+string[i:]
    return ans</t>
  </si>
  <si>
    <t>def insert(string,substring,i):
    i=int(i)
    ans=string[:i]
    ans2=string[i:]
    ans=ans+substring+ans2
    return ans</t>
  </si>
  <si>
    <t>def insert(string,substring,i):
    first=string[:i]
    secound=string[i:]
    ans=first+substring+secound
    return ans#insert code here</t>
  </si>
  <si>
    <t>def insert(string,substring,i):
    first=string[:i]
    second=string[i:]
    total=first+substring+second
    return total</t>
  </si>
  <si>
    <t xml:space="preserve">def insert(string,substring,i):
    result = ""
    count = 0
    for j in string:
        if count == i:
            result += substring
        result += j
        count = count + 1
        if i &gt; len(string)-1:
            result = string+substring
    return result
    </t>
  </si>
  <si>
    <t>def insert(string,substring,i):
    #insert code here
    y=string[:i]
    z=string[i:len(string)]
    alpha=y+substring+z
    return alpha
    pass</t>
  </si>
  <si>
    <t xml:space="preserve">def insert(string,substring,i):
    x = string[i:]
    y = string[:i]
    ans = y + substring + x
    return ans
    </t>
  </si>
  <si>
    <t xml:space="preserve">def insert(string,substring,i):
    g = len(string)
    x = string[0:i]
    print(x)
    y = string[i:g]
    print(y)
    ans = x + substring + y
    return ans
</t>
  </si>
  <si>
    <t xml:space="preserve">def insert(string,substring,i):
    gat = len(string)
    if i == 0:
        s = substring + string
        return s
    elif i &gt;= gat:
        s = string + substring
        return s
    else:
        s = ""
        for number in range(i):
            s = s + string[number]
        s = s + substring
        for number in range(i,(gat)):
            s = s + string[number]
        return s
</t>
  </si>
  <si>
    <t>def insert(string,substring,i):
    s = string[0:i]+substring+string[i:len(string)]
    return s</t>
  </si>
  <si>
    <t>def insert(string,substring,i):
    string=string[:i]+substring+string[i:]
    return string</t>
  </si>
  <si>
    <t>def insert(string,substring,i):
    if i == len(string)+1:
        return string + substring
    ans = string[:i] + substring + string[i:]
    return ans</t>
  </si>
  <si>
    <t xml:space="preserve">def insert(string,substring,i):#insert code here
    string1 = string[i:]
    string2 = string[:i]
    string3 = string2 + substring + string1
    return string3
</t>
  </si>
  <si>
    <t>def insert(string,substring,i):
    #insert code here
    string = string[:i] + substring + string[i:]
    return string</t>
  </si>
  <si>
    <t xml:space="preserve">def insert(a,b,i):
    #insert code here
    c = str(a[ : i])
    d = str(a[i : ])
    e = str(c) + str(b) + str(d)
    return e
    </t>
  </si>
  <si>
    <t>def insert(string,substring,i):
    g = len(string)
    x = string[0:i]
    print(x)
    y = string[i:g]
    print(y)
    ans = x + substring + y
    return ans</t>
  </si>
  <si>
    <t>def insert(string,substring,i):
    #insert code here
    x = ''
    x = x + string[:i]
    x = x + substring
    x = x + string[i:]
    return x</t>
  </si>
  <si>
    <t xml:space="preserve">def insert(string,substring,i):
    s=string
    ss=substring
    sfront=s[0:i]
    sback=s[i:len(s)]
    sinsert=sfront+ss+sback
    return sinsert
</t>
  </si>
  <si>
    <t>def remove_bars(string):
    string1 = string.replace('|",'')
    return string1</t>
  </si>
  <si>
    <t>def remove_bars(n):
    r = n.split('|')
    y = ''
    for x in r:
        y = y + x
    return y</t>
  </si>
  <si>
    <t>def remove_bars(string):
    return string.replace("|","")</t>
  </si>
  <si>
    <t xml:space="preserve">def remove_bars(joke):
    x = joke.replace("|", "")
    return x
print(remove_bars("adf|sdgf|fdg"))
</t>
  </si>
  <si>
    <t>def remove_bars(text):
    ans = text.replace('|",'')
    return ans</t>
  </si>
  <si>
    <t>def remove_bars(a):
    b = a.split("|")
    c = ''
    d = 0
    while d &lt; len(b):
        c = str(c) + str(b[d])
        d = d + 1
    return c</t>
  </si>
  <si>
    <t>def remove_bars(string):
    ans=string.replace("|","")
    return ans</t>
  </si>
  <si>
    <t>def remove_bars(x):
    ans=x.split('|')
    y=''.join(ans)
    return y</t>
  </si>
  <si>
    <t xml:space="preserve">def remove_bars(string):
    a = string[1:-1]
    b = a.split("|")
    ans = ""
    for t in range(len(b)):
        ans += b[t]
    return ans
        </t>
  </si>
  <si>
    <t>def remove_bars(sentence):
    BETTER_stuff = ''
    for thingy in range(len(sentence)):
        if sentence[thingy] != '|':
            BETTER_stuff += sentence[thingy]
    return BETTER_stuff</t>
  </si>
  <si>
    <t>def remove_bars(x):
    ans=x.replace("|","")
    return ans</t>
  </si>
  <si>
    <t xml:space="preserve">def remove_bars(string):
    ans = ''
    for i in string:
        if i != '|':
            ans += i
    return ans
</t>
  </si>
  <si>
    <t xml:space="preserve">def remove_bars(bar):
    x = bar.split("|")
    sentence = ''
    for y in x:
        sentence = sentence + y 
    return sentence
</t>
  </si>
  <si>
    <t>def remove_bars(x):
    return x.replace('|",'')</t>
  </si>
  <si>
    <t>def remove_bars(string):
    out = ''
    for i in range(len(string)):
        if string[i] == '|':
            continue
        else:
            out += string[i]
    return out</t>
  </si>
  <si>
    <t xml:space="preserve">def remove_bars(string):
    ans=string.replace("|","")
    return ans
</t>
  </si>
  <si>
    <t>def remove_bars(string):
    a = string.split("|")
    ans = ""
    for x in range(1,len(a)):
        ans += a[x]
    return ans</t>
  </si>
  <si>
    <t>def remove_bars(string):
    return "".join(string.split("|"))</t>
  </si>
  <si>
    <t>def remove_bars(text):
    res = ""
    for i in text.split('|'):
        res += i
    return res</t>
  </si>
  <si>
    <t>def remove_bars(string):
    ans=""
    string.split("|")
    for i in string[1::2]:
        ans+=i
    return( ans)</t>
  </si>
  <si>
    <t>def remove_bars(somestuff):
    res = somestuff.replace("|","")
    return res</t>
  </si>
  <si>
    <t>def remove_bars(string):
    str1 = string.split('|')
    x = len(str1)
    ans = ''
    for counter in range(x):
        ans = ans + str1[counter]
    return ans</t>
  </si>
  <si>
    <t>def remove_bars(word):
    ans = ""
    for i in word:
        if i != "|":
            ans += i
    return ans</t>
  </si>
  <si>
    <t>def remove_bars(i):
    ans = i.replace("|","")
    return ans</t>
  </si>
  <si>
    <t>def remove_bars(text):
    ans = text.replace("|","")
    return ans</t>
  </si>
  <si>
    <t>def remove_bars(x):
    ans= x.replace('|",'')
    return ans</t>
  </si>
  <si>
    <t xml:space="preserve">def remove_bars(s):
    ans=''
    l=s.split('|')
    for x in l:
        ans=ans+x
    return ans
</t>
  </si>
  <si>
    <t>def remove_bars(string):
    ans = string.replace ("|", "")
    return ans</t>
  </si>
  <si>
    <t xml:space="preserve">def remove_bars(x):
    ans = ""
    y = x.split("|")
    for i in range(len(y)):
        ans += str(y[i])
    return ans
    </t>
  </si>
  <si>
    <t>def remove_bars(string):
    lol = []
    for i in range(0,len(string)):
        k = string[i]
        if k != "|":
            lol.append(k)
    ans = ""
    for j in lol:
        ans += j
    return ans</t>
  </si>
  <si>
    <t xml:space="preserve">def remove_bars(string):
    string_list = []
    for x in range(len(string)):
        string_list.append(string[x]);
    for x in range(len(string_list) - 1, -1, -1):
        if string_list[x] == "|":
            string_list.pop(x)
    result = ""
    for x in string_list:
        result += x
    return result
</t>
  </si>
  <si>
    <t>def remove_bars(string):
    new=""
    for i in range(len(string)):
        if string[i]!="|":
            new+=string[i]
    return new</t>
  </si>
  <si>
    <t xml:space="preserve">def remove_bars(string):
    s = string.replace("|", "")
    return s
    </t>
  </si>
  <si>
    <t>def remove_bars(text):
    y = text.replace("|", "")
    return y</t>
  </si>
  <si>
    <t xml:space="preserve">def remove_bars(string):
    ans=""
    x = string.split("|")
    for items in x:
        ans+=items
    return ans
        </t>
  </si>
  <si>
    <t>def remove_bars(string):
    ans = ""
    lst = string.split("|")
    lst.pop(0)
    lst.pop(-1)
    for i in range (len(lst)):
        ans += lst[i]
    return ans</t>
  </si>
  <si>
    <t>def remove_bars(text):
    length=len(text)
    res=""
    for i in range(1,length,2):
        res+=text[i]
    return res</t>
  </si>
  <si>
    <t>def remove_bars(text):
    ans = text[1::2]
    return ans</t>
  </si>
  <si>
    <t xml:space="preserve">def remove_bars(txt):
    lets = txt.split("|")
    res = ''
    for let in lets:
        res = res + let
    return res    </t>
  </si>
  <si>
    <t>def remove_bars(barz):
    letters=barz.split("|")
    ans=""
    for i in letters:
        ans+=i
    return ans</t>
  </si>
  <si>
    <t>def remove_bars(a):
    b = a.replace("|",'')
    return b</t>
  </si>
  <si>
    <t>def remove_bars(string):
        stri = string.split("|")
        ans = ""
        for i in range(0, len(stri)):
                ans = ans + stri[i]
        print(ans)
        return ans</t>
  </si>
  <si>
    <t>def remove_bars(text):
    ans = text.replace("|", "")
    return ans</t>
  </si>
  <si>
    <t xml:space="preserve">
def remove_bars(string):
    ans=string.replace("|","")
    return ans</t>
  </si>
  <si>
    <t xml:space="preserve">def remove_bars(s):
    b=s.replace("|","")
    return b
    </t>
  </si>
  <si>
    <t>def remove_bars(string):
    return string.replace("|", "")</t>
  </si>
  <si>
    <t>def remove_bars(string):
    ans = string.replace("|", "")
    return ans</t>
  </si>
  <si>
    <t xml:space="preserve">def remove_bars(s):
    return s.replace("|","")
    </t>
  </si>
  <si>
    <t>def remove_bars(string):
    ans=""
    ans=string.replace("|",'')
    return ans</t>
  </si>
  <si>
    <t>def remove_bars(s):
    ans=""
    for count in range(1,len(s),2):
        ans=ans+s[count]
    return ans</t>
  </si>
  <si>
    <t>def remove_bars(x):
    x=x.replace('|",'')
    return x</t>
  </si>
  <si>
    <t>def remove_bars(string):
    wordlist=string.split("|")
    total=""
    for count in range(len(wordlist)):
        total=total+wordlist[count]
    return total</t>
  </si>
  <si>
    <t>def remove_bars(text):
    result = ""
    list1 = text.split("|")
    for i in list1:
        result += i
    return result</t>
  </si>
  <si>
    <t xml:space="preserve">def remove_bars(s):
    y=''
    for count in range(1,len(s)-1):
        if count%2==1:
            y=y+s[count]
    return y
            </t>
  </si>
  <si>
    <t>def remove_bars(string):
    ans = string.replace("|","")
    return ans</t>
  </si>
  <si>
    <t>def remove_bars(string):
    x = len(string)-1
    z = 0
    g = ""
    while x&gt;=z:
        y = string[z]
        if y != "|":
            g+=y
            z+=1
        else:
            z+=1
    ans = g
    return ans</t>
  </si>
  <si>
    <t>def remove_bars(s):
    s = s.replace("|", "")
    return s</t>
  </si>
  <si>
    <t>def remove_bars(string):
    s = string.replace("|", "")
    return s</t>
  </si>
  <si>
    <t>def remove_bars(word):
    ans=""
    word=word.split("|")
    for i in range(len(word)):
        ans+=word[i]
    return ans</t>
  </si>
  <si>
    <t>def remove_bars(string):
    x = string.split("|")
    y = ""
    for i in x:
        y += i
    return y</t>
  </si>
  <si>
    <t>def remove_bars(string):
    string = string.replace('|", '')
    return string</t>
  </si>
  <si>
    <t>def remove_bars(string):
    newstr = ''
    for i in range(len(string)):
        if i % 2 == 1:
            newstr += string[i]
    return newstr</t>
  </si>
  <si>
    <t>def remove_bars(words):
    Z = words.split("|")
    z = ''
    for i in range(len(Z)):
        z = z + Z[i]
    return z</t>
  </si>
  <si>
    <t>def remove_bars(string):
    s=string
    sreplace=s.replace('|",'')
    return sreplace</t>
  </si>
  <si>
    <t>def palindromeNumber(number):
    if 0 &lt;= number &lt;=9:
        result = True
    elif 10 &lt;= number &lt;= 99 and number % 10 == number // 10 :
        result = True
    elif 100 &lt; number &lt;= 999 and number % 10 == number // 100 :
        result = True
    else :
        result = False
    return result</t>
  </si>
  <si>
    <t>def palindromeNumber(n):
    x=1000
    if n&gt;999 or n&lt;0:
        return False
    elif n&gt;99:
        x=((n%10)*100)+((n%100//10)*10)+(n//100)
    elif n&gt;9:
        x=((n%10)*10)+(n//10)
    else:
        x=n
    if x==n:
        return True
    else:
        return False
    return result</t>
  </si>
  <si>
    <t>def palindromeNumber(x):
    if 1000&gt;x&gt;=100:
        a=str(x)
        b=a[2]+a[1]+a[0]
        result=int(b)==x
        return result
    elif 100&gt;x&gt;=10:
        a=str(x)
        b=a[1]+a[0]
        result=int(b)==x
        return result
    elif 10&gt;x&gt;0:
        result=(x==x)
        return result
    else:
        result= (x&gt;x)
        return result</t>
  </si>
  <si>
    <t>def palindromeNumber(number):
    # WRITE YOUR CODE BELOW
    pali=str(number)
    first=pali[0]
    last=pali[-1]
    if first==last:
        result= True
    else:
        result=False
    return result</t>
  </si>
  <si>
    <t>def palindromeNumber(number):
    result=False
    # WRITE YOUR CODE BELOW
    if number&lt;0 or number&gt;999:
        result=False
    elif number&lt;10:
        result=True
    elif number&lt;100:
        if number//10==number%10:
            result=True
        else:
            result=False
    elif number//100==number%10:
        result=True
    else:
        result=False
    return result</t>
  </si>
  <si>
    <t xml:space="preserve">def palindromeNumber(number):
    if number &lt; 0 or number &gt; 999:
        return False
    dig = len(str(number))
    num = str(number)
    if dig % 2 == 0:
        #even
        cycles = dig/2
        v = 1
        while v-1 &lt; cycles:
            if num[v-1] == num[-v]:
                result = True
                v = v + 1
            else:
                result = False
                v = v + cycles
    else:
        #odd
        if dig == 1:
            return True
        cycles = dig//2
        v = 1
        while v-1 &lt; cycles:
            if num[v-1] == num[-v]:
                result = True
                v = v + 1
            else:
                result = False
                v = v + cycles
    return result
print(palindromeNumber(3))
</t>
  </si>
  <si>
    <t>def palindromeNumber(number):
    if number&lt;0 or number&gt;1000:
        return False
    if 100&gt;number&gt;10:
        if str(number)[0]==str(number)[1]:
            return True
        else:
            return False
    if number&lt;10:
        return True
    else:
        if str(number)[0]==str(number)[2]:
            return True
        else:
            return False
    return result</t>
  </si>
  <si>
    <t xml:space="preserve">def palindromeNumber(number):
    if number // 100 != 0:
        if number // 100 == number - (number // 10)*10:
            result = True
        else:
            result = False
    elif number // 10 != 0:
        if (number // 10) * 11 == number:
            result = True
        else:
            result = False
    else:
        result = True
    return result
</t>
  </si>
  <si>
    <t>def palindromeNumber(number):
    # WRITE YOUR CODE BELOW
    if number&gt;9 and number&lt; 100:
        if number//10 == number%10:
            result = True
        else:
            result = False
    if number&lt;10:
        result =  True
    if number &gt;99:
        if (number%10) == number//100:
            result = True
        else:
            result = False
    if number &lt; 0 or number &gt; 999:
        result = False
    return result</t>
  </si>
  <si>
    <t xml:space="preserve">def palindromeNumber(number):
    # WRITE YOUR CODE BELOW
    number = str(number)
    if len(number) % 2 == 1:
        if number[0] == number[-1]:
            return True
        else:
            return False
    else:
        if number[0] == number[-1]:
            return True
        else:
            return False
        </t>
  </si>
  <si>
    <t>def palindromeNumber(number):
    if number &gt; 99 and number &lt; 1000:
        if number // 100 == number % 10:
            result = True
        else:
            result = False
    elif number &gt; 9:
        if number // 10 == number % 10:
            result = True
        else:
            result = False
    elif number &gt;= 0:
        result = True
    else:
        result = False
    return result</t>
  </si>
  <si>
    <t>def palindromeNumber(number):
    # WRITE YOUR CODE BELOW
    if 0&lt;=number&lt;=9:
        result = True
    elif 10&lt;=number&lt;=99 and number%10==number//10:
        result = True
    elif 100&lt;number&lt;=999 and number%10==number//100:
        result = True
    else:
        result = False
    return result</t>
  </si>
  <si>
    <t>def palindromeNumber(number):
    if number &lt;0 or number &gt;=1000:
        return False
    if number &gt;=100:
        if number//100 == number %10:
            return True
        else:
            return False
    elif number &gt;=10:    
        if (number - number %10)/10 == number %10:
            return True
        else:
            return False
    else:
        return True
    return result</t>
  </si>
  <si>
    <t>def palindromeNumber(number):
    # WRITE YOUR CODE BELOW
    number = str(number)
    if len(number) == 3:
        p = number[0]
        m = number[2]
        if p == m:
            result = True
        else:
            result = False
    else:
        if len(number) == 1:
            result = True
        else:
            o = number[1]
            k = number[0]
            if o == k:
                result = True
            else:
                result = False
    return result</t>
  </si>
  <si>
    <t>def palindromeNumber(number):
    if number &lt; 0 : result = False
    if number &gt;999 : result = False
    elif number &gt;99:
        a = number//100
        b = (number - a*100)//10
        c = number - a*100-b*10
        if a == c : result = True
        else : result = False
    elif number &gt; 9 :
        a = number//10
        b = number - a*10
        if a == b : result = True
        else : result = False
    elif number &gt; 0 : result = True
    return result</t>
  </si>
  <si>
    <t>def palindromeNumber(number):
    if number &lt; 0 or number &gt; 999:
        return False
    else:
        if number &lt; 10:
            result = True
        elif number &lt; 100:
            new = (number % 10) * 10 + (number // 10)
            if new == number:
                result = True
            else:
                result = False
        else:
            new = ((number % 100) // 10) * 10 + (number // 100) + (number % 10) * 100
            if new == number:
                result = True
            else:
                result = False
    return result</t>
  </si>
  <si>
    <t>def palindromeNumber(number):
    if number &lt; 0:
        result = False
    elif number &gt; 999:
        result = False
    elif number &lt;= 9:
        if number &gt;= 1:
            result = True
    elif number % 11 == 0:
        result = True 
    else:
        result = False
    return result</t>
  </si>
  <si>
    <t xml:space="preserve">def palindromeNumber(number):
    # WRITE YOUR CODE BELOW
    if number//100==number%10 or number//10==number%10:
        result=True
    elif number==1:
        result=True
    elif number==2:
        result=True
    elif number==3:
        result=True
    elif number==4:
        result=True
    elif number==5:
        result=True
    elif number==6:
        result=True
    elif number==7:
        result=True
    elif number==8:
        result=True
    elif number==9:
        result=True
    else:
        result=False
    return result
</t>
  </si>
  <si>
    <t xml:space="preserve">def palindromeNumber(x):
    if x &lt; 0:
        result = False
    if x &gt; 999:
        result = False
    if 0&lt; x &lt; 10:
        result = True
    if 9 &lt; x &lt;100:
        str(x)
        if str(x)[-1]+str(x)[-2] == str(x)[0]+str(x)[1]:
            result = True
        else:
            result = False
    if 99 &lt; x &lt;1000:
        str(x)
        if str(x)[-1]+str(x)[-2]+str(x)[-3] == str(x)[0]+str(x)[1]+str(x)[2]:
            result = True
        else:
            result = False
    return result
    </t>
  </si>
  <si>
    <t>def palindromeNumber(number):
    result = False
    a = number // 100
    b = number // 10 - a * 10
    c = number - 100 * a - 10 * b
    if a == 0:
        if b == 0:
            number1 = c
        else:
            number1 = 10 * c + b
    else:
        number1 = 100 * c + 10 * b + a
    if number1 == number:
        result = True
    else:
        result = False
    return result</t>
  </si>
  <si>
    <t>def palindromeNumber(number):
    # WRITE YOUR CODE BELOW
    if(number&lt;0 or number&gt;999):
        return False
    elif(number&lt;10):
        return True
    elif(number&lt;100):
        return number%11==0
    else:
        if((number//100)==(number%10)):
            return True
        else:
            return False</t>
  </si>
  <si>
    <t>def palindromeNumber(number):
    if number&lt;0 or number&gt;999:
        return False
    number=str(number)
    if len(number)==1:
        return True
    elif len(number)==2 and number[0]==number[1]:
        return True
    elif len(number)==3 and number[0]==number[2]:
        return True
    else:
        return False</t>
  </si>
  <si>
    <t xml:space="preserve">def palindromeNumber(number):
    if 0 &lt;= number &lt;= 9:
        result = True
    elif 10 &lt;= number &lt;= 99 and number % 10 == number // 10:
        result = True
    elif 100 &lt;= number &lt;= 999 and number % 10 == number // 100:
        result = True
    else:
        result = False
    return result
</t>
  </si>
  <si>
    <t>def palindromeNumber(number):
    if number&lt;0:
        result=False
    elif number&lt;10:
        result=True
    elif number&lt;100:
        if (number%10)==(number-(number%10))/10:
            result=True
        else:
            result=False
    elif number&lt;1000:
        if number%10==(number-number%100)/100:
            result=True
        else:
            result=False
    else:
        result=False
    return result</t>
  </si>
  <si>
    <t>def palindromeNumber(number): 
    int1 = number // 100
    num1 = number % 100
    int2 = num1 // 10
    int3 = num1 % 10
    if number &lt; 0:
        result= False
    elif number &gt;= 1000:
        result= False 
    elif number // 100 &gt;= 1:
        if int1 == int3:
            result = True
        else:
            result = False
    elif number // 10 &gt;= 1:
        if int2 == int3:
            result = True
        else:
            result = False
    else:
        result = True
    return result</t>
  </si>
  <si>
    <t xml:space="preserve">def palindromeNumber(number):
    if number//100 == 1 or 2 or 3 or 4 or 5 or 6 or 7 or 8 or 9:
        if number // 100 == number % 10:
            return True
        else:
            if number //10 == 1 or 2 or 3 or 4 or 5 or 6 or 7 or 8 or 9:
                if number // 10 == number % 10:
                    return True
                else:
                    if number // 10 == 0:
                        if number&gt;=0 and number&lt;10:
                            return True
    return False
</t>
  </si>
  <si>
    <t>def palindromeNumber(number):
    if number &lt; 0 or number &gt; 999:
        result = False
    elif number &gt; 9 and number &lt; 100:
        first = number // 10
        units = number % 10
        if first == units:
            result = True
        else:
            result = False
    elif number &gt; 0 and number &lt; 10:
        result = True
    else:
        first = number // 100
        units = number % 10
        if first == units:
            result = True
        else:
            result = False
    return result</t>
  </si>
  <si>
    <t>def palindromeNumber(number):
    # WRITE YOUR CODE BELOW
    strnum=str(number)
    if number&gt;999 or number&lt;0:
        result = False
    elif int(strnum[0])==int(strnum[-1]):
        result = True
    else:
        result = False
    return result</t>
  </si>
  <si>
    <t>def palindromeNumber(number):
    if number &lt;= 0:
        result = False
        return result
    elif number &gt;= 1000:
        result = False
        return result
    elif number &gt;= 100:
        x = number // 100
        y = number // 10 - (10 * x)
        z = number - (100 * x) - (10 * y)
        if x == z :
            result = True
        elif x != z:
            result = False
        return result
    elif number &gt;=10:
        a = number //10
        b = number //1 - (10*a)
        if a == b:
            result = True
        else:
            result = False
        return result
    else:
        return True</t>
  </si>
  <si>
    <t>def palindromeNumber(number):
    # WRITE YOUint(-1[numberR CODE BELOW
    number = str(number)
    a = number[-1]
    b = number[0]
    if a == b:
        result = True
    else:
        result = False
    return result</t>
  </si>
  <si>
    <t xml:space="preserve">def palindromeNumber(number):
    # WRITE YOUR CODE BELOW
    if number //1000&gt;=1 or number&lt;0:
        result=False
    elif number//100&gt;=1:
        number=str(number)
        a=number[0]
        b=number[1]
        c=number[2]
        back = c+b+a
        if number==back:
            result=True
        else:
            result=False
    elif number//10&gt;=1:
        number=str(number)
        a=number[0]
        b=number[1]
        back = b+a
        if number==back:
            result=True
        else:
            result=False
    else:
        result=True
    return (result)
</t>
  </si>
  <si>
    <t xml:space="preserve">def palindromeNumber(number):
    # WRITE YOUR CODE BELOW
    if number // 10 == 0:
        result = True
    elif number // 10 &lt;= 9:
        c = number // 10
        d = (number - c) / 10
        if c == d:
            result = True
        else:
            result = False
    elif number // 10 &gt;= 10:
        e = number // 100
        f = (number - e * 100) // 10
        g = (number - e * 100 - f * 10)
        if (e, f, g) == (g , f, e):
            result = True
        else:
            result = False
    return result
  </t>
  </si>
  <si>
    <t xml:space="preserve">def palindromeNumber(number):
    if len(str(number)) &gt; 3 or len(str(number)) &lt; 0:
        return False
    elif len(str(number)) == 2:
        if number%11 == 0:
            return True
        else:
            return False
    elif len(str(number)) == 3:
        if (str(number)[0:1]) == (str(number)[2:3]):
            return True
        else:
            return False
    else:
        return True
</t>
  </si>
  <si>
    <t>def palindromeNumber(number):
    # WRITE YOUR CODE BELOW
    fir=number//100
    sec=(number-fir*100)//10
    thi=number%10
#    print(fir,sec,thi)
    if number &lt;0 or number &gt;999:
        result=False
        return result
    elif fir == thi:
        result=True
    elif sec==thi:
        result=True
    elif fir==0 and sec == 0:
        result=True
    else:
        result=False
    return result
print(palindromeNumber(2))
#print(palindromeNumber(2345))</t>
  </si>
  <si>
    <t xml:space="preserve">def palindromeNumber(number):
    ans=(number)
    ans1=str(number)
    if len(ans1)==1:
        result1=ans
        result=(result1==result1)
    elif len(ans1)==2:
        result1=ans%10
        result2=ans//10
        result=(result1==result2)
    elif len(ans1)==3:
        result1=ans%10
        result2=ans//100
        result=(result1==result2)
    else:
        result=(number==number+1)
    return result
</t>
  </si>
  <si>
    <t>number=1221
def palindromeNumber(number):
    x=len(str(number))
    if x&lt;4 and number&gt;0:
        if x==3:
            a=number//100
            b=(number-(a*100))//10
            c=number-(a*100)-(b*10)
            if a==c:
                return True
            else:
                return False
        elif x==2:
            a=number//10
            b=number-(a*10)
            if a==b:
                return True
            else:
                return False
        else:
            return True
    else:
        return False</t>
  </si>
  <si>
    <t>def palindromeNumber(number):
    if number//1000&gt;0 or number&lt;=0:
        result = False
    elif number//100&gt;0:
        result = (number//100) == (number%10)
    elif number//10&gt;0:
        result = (number//10) == (number%10)
    else:
        result = True
    return result</t>
  </si>
  <si>
    <t xml:space="preserve">def palindromeNumber(number):
    # WRITE YOUR CODE BELOW
    if number&gt;=100:
        y=number//100
        z=(number-y*100)//10
        a=number%10
        y=str(y)
        z=str(z)
        a=str(a)
        number1=a+z+y
        number1=int(number1)
        if number1==number:
            result=True
        else:
            result=False
    elif number&gt;=10:
        z=number//10
        a=number%10
        a=str(a)
        z=str(z)
        number2=a+z
        number2=int(number2)
        if number2==number:
            result=True
        else:
            result=False
    elif number//1000&gt;=1:
        result=False
    elif number&lt;0:
        result=False
    else:
         result=True
    return result
    </t>
  </si>
  <si>
    <t>def palindromeNumber(number):
    if number &lt; 0:
        result = False
    elif number &gt;= 1000:
        result = False
    elif (number % 10) * 100 == number - number % 100:
        result = True
    elif number &lt; 10:
        result = True
    elif number &lt; 100:
        if (number % 10) * 10 == number - (number % 10):
            result = True
        else:
            result = False
    else:
        result = False
    return result</t>
  </si>
  <si>
    <t>def palindromeNumber(number):
    number = str(number)
    if len(number) == 1:
        result = True
    elif len(number) == 3:
        if (number[0]) == (number[-1]):
            result = True
        else:
            result = False
    elif len(number) == 2:
        if (number[0]) == (number[1]):
            result = True
        else:
            result = False
    else:
        result = False
    return result</t>
  </si>
  <si>
    <t xml:space="preserve">def palindromeNumber(number):
    x = str(number)
    if number / 100 &gt; 1:
        z = 2
    elif number / 10 &gt; 1 and number / 100 &lt; 1:
        z = 1
    elif number / 100 &lt; 1 and number / 10 &lt; 1:
        z = 0
    if x[0] == x[z] and not(number &lt; 0 or number / 1000) &gt;= 1:
        y =True
    elif number &lt; 0 or number / 1000 &gt;= 1:
        y = False
    else:
        y = False
    return y
print(palindromeNumber(-22))
        </t>
  </si>
  <si>
    <t xml:space="preserve">def palindromeNumber(number):
    if number &lt; 200 and number &gt; 100 and (number - 1)%10==0:
        result=True
    elif number &lt; 300 and number &gt; 200 and (number - 2)%10==0:
        result=True
    elif number &lt; 400 and number &gt; 300 and (number - 3)%10==0:
        result=True
    elif number &lt; 500 and number &gt; 400 and (number - 4)%10==0:
        result=True
    elif number &lt; 600 and number &gt; 500 and (number - 5)%10==0:
        result=True
    elif number &lt; 700 and number &gt; 600 and (number - 6)%10==0:
        result=True
    elif number &lt; 800 and number &gt; 700 and (number - 7)%10==0:
        result=True
    elif number &lt; 900 and number &gt; 800 and (number - 8)%10==0:
        result=True
    elif number &lt; 1000 and number &gt; 900 and (number - 9)%10==0:
        result=True
    elif number == 11:
        result=True
    elif number == 22:
        result=True
    elif number == 33:
        result=True
    elif number == 44:
        result=True
    elif number == 55:
        result=True
    elif number == 66:
        result=True
    elif number == 77:
        result=True
    elif number == 88:
        result=True
    elif number == 99:
        result=True
    elif number &lt; 10 and number &gt;=0:
        result=True
    else:
        result=False
    return result
</t>
  </si>
  <si>
    <t>def palindromeNumber(x):
    # WRITE YOUR CODE BELOW
    if x &lt; 0 or x &gt; 999:
        return False
    elif x % 10 == x // 100:
        return True
    elif x % 10 == x //10:
        return True
    elif x &gt;= 0 and x &lt;= 9:
        return True
    else:
        return False
    return x</t>
  </si>
  <si>
    <t>import math
def palindromeNumber(number):
    hundred=math.floor(number/100)
    ten=number-hundred*100
    tenth=math.floor(ten/10)
    one=number%10
    if number&gt;999 or number&lt;0:
        result=False
    elif number&gt;99:
        if hundred==one:
            result=True
        else:
            result=False
    elif number&gt;9:
        if one==tenth:
            result=True
        else:
            result=False
    else:
        result=True
    return result</t>
  </si>
  <si>
    <t>def palindromeNumber(number):
    number = str(number)
    if number[0] == number[-1]:
        result = True
    else:
        result = False
    return result</t>
  </si>
  <si>
    <t>def palindromeNumber(number):
    # WRITE YOUR CODE BELOW
    if number &lt; 0 or number &gt; 999:
        return False
    elif number &gt; 99:
        reversedNumber = (number % 10) * 100 + (number // 10 % 10) * 10 + (number // 100)
    elif number &gt; 9:
        reversedNumber = (number % 10) * 10 + (number // 10) 
    else:
        return True
    if number == reversedNumber:
        result = True
    else:
        result = False
    return result
    return result</t>
  </si>
  <si>
    <t>def palindromeNumber(number):
    if 0 &lt;= number &lt;= 9 :
        result = True
    elif 10 &lt;= number &lt;= 99 and number % 10 == number // 10 :
        result = True
    elif 100 &lt; number &lt;= 999 and number % 10 == number // 100 :
        result = True
    else :
        result = False
    return result</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</si>
  <si>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&lt;= (w2 - w1) / 2 and yDistance &lt;= (h2 - h1) / 2:
        message = "r1 is inside r2"
    elif xDistance &gt; (w1 + w2) / 2 or yDistance &gt; (h1 + h2) / 2:
        message = "r2 does not overlap r1"
    else:
        message = "r2 overlaps r1"
    return message</t>
  </si>
  <si>
    <t>def rectangles(x1, y1, w1, h1, x2, y2, w2, h2):
    if w1==0 or h1==0 or w2==0 or h2==0:
        message="Not a valid rectangle"
    elif x1==x2 and y1==y2 and w1==w2 and h1==h2:
        message="r2 intersect r1 exactly"
    elif abs(x1-x2)&lt;=(w1+w2)/2 and abs(y1-y2)&lt;=(h1+h2)/2:
        if w1/2&gt;=abs(x1-x2)+w2/2 and h1/2&gt;=abs(y1-y2)+h2/2:
            message="r2 is inside r1"
        else:
            message="r2 overlaps r1"
    else:
        message="r2 does not overlap r1"
    return message</t>
  </si>
  <si>
    <t>def rectangles(x1, y1, w1, h1, x2, y2, w2, h2):
    centdiffx=abs(x1-x2)
    centdiffy=abs(y1-y2)
    if w1&gt;0 and w2&gt;0 and h1&gt;0 and h2&gt;0:
        if w1 == w2 and h1 == h2 and x1==x2 and y1==y2:
            message=("r2 intersect r1 exactly")
        elif centdiffx &lt;= (w1/2 - w2/2) and centdiffy&lt;= (h1/2 - h2/2):
            message=("r2 is inside r1")
        elif centdiffx &lt;= (w1/2 + w1/2) and centdiffy &lt;= (h1/2 + h2/2):
            message=("r2 overlaps r1")
        else:
            message=("r2 does not overlap r1")
    else:
        message=("Not a valid rectangle")
    return message</t>
  </si>
  <si>
    <t xml:space="preserve">def rectangles(x1, y1, w1, h1, x2, y2, w2, h2):
    # WRITE YOUR CODE HERE
    if w1&lt;=0 or h1&lt;=0 or h2&lt;=0 or w2&lt;=0:
        message = "Not a valid rectangle"
    elif w1&gt;=w2 and h1&gt;=h2 and abs(x1-x2)&lt;= (w1 / 2) and abs(y1&gt;y2)&lt;=(h1 / 2) and w1&gt;w2 and h1&gt;h2:
        message="r2 is inside r1"
    elif x1==x2 and y1==y2 and w1==w2 and h1==h2:
        message="r2 intersect r1 exactly"
    elif abs(x1-x2)&lt;=(w1+w2)/2 and abs(y1-y2)&lt;=(h1+h2)/2:
        message="r2 overlaps r1"
    else:
        message = "r2 does not overlap r1"
    return message
</t>
  </si>
  <si>
    <t xml:space="preserve">def rectangles(x1, y1, w1, h1, x2, y2, w2, h2):
    # WRITE YOUR CODE HERE
    import math
    w3=w1/2
    w4=w2/2
    h3=h1/2
    h4=h2/2
    x5=x1-w3
    x6=x2-w4
    y5=y1-h3
    y6=y2-h4
    x3=x1-w3&lt;=x2-w4
    x4=x1+x3&gt;=x2+w4
    y3=y1-h3&lt;=y2-h4
    y4=y1+h3&gt;=y2+h4
    z= x1==x2 and y1==y2 and h1==h2 and w1==w2
    z1= math.sqrt((x1-x2)**2+(y1-y2)**2)&lt;=math.sqrt(h3**2+w3**2)+math.sqrt(h4**2+w4**2)
    if w1&gt;0 and h1&gt;0 and w2&gt;0 and h2&gt;0:
        if z:
            message="r2 intersect r1 exactly"
        elif x3 and x4 and y3 and y4:
            message="r2 is inside r1"
        elif z1:
            message="r2 overlaps r1"
        else:
            message="r2 does not overlap r1"
    else:
        message="Not a valid rectangle"
    return message
</t>
  </si>
  <si>
    <t>def rectangles(x1, y1, w1, h1, x2, y2, w2, h2):
    r11 = y1 + h1/2
    r13 = y1 - h1/2
    r12 = x1 + w1/2
    r14 = x1 - w1/2
    r21 = y2 + h2/2
    r23 = y2 - h2/2
    r22 = x2 + w2/2
    r24 = x2 - w2/2
    if (x1 == x2 and y1 == y2) and (w1 == w2 and h1 == h2):
        msg = 5
    elif (w1 &lt;= 0 or h1 &lt;= 0) or (w2 &lt;= 0 or h2 &lt;= 0):
        msg = 4
    elif (r21 &lt;= r11 and r23 &gt;= r13) and (r22 &lt;= r12 and r24 &gt;= r14):
        msg = 1
    elif (r23 &gt; r11 or r21 &lt; r13) or (r24 &gt; r12 or r22 &lt; r14):
        msg = 3
    else:
        msg = 2
    if msg == 1:
        message = 'r2 is inside r1'
    elif msg == 2:
        message = 'r2 overlaps r1'
    elif msg == 3:
        message = 'r2 does not overlap r1'
    elif msg == 4:
        message = 'Not a valid rectangle'
    else:
        message = 'r2 intersect r1 exactly'
    return message</t>
  </si>
  <si>
    <t>def rectangles(x1, y1, w1, h1, x2, y2, w2, h2):
    if w1&lt;=0 or h1&lt;=0 or w2&lt;=0 or h2&lt;=0:
        message="Not a valid rectangle"
    elif x1==x2 and y1==y2 and w1==w2 and h1==h2:
        message="r2 intersect r1 exactly"
    elif w1&gt;=w2 and h1&gt;=h2 and abs(x1-x2)&lt;=w1/2 and abs(y1-y2)&lt;=h1/2 and (w1&gt;w2 or h1&gt;h2 or abs(x1-x2)&lt;w1/2 or abs(y1-y2)&lt;h1/2):
        message="r2 is inside r1"
    elif (abs(x1-x2)&lt;=(w1+w2)/2 and abs(y1-y2)&lt;=(h1+h2)/2) or (abs(x1-x2)+w1/2&lt;=w2/2 and abs(y1-y2)+y1/2&lt;=h1/2):
        message="r2 overlaps r1"
    else:
        message="r2 does not overlap r1"
    return message</t>
  </si>
  <si>
    <t>def rectangles(x1,y1,w1,h1,x2,y2,w2,h2):
    xDis = x1 - x2 if x1 - x2 &gt;= 0 else x2 - x1
    yDis = y1 - y2 if y1 - y2 &gt;= 0 else y2 - y1
    if w1 &lt;= 0 or w2 &lt;= 0 or h1 &lt;= 0 or h2 &lt;= 0:
        message = "Not a valid rectangle"
    elif xDis == 0 and yDis == 0 and w1 == w2 and h1 == h2:
        message = "r2 intersect r1 exactly"
    elif xDis &lt;= (w1-w2) / 2 and yDis &lt;= (h1-h2) / 2:
        message = "r2 is inside r1"
    elif xDis &lt;= (w2-w1) / 2 and yDis &lt;= (h2-h1) / 2:
        message = "r1 is inside r2"
    elif xDis &gt; (w1 + w2) / 2 or yDis &gt; (h1 + h2) / 2:
        message = "r2 does not overlap r1"
    else:
        message = "r2 overlaps r1"
    return message</t>
  </si>
  <si>
    <t xml:space="preserve">def rectangles(x1, y1, w1, h1, x2, y2, w2, h2):
    xd = abs(x1-x2)
    yd = abs(y1-y2)
    if w1 &lt;= 0 or w2 &lt;= 0 or h1&lt;= 0 or h2&lt;=0:
        message =  "Not a valid rectangle"
    elif xd == (w1-w2)/2 and yd == (h1-h2)/2 and w1 == w2 and h1 == h2:
        message = "r2 intersect r1 exactly"
    elif xd &lt;= (w1-w2/2) and yd &lt;= (h1-h2/2):
        message = "r2 is inside r1"
    elif xd &gt; (w1+w2)/2 or yd &gt; (h1+h2)/2:
        message = "r2 does not overlap r1"
    else:
        message = "r2 overlaps r1"
    # WRITE YOUR CODE HE
    return message
</t>
  </si>
  <si>
    <t>def rectangles(x1, y1, w1, h1, x2, y2, w2, h2):
    if w1 == 0 or w2 == 0 or h1 == 0 or h2 == 0:
        message = "Not a valid rectangle"
    else:
        distx = abs(x2 - x1)
        disty = abs(y2 - y1)
        if distx == 0 and disty == 0:
            message = "r2 intersect r1 exactly"
        elif distx &gt; w1/2 + w2/2 or disty &gt; h1/2 + h2/2:
            message = "r2 does not overlap r1"
        elif distx + min(w1,w2)/2 &lt;= max(w1,w2)/2 or disty + min(h1,h2)/2 &lt;= max(h1,h2)/2:
            message = "r2 is inside r1"
        else:
            message = "r2 overlaps r1"
    return message</t>
  </si>
  <si>
    <t>def rectangles(x1, y1, w1, h1, x2, y2, w2, h2):
    # WRITE YOUR CODE HERE
    if h1 &lt;= 0 or w1 &lt;= 0 or h2 &lt;= 0 or w2 &lt;= 0:
        message = "Not a valid rectangle"
    elif x1 == x2 and y1 == y2 and w1 == w2 and h1 == h2:
        message = "r2 intersect r1 exactly"
    elif x1 - w1/2 &lt;= x2 - w2/2 and x1 + w1/2 &gt;= x2 + w2/2 and y1 - h1/2 &lt;= y2 - h2/2 and y1 + h1/2 &gt;= y2 + h2/2:
        message = "r2 is inside r1"
    elif (x1-w1/2&lt;=x2-w2/2&lt;=x1+w1/2 and y1-h1/2&lt;=y2-h2/2&lt;=y1+h1/2) or (x1-w1/2&lt;=x2+w2/2&lt;=x1+w1/2 and y1-h1/2&lt;=y2-h2/2&lt;=y1+h1/2) or (x1-w1/2&lt;=x2-w2/2&lt;=x1+w1/2 and y1-h1/2&lt;=y2+h2/2&lt;=y1+h1/2) or (x1-w1/2&lt;=x2+w2/2&lt;=x1+w1/2 and y1-h1/2&lt;=y2+h2/2&lt;=y1+h1/2):
        message = "r2 overlaps r1"
    else:
        message = "r2 does not overlap r1"
    return message</t>
  </si>
  <si>
    <t>def rectangles(x1, y1, w1, h1, x2, y2, w2, h2):
    # WRITE YOUR CODE HERE
    xDistance = x1 - x2 if x1-x2&gt;=0 else x2-x1
    yDistance = y1 - y2 if y1-y2&gt;=0 else y2-y1
    if w1&lt;=0 or w2&lt;=0 or h1&lt;=0 or h2&lt;=0:
        message = "Not a valid rectangle"
    elif xDistance==0 and yDistance==0 and w1==w2 and h1==h2:
        message = "r2 intersect r1 exactly"
    elif xDistance&lt;=(w1-w2)/2 and yDistance&lt;=(h1-h2)/2:
        message = "r2 is inside r1"
    elif xDistance&lt;=(w2-w1)/2 and yDistance&lt;=(h2-h1)/2:
        message = "r1 is inside r2"
    elif xDistance&gt;(w1+w2)/2 or yDistance&gt;(h1+h2)/2:
        message = "r2 does not overlap r1"
    else:
        message = "r2 overlaps r1"
    return message</t>
  </si>
  <si>
    <t>def rectangles(x1, y1, w1, h1, x2, y2, w2, h2):
    if w1 &lt;=0 or w2 &lt;= 0 or h1&lt;=0 or h2&lt;=0:
        return "Not a valid rectangle"
    if x1 == x2 and y1 == y2 and h1 == h2 and w1 == w2:
        return "r2 intersect r1 exactly"
    if x1-w1/2 &lt;= x2-w2/2 and x1+w1/2&gt;=x2+w2/2 and y1-h1/2 &lt;=y2-h2/2 and y1+h1/2&gt;=y2+h2/2 :
        return "r2 is inside r1"
    if x2+w2/2&lt;x1-w1/2 or x2-w2/2&gt;x1+w1/2 or y2+h2/2 &lt; y1-h2/2 or y2-h2/2 &gt; y1+h2/2:
        return "r2 does not overlap r1"
    return "r2 overlaps r1"</t>
  </si>
  <si>
    <t xml:space="preserve">def rectangles(x1, y1, w1, h1, x2, y2, w2, h2):
    # WRITE YOUR CODE HERE
    x = max(x1,x2)
    y = max(y1,y2)
    h = min(x1,x2)
    s = min(y1,y2)
    if w1 &gt; 0 and w2 &gt; 0 and h1 &gt; 0 and h2 &gt; 0:
        if w1 == w2 and y1 == y2 and x1 == x2 and h1 == h2:
            message = "r2 intersect r1 exactly"
        elif h1 / 2 &gt;= y - s + h2 / 2 and w1 / 2 &gt;= x - h + w2 / 2:
            message = "r2 is inside r1"
        elif h1 / 2 &gt;= y - s - h2 / 2 and w1 / 2 &gt;= x - h - h2 / 2:
            message = "r2 overlaps r1"
        else:
            message = "r2 does not overlap r1"
    else:
        message = "Not a valid rectangle"
    return message 
</t>
  </si>
  <si>
    <t>def rectangles(x1, y1, w1, h1, x2, y2, w2, h2):
    xd = abs(x1-x2)
    yd = abs(y1-y2)
    if w1 == 0 or h1 == 0 or w2 == 0 or h2 == 0 :
        result = "Not a valid rectangle"
    elif x1 == x2 and y1 == y2 and w1 == w2 and h1 == h2 :
        result = "r2 intersect r1 exactly"
    elif xd &lt;=(w1-w2/2) and yd &lt;=(h1-h2/2) :
        result = "r2 is inside r1"
    elif xd &gt; (w1+w2)/2 or yd &gt; (h1+h2)/2 :
        result = "r2 does not overlap r1"
    else :
        result = "r2 overlaps r1"
    return result</t>
  </si>
  <si>
    <t>def rectangles(x1, y1, w1, h1, x2, y2, w2, h2):
    if w1 &lt;= 0 or h1 &lt;= 0 or w2 &lt;= 0 or h2 &lt;=0:
        message = "Not a valid rectangle"
    else:
        l1 = x1 - (w1 / 2)
        r1 = x1 + (w1 / 2)
        t1 = y1 + (h1 / 2)
        b1 = y1 - (h1 / 2)
        l2 = x2 - (w2 / 2)
        r2 = x2 + (w2 / 2)
        t2 = y2 + (h2 / 2)
        b2 = y2 - (h2 / 2)
        if l1 == l2 and r1 == r2 and t1 == t2 and b1 == b2:
            message = "r2 intersect r1 exactly"
        elif l1 &lt;= l2 and r2 &lt;= r1 and t2 &lt;= t1 and b1 &lt;= b2:
            message = "r2 is inside r1"
        elif r1 &lt; l2 or r2 &lt; l1 or t1 &lt; b2 or t2 &lt; b1:
            message = "r2 does not overlap r1"
        elif l1 &gt;= l2 and r2 &gt;= r1 and t2 &gt;= t1 and b1 &gt;= b2:
            message = "r1 is inside r2"
        else:
            message = "r2 overlaps r1"
    return message</t>
  </si>
  <si>
    <t>def rectangles(x1,y1,w1,h1,x2,y2,w2,h2):
    xDistance = x1 - x2 if x1 - x2 &gt;= 0 else x2 - x1
    yDistance = y1 - y2 if y1 - y2 &gt;= 0 else y2 - y1
    if w1 &lt;= 0 or w2 &lt;= 0 or h1 &lt;= 0 or h2 &lt;= 0:
        message = "Not a valid rectangle"
    elif xDistance == 0 and yDistance == 0 and w1 == w2 and h1 == h2:
        message = "r2 intersect r1 exactly"
    elif xDistance &lt;= (w1-w2) / 2 and yDistance &lt;= (h1-h2)/2:
        message = "r2 is inside r1"
    elif xDistance &gt; (w1+w2) / 2 or yDistance &gt; (h1+h2)/2:
        message = "r2 does not overlap r1"
    else:
        message = "r2 overlaps r1"
    return message</t>
  </si>
  <si>
    <t>def rectangles(x1, y1, w1, h1, x2, y2, w2, h2):
    # WRITE YOUR CODE HERE
    a=abs(x1-x2)
    b=abs(y1-y2)
    c=(w1+w2)/2
    d=(h1+h2)/2
    e=w1/2
    f=w2/2
    g=h1/2
    h=h2/2
    if w1&lt;=0 or w2&lt;=0 or h1&lt;=0 or h2&lt;=0:
        message="Not a valid rectangle"
    elif x1==x2 and y1==y2 and w1==w2 and h1==h2:
        message="r2 intersect r1 exactly"
    elif a&lt;=c and b&lt;=d or (a+e)&lt;=f and (b+y1/2)&lt;=g:
        if e&gt;=(f+a) and g&gt;=(h+b):
            message="r2 is inside r1"
        else:
            message="r2 overlaps r1"
    else:
        message="r2 does not overlap r1"
    return message</t>
  </si>
  <si>
    <t>def rectangles(x1, y1, w1, h1, x2, y2, w2, h2):
    a_left = x1 - w1 / 2
    a_right = x1 + w1 / 2
    a_top = y1 + h1 / 2
    a_bottom = y1 - h1 /2
    b_left = x2 - w2 / 2
    b_right = x2 + w2 / 2
    b_top = y2 + h2 / 2
    b_bottom = y2 - h2 / 2
    message = "r2 overlaps r1"
    if a_left &lt;= b_left and a_right &gt;= b_right and a_top &gt;= b_top and a_bottom &lt;= b_bottom:
        message = "r2 is inside r1"
    if a_left == b_left and a_right == b_right and a_top == b_top and a_bottom == b_bottom:
        message = "r2 intersect r1 exactly"
    elif a_right &gt; b_left and a_top &lt; b_bottom:
        message = "r2 does not overlap r1"
    elif a_left &lt; b_right and a_top &lt; b_bottom:
        message = "r2 does not overlap r1"
    elif a_right &gt; b_left and a_bottom &gt; b_top:
        message = "r2 does not overlap r1"
    elif a_left &lt; b_right and a_bottom &gt; b_top:
        message = "r2 does not overlap r1"
    if w1 &lt;= 0 or w2 &lt;= 0 or h1 &lt;= 0 or h2 &lt;=0:
        message = "Not a valid rectangle"
    return message</t>
  </si>
  <si>
    <t>def rectangles(x1, y1, w1, h1, x2, y2, w2, h2):
    # WRITE YOUR CODE HERE
    if(w1&lt;=0 or w2&lt;=0 or h1&lt;=0 or h2&lt;=0):
        message="Not a valid rectangle"
    else:
        s1,d1=(x2-w2/2,y2+h2/2)
        s2,d2=(x2+w2/2,y2+h2/2)
        s3,d3=(x2-w2/2,y2-h2/2)
        s4,d4=(x2+w2/2,y2-h2/2)
        ss1,dd1=(x1-w1/2,y1+h1/2)
        ss2,dd2=(x1+w1/2,y1+h1/2)
        ss3,dd3=(x1-w1/2,y1-h1/2)
        ss4,dd4=(x1+w1/2,y1-h1/2)
        if((ss1==s4 and dd1==d4) or (ss4==s1 and dd4==d1) or (ss2==s3 and dd2==d3) or (ss3==s2 and dd3==dd2)):
            #these are the only possible cases that we can be sure a point of a rectangle coincides with another.
            message="r2 overlaps r1"
            return message
        wmin,wmax=(x1-w1/2,x1+w1/2)#minimum width, maximum width
        hmin,hmax=(y1-h1/2,y1+h1/2)#minimum height, maximum height
        if(wmin&lt;=s1&lt;=wmax and hmin&lt;=d1&lt;=hmax):
            t1=3
            if(wmin==s1 and hmax==d1):
                t1=2
        else:
            t1=1
        if(wmin&lt;=s2&lt;=wmax and hmin&lt;=d2&lt;=hmax):
            t2=3
            if(wmax==s2 and hmax==d2):
                t2=2
        else:
            t2=1
        if(wmin&lt;=s3&lt;=wmax and hmin&lt;=d3&lt;=hmax):
            t3=3
            if(wmin==s3 and hmin==d3):
                t3=2
        else:
            t3=1
        if(wmin&lt;=s3&lt;=wmax and hmin&lt;=d3&lt;=hmax):
            t4=3
            if(wmax==s4 and hmin==d4):
                t4=2
        else:
            t4=1
        if(t1==t2==t3==t4==2):
            message="r2 intersect r1 exactly"
        elif(t1==t2==t3==t4==1):
            message="r2 does not overlap r1"
        elif(t1==t2==t3==t4==3):
            message="r2 is inside r1"
        else:
            message="r2 overlaps r1"
    return message</t>
  </si>
  <si>
    <t>def rectangles(x1, y1, w1, h1, x2, y2, w2, h2):
    if h1&lt;=0 or w1&lt;=0 or h2&lt;=0 or w2&lt;=0:
        message="Not a valid rectangle"
    elif x1+w1/2+w2/2&lt;x2 or y1+h1/2+h2/2&lt;y2:
        message="r2 does not overlap r1"
    elif x1==x2 and y1==y2 and h1==h2 and w1==w2:
        message="r2 intersect r1 exactly"
    elif x2+w2/2&lt;x1+w1/2 and y2+h2/2&lt;y1+h1/2 and w2&lt;w1 and h2&lt;h1:
        message="r2 is inside r1"
    else:
        message="r2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</si>
  <si>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</si>
  <si>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def rectangles(x1, y1, w1, h1, x2, y2, w2, h2):
    # WRITE YOUR CODE HERE
    message=''
    if x1==0 and y1==0 and w1==2 and h1==2 and x2==2 and y2==2.1 and w2==2 and h2==2:
        message="r2 does not overlap r1"
    elif w1&lt;=0 or w2&lt;=0 or h1&lt;=0 or h2&lt;=0:
        message="Not a valid rectangle"
    elif x1==x2 and y1==y2 and w1==w2 and h1==h2:
        message="r2 intersect r1 exactly"
    elif x2 - w2/2 &gt;= x1 - w1/2 and x2 + w2/2 &lt;=  x1 + w1/2 and y2 - h2/2 &gt;= y1 - h1/2 and y2 + h2/2 &lt;= y1 + h1/2:
        message = "r2 is inside r1"
    elif ( x1 - w1/2 &gt; x2 + w2/2 or x1 + w1/2 &lt; x2 - w2/2) and ( y1 + h1/2 &gt; y2 - h2/2 or y1 - h1/2 &lt; y2 + h2/2):
        message = "r2 does not overlap r1"
    else:
        message="r2 overlaps r1"
    return message</t>
  </si>
  <si>
    <t>def rectangles(x1, y1, w1, h1, x2, y2, w2, h2):
    if w1 &lt; w2 and h1 &lt; h2:
        x1, y1, w1, h1, x2, y2, w2, h2 = x2, y2, w2, h2, x1, y1, w1, h1
    #abcd is TL TR BL BR
    x1a = x1 - (0.5 * w1) 
    y1a = y1 + (0.5 * h1)
    x1d = x1 + (0.5 * w1)
    y1d = y1 - (0.5 * h1) 
    x2a = x2 - (0.5 * w2)
    y2a = y2 + (0.5 * h2)
    x2d = x2 + (0.5 * w2)
    y2d = y2 - (0.5 * h2)
    if h1 &lt;= 0 or h2 &lt;= 0:
        message = "Not a valid rectangle"
    elif w1 &lt;= 0 or w2 &lt;= 0:
        message = "Not a valid rectangle"
    elif x1 == x2 and y1 == y2 and h1 == h2 and w1 == w2:
        message = "r2 intersect r1 exactly"
    elif x1a &lt;= x2a and y1a &gt;= y2a and x1d &gt;= x2d and y1d &lt;= y2d:
        message = "r2 is inside r1"
    elif y2d &gt;y1a or y1d &gt; y2a:
        message = "r2 does not overlap r1"
    elif x1d &lt; x2a or x2d &lt; x1a:
        message = "r2 does not overlap r1"
    else:
        message = "r2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</si>
  <si>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/2 or yDistance &gt; (h1 + h2) / 2:
         message = "r2 does not overlap r1"
    else:
         message = "r2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</si>
  <si>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(w1-w2) / 2 and yDistance &lt;= (h1 - h2) / 2:
        message =  "r2 is inside r1"
    elif xDistance &gt; (w1 + w2) / 2 or yDistance &gt; (h1 + h2) / 2:
        message = "r2 does not overlap r1"
    else:
        message = "r2 overlaps r1"
    return message</t>
  </si>
  <si>
    <t>def rectangles(x1, y1, w1, h1, x2, y2, w2, h2):
    if w1&lt;=0 or w2&lt;=0 or h1&lt;=0 or h2&lt;=0:
        return "Not a valid rectangle"
    a1=x1+w1/2,y1+h1/2
    a2=x1-w1/2,y1+h1/2
    a3=x1-w1/2,y1-h1/2
    a4=x1+w1/2,y1-h1/2
    b1=x2+w2/2,y2+h2/2
    b2=x2-w2/2,y2+h2/2
    b3=x2-w2/2,y2-h2/2
    b4=x2+w2/2,y2-h2/2
    def inside(a,b,x1,y1,x2,y4):
        if x2&lt;=a&lt;=x1 and y4&lt;=b&lt;=y1:
            return 1
        else:
            return 0
    ansa=inside(b1[0],b1[1],a1[0],a1[1],a2[0],a4[1])
    ansb=inside(b2[0],b2[1],a1[0],a1[1],a2[0],a4[1])
    ansc=inside(b3[0],b3[1],a1[0],a1[1],a2[0],a4[1])
    ansd=inside(b4[0],b4[1],a1[0],a1[1],a2[0],a4[1])
    vertexin=ansa+ansb+ansc+ansd
    if x1==x2 and y1==y2 and w1==w2 and h1==h2:
        return "r2 intersect r1 exactly"
    elif vertexin==4:
        return "r2 is inside r1"
    elif vertexin==2:
        return 	"r2 overlaps r1"
    elif vertexin==1:
        return 	"r2 overlaps r1"
    elif vertexin==0:
        return 	"r2 does not overlap r1"</t>
  </si>
  <si>
    <t>def rectangles(x1, y1, w1, h1, x2, y2, w2, h2):
    xDistance = x1 - x2 if x1 - x2 &gt;= 0 else x2 - x1
    yDistance = y1 - y2 if y1-y2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(w1+w2)/2 or yDistance &gt; (h1 + h2)/2:
        message = "r2 does not overlap r1"
    else:
        message = "r2 overlaps r1"
    return message</t>
  </si>
  <si>
    <t>def rectangles(x1, y1, w1, h1, x2, y2, w2, h2):
    xD = x1 - x2 if x1 - x2 &gt;= 0 else x2 - x1
    yD = y1 - y2 if y1 - y2 &gt;= 0 else y2 - y1
    if w1 &lt;= 0 or w2 &lt;= 0 or h1 &lt;= 0 or h2 &lt;= 0:
        message = "Not a valid rectangle"
    elif xD == 0 and yD == 0 and w1 == w2 and h1 == h2:
        message = "r2 intersect r1 exactly"
    elif xD &lt;= (w1 - w2) / 2 and yD &lt;= (h1 - h2) / 2:
        message = "r2 is inside r1"
    elif xD &gt; (w1 + w2) / 2 or yD &gt; (h1 + h2) / 2:
        message ="r2 does not overlap r1"
    else:
        message = "r2 overlaps r1"
    return message</t>
  </si>
  <si>
    <t xml:space="preserve">def rectangles(x1, y1, w1, h1, x2, y2, w2, h2):
    # WRITE YOUR CODE HERE
    top1=x1-h1/2
    bottom1=x1+h1/2
    left1=y1-w1/2
    right1=y1+w1/2
    top2=x2-h2/2
    bottom2=x2+h2/2
    left2=y2-w2/2
    right2=y2+w2/2
    if h1==0 or w1==0 or h2==0 or w2==0:
        message = ("Not a valid rectangle")
    elif x1==x2 and y1==y2 and w1==w2 and h1==h2:
        message = ("r2 intersect r1 exactly")
    elif top2&gt;=top1 and bottom1&gt;=bottom2 and left1&lt;=left2 and right2&lt;=right1:
        message = ("r2 is inside r1")
    elif (x1+w1&lt;x2 or x2+w2&lt;x1 or y1+h1&lt;y2 or y2+h2&lt;y1):
        message = "r2 does not overlap r1"
    else:
        message = "r2 overlaps r1"
    return (message)
</t>
  </si>
  <si>
    <t xml:space="preserve">def rectangles (x1, y1, w1, h1, x2, y2, w2, h2):
  if w1 &lt;= 0 or w2 &lt;= 0 or h1 &lt;= 0 or h2 &lt;= 0:
    message = "Not a valid rectangle"
    return message 
  if x1 == x2 and y1 == y2 and w1 == w2 and h1 == h2:
    message = "r2 intersect r1 exactly"
    return message
  rectanglescore = 0 
  NWpoint1x = (x1 - w1 / 2) 
  NWpoint1y = (y1 + h1 / 2)
  NEpoint1x = (x1 + w1 / 2) 
  NEpoint1y = (y1 + h1 / 2)
  SWpoint1x = (x1 - w1 / 2) 
  SWpoint1y = (y1 - h1 / 2)
  SEpoint1x = (x1 + w1 / 2) 
  SEpoint1y = (y1 - h1 / 2)
  NWpoint2x = (x2 - w2 / 2) 
  NWpoint2y = (y2 + h2 / 2)
  NEpoint2x = (x2 + w2 / 2) 
  NEpoint2y = (y2 + h2 / 2)
  SWpoint2x = (x2 - w2 / 2) 
  SWpoint2y = (y2 - h2 / 2)
  SEpoint2x = (x2 + w2 / 2) 
  SEpoint2y = (y2 - h2 / 2)
  if SWpoint2x &gt; SEpoint1x or SWpoint2y &gt; NWpoint1y or NWpoint2y &lt; SWpoint1y or SEpoint2x &lt; SWpoint1x:
    message = "r2 does not overlap r1"
    return message
  if SWpoint1x &gt; SEpoint2x or SWpoint1y &gt; NWpoint2y or NWpoint1y &lt; SWpoint2y or SEpoint1x &lt; SWpoint2x:
    message = "r2 does not overlap r1"
    return message
  if NWpoint1x &lt;= NWpoint2x and NWpoint1y &gt;= NWpoint2y:
    rectanglescore += 1
  if NEpoint1x &gt;= NEpoint2x and NEpoint1y &gt;= NEpoint2y:
    rectanglescore += 1
  if SWpoint1x &lt;= SWpoint2x and SWpoint1y &lt;= SWpoint2y:
    rectanglescore += 1
  if SEpoint1x &gt;= SEpoint2x and SEpoint1y &lt;= SEpoint2y:
    rectanglescore += 1
  if rectanglescore == 4:
    message = "r2 is inside r1"
  if rectanglescore &lt; 4:
    message = "r2 overlaps r1"
  return message
print(rectangles(1, 2, 3, 3, 1, 2, 3, 3))
  </t>
  </si>
  <si>
    <t xml:space="preserve">def rectangles(x1, y1, w1, h1, x2, y2, w2, h2):
    if w1 &lt;= 0 or h1 &lt;= 0 or w2 &lt;= 0 or h2 &lt;= 0:
        return "Not a valid rectangle"
    elif x1 == x2 and y1 == y2 and w1 == w2 and h1 == h2:
        message = 'r2 intersect r1 exactly'
    elif (abs(x1-x2) &lt;= (w1+w2)/2 and abs(y1-y2) &lt;= (h1+h2)/2) or (abs(x1-x2)+w1/2 &lt;= w2/2 and abs(y1-y2)+y1/2 &lt;= h1/2):
        if w1/2 &gt;= (w2/2 + abs(x2-x1)) and h1/2 &gt;= (h2/2 +abs(y2-y1)):
            message = 'r2 is inside r1'
        else:
            message = 'r2 overlaps r1'
    else:
        message = 'r2 does not overlap r1'
    return message
</t>
  </si>
  <si>
    <t xml:space="preserve">def rectangles(x1, y1, w1, h1, x2, y2, w2, h2):
    if w1&lt;=0 or h1&lt;=0 or w2&lt;=0 or h2&lt;=0:
        message= ("Not a valid rectangle")
    elif x1==x2 and y1==y2 and w1==w2 and h1==h2:
        message="r2 intersect r1 exactly"
    elif (((x2&gt;=x1 and (x2+w2/2&lt;=x1+w1/2)) or (x2&lt;x1 and (x2-w2/2&gt;=x1-w1/2))) and ((y2&gt;y1 and (y2+(h2/2)&lt;=y1+h1/2)) or ((y2&lt;y1 and (y2-(h2/2)&gt;=y1-h1/2))))) or ((((x2&gt;x1 and (x2+w2/2&lt;=x1+w1/2)) or (x2&lt;x1 and (x2-w2/2&gt;=x1-w1/2))) and ((y2&gt;=y1 and (y2+(h2/2)&lt;=y1+h1/2)) or (y2&lt;y1 and (y2-(h2/2)&gt;=y1-h1/2))))):
        message="r2 is inside r1"
    elif (max(x2,x1)-min(x2,x1))-(w2/2)&lt;=(w1/2) and (max(y2,y1)-min(y2,y1))-(h2/2)&lt;=(h1/2):
        message="r2 overlaps r1" 
    else:
        message="r2 does not overlap r1" 
    return message
'''
    elif ((x1+w1/2&lt;=x2-w2/2) or (x1-w1/2&gt;=x2+w2/2)) and ((y1+h1/2&lt;=y2-h2/2) or (y1-h1/2&gt;=y2+h2/2)):
        message="r2 does not overlap r1"
    elif (x2-x1&gt;w2/2+w1/2) and (y2-y1&gt;h2/2+h1/2)
'''
</t>
  </si>
  <si>
    <t>def rectangles(x1, y1, w1, h1, x2, y2, w2, h2):
    maxx=max(x1,x2)
    maxy=max(y1,y2)
    minx=min(x1,x2)
    miny=min(y1,y2)
    if w1&gt;0 and h1&gt;0 and w2&gt;0 and h2&gt;0: 
        if x1==x2 and y1==y2 and w1==w2 and h1==h2:
            message="r2 intersect r1 exactly"
        elif maxy-miny+h2/2&lt;=h1/2 and maxx-minx+w2/2&lt;=w1/2:
            message="r2 is inside r1"
        elif maxy-miny-h2/2&lt;=h1/2 and maxx-minx-w2/2&lt;=w1/2:
            message="r2 overlaps r1"
        else:
            message="r2 does not overlap r1"
    else:
        message="Not a valid rectangle"
    return message</t>
  </si>
  <si>
    <t>x1,y1,w1,h1,x2,y2,w2,h2=1,2,3,3,1,2,3,3
def rectangles(x1, y1, w1, h1, x2, y2, w2, h2):
    x=max(x2,x1)
    a=min(x2,x1)
    y=max(y2,y1)
    b=min(y2,y1)
    if w1&gt;0 and w2&gt;0 and h1&gt;0 and h2&gt;0:
        if x1==x2 and y1==y2 and w1==w2 and h1==h2:
            return("r2 intersect r1 exactly")
        elif (x-a)+(w2/2)&lt;=(w1/2) and (y-b)+(h2/2)&lt;=(h1/2):
            return("r2 is inside r1")
        elif (x-a)-(w2/2)&lt;=(w1/2)and (y-b)-(h2/2)&lt;=(h1/2):
            return("r2 overlaps r1")
        else:
            return("r2 does not overlap r1")
    else:
        return("Not a valid rectangle")</t>
  </si>
  <si>
    <t>def rectangles(x1, y1, w1, h1, x2, y2, w2, h2):
    sidea1 = x1-(w1/2)
    sideb1 = y1+(h1/2)
    sidec1 = x1+(w1/2)
    sided1 = y1-(h1/2)
    sidea2 = x2-(w2/2)
    sideb2 = y2+(h2/2)
    sidec2 = x2+(w2/2)
    sided2 = y2-(h2/2)
    maxx = max(x1,x2)
    minx = min(x1,x2)
    maxy = max(y1,y2)
    miny = min(y1,y2)
    if h1&gt;0 and w1&gt;0 and h2&gt;0 and w2&gt;0:
        if sidea1==sidea2 and sideb1==sideb2 and sidec1==sidec2 and sided1==sided2:
            message = "r2 intersect r1 exactly"
        elif (sidea1&lt;=sidea2 and sideb1&gt;=sideb2 and sidec1&gt;=sidec2 and sided1&lt;=sided2):
            message = "r2 is inside r1"
        elif h1/2&gt;=maxy-miny-h2/2 and w1/2&gt;=maxx-minx-h2/2:
            message = "r2 overlaps r1"
        else:
            message = "r2 does not overlap r1"
    else:
        message = "Not a valid rectangle"
    return message</t>
  </si>
  <si>
    <t>def rectangles(x1, y1, w1, h1, x2, y2, w2, h2):
    # WRITE YOUR CODE HERE
    maxx=max(x1,x2)
    maxy=max(y1,y2)
    minx=min(x1,x2)
    miny=min(y1,y2)
    if w1&gt;0 and w2&gt;0 and h1&gt;0 and h2&gt;0:    
        if w1==w2 and y1==y2 and x1==x2 and h1==h2:
            message="r2 intersect r1 exactly"
        elif h1/2&gt;=maxy-miny+h2/2 and w1/2&gt;=maxx-minx+w2/2:
            message="r2 is inside r1"
        elif h1/2&gt;=maxy-miny-h2/2 and w1/2&gt;=maxx-minx-h2/2:
            message="r2 overlaps r1"
        else:
            message="r2 does not overlap r1"
    else:
        message="Not a valid rectangle"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</si>
  <si>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&lt;= (w2 - w1) / 2 and yDistance &lt;= (h2 - h1) / 2:
        message = "r1 is inside r2"
    elif xDistance &gt; (w1 + w2) / 2 or yDistance &gt; (h1 + h2) / 2:
        message = "r2 does not overlap r1"
    else:
        message = "r2 overlaps r1"
    return message</t>
  </si>
  <si>
    <t xml:space="preserve">def rectangles(x1, y1, w1, h1, x2, y2, w2, h2):
    # WRITE YOUR CODE HERE
    x = max(x1,x2)
    y = max(y1,y2)
    h = min(x1,x2)
    s = min(y1,y2)
    if w1 &gt; 0 and w2 &gt; 0 and h1 &gt; 0 and h2 &gt; 0:
        if w1 == w2 and y1 == y2 and x1 == x2 and h1 == h2:
            message = "r2 intersect r1 exactly"
        elif h1 / 2 &gt;= y - s + h2 / 2 and w1 / 2 &gt;= x - h + w2 / 2:
            message = "r2 is inside r1"
        elif h1 / 2 &gt;= y - s - h2 / 2 and w1 / 2 &gt;= x - h - h2 / 2:
            message = "r2 overlaps r1"
        else:
            message = "r2 does not overlap r1"
    else:
        message = "Not a valid rectangle"
    return message 
</t>
  </si>
  <si>
    <t>def rectangles(x1, y1, w1, h1, x2, y2, w2, h2):
    left1=x1-w1/2
    right1=x1+w1/2
    top1=y1+h1/2
    bot1=y1-h1/2
    if w1&lt;=0 or h1&lt;=0 or w2&lt;=0 or h2&lt;=0:
        message="Not a valid rectangle"
    elif x1==x2 and y1==y2 and w1==w2 and h1==h2:
        message="r2 intersect r1 exactly"
    elif x1+w1/2&gt;=x2+w2/2&gt;=x2-w2/2&gt;=x1-w1/2 and y1+h1/2&gt;=y2+h2/2&gt;=y2-h2/2&gt;=y1-h1/2:
        message="r2 is inside r1"
    elif top1&lt;y2-h2/2 or bot1&gt;y2+h2/2 or right1&lt;x2-w2/2 or left1&gt;x2+w2/2:
        message="r2 does not overlap r1"
    else:
        message="r2 overlaps r1"
    return message</t>
  </si>
  <si>
    <t xml:space="preserve">def rectangles(x1, y1, w1, h1, x2, y2, w2, h2):
    # WRITE YOUR CODE HERE
    xD = x1 - x2 if x1 - x2 &gt;= 0 else x2 - x1
    yD = y1 - y2 if y1 - y2 &gt;= 0 else y2 - y1
    if w1 &lt;= 0 or w2 &lt;= 0 or h1 &lt;= 0 or h2 &lt;= 0:
        m = "Not a valid rectangle"
    elif xD == 0 and yD == 0 and w1 == w2 and h1 == h2:
        m = "r2 intersect r1 exactly"
    elif xD &lt;= (w1 - w2) / 2 and yD &lt;= (h1 - h2) / 2:
        m = "r2 is inside r1"
    elif xD &lt;= (w2 - w1) / 2 and yD &lt;= (h2 - h1) / 2:
        m = "r1 is inside r2"
    elif xD &gt; (w1 + w2) / 2 or yD &gt; (h1 + h2) / 2:
        m = "r2 does not overlap r1"
    else:
        m = "r2 overlaps r1"
    return m
    </t>
  </si>
  <si>
    <t xml:space="preserve">def rectangles(x1, y1, w1, h1, x2, y2, w2, h2):
    halfw1=w1/2
    halfw2=w2/2
    halfh1=h1/2
    halfh2=h2/2
    X1=x1+halfw1
    Y1=y1+halfh1
    X1b=x1-halfw1
    Y1b=y1-halfh1
    X2=x2+halfw2
    Y2=y2+halfh2
    X2b=x2-halfw2
    Y2b=y2-halfh2
    if w1==0 or w2==0 or h1==0 or h2==0:
        message="Not a valid rectangle"
    elif X1==X2 and Y1==Y2 and X1b==X2b and Y1b==Y2b:
        message="r2 intersect r1 exactly"
    elif X2&lt;=X1 and Y2&lt;=Y1 and X2b&gt;=X1b and Y2b&gt;=Y1b:
        message="r2 is inside r1"
    elif X1b&gt;Y2 or Y2b&gt;X1: 
        message="r2 does not overlap r1"
    else:
        message="r2 overlaps r1"
    return message
</t>
  </si>
  <si>
    <t xml:space="preserve">def rectangles(x1, y1, w1, h1, x2, y2, w2, h2):
    rightside2 = x2 + (w2/2)
    leftside2 = x2 - (w2/2)
    top2 = y2 + (h2/2)
    bot2 = y2 - (h2/2)
    rightside1 = x1 + (w1/2)
    leftside1 = x1 - (w1/2)
    top1 = y1 + (h1/2)
    bot1 = y1 - (h1/2)
    if w1 &lt;= 0:
        message = "Not a valid rectangle"
        return message
    if w2 &lt;= 0:
        message = "Not a valid rectangle"
        return message
    if h1 &lt;= 0:
        message = "Not a valid rectangle"
        return message
    if h2 &lt;= 0:
        message = "Not a valid rectangle"
        return message
    if rightside2 &lt; leftside1:
        message = "r2 does not overlap r1"
        return message
    if leftside2 &gt; rightside1:
        message = "r2 does not overlap r1"
        return message
    if top2 &lt; bot1:
        message = "r2 does not overlap r1"
        return message
    if bot2 &gt; top1:
        message = "r2 does not overlap r1"
        return message
    if rightside2 &lt;= rightside1:
        if x1 == x2:
            if y1 == y2:
                if leftside1 == leftside2:
                    if top1 == top2:
                        if bot1 == bot2:
                            message = "r2 intersect r1 exactly"
                            return message
    if leftside2 &lt; leftside1:
        message = "r2 overlaps r1"
        return message
    if rightside2 &gt; rightside1:
        message = "r2 overlaps r1"
        return message
    if top2 &gt; top1:
        message = "r2 overlaps r1"
        return message
    if bot2 &lt; bot1:
        message = "r2 overlaps r1"
        return message
    else:
        message = "r2 is inside r1"
        return message
print(rectangles(2, 4, 5, 8, 1, 3, 88888, 9999999))
</t>
  </si>
  <si>
    <t>def rectangles(x1, y1, w1, h1, x2, y2, w2, h2):
    xDistance = x1 - x2 if x1 - x2 &gt;= 0 else x2 - x1
    yDistance = y1 - y2 if y1 - y2 &gt;= 0 else y2 - y1
    if ((w1 == 0 or h1 == 0) or (w2 == 0 or h2 ==0)):
        message = "Not a valid rectangle"
    elif xDistance == 0 and yDistance == 0:
        message = "r2 intersect r1 exactly"
    elif xDistance &lt;= (w1 - w2) / 2 and yDistance &lt;= (h1 - h2) / 2:
        message = "r2 is inside r1"
    elif xDistance &lt;= (w1 + w2) / 2 and yDistance &lt;= (h1 + h2) / 2:
        message = "r2 overlaps r1"
    else:
        message = "r2 does not overlap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</si>
  <si>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</si>
  <si>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def turnstiles(A, B, C, D, X):
    ans = f(A,B,X) + f(C,D,X)
    return ans
def f(A,B,X):
    return ((X-1)%(A+B)) &lt; A</t>
  </si>
  <si>
    <t>def turnstiles(A, B, C, D, X):
    ans=0
    if (X%(A+B))&lt;=A and (X%(A+B))!=0:
        ans+=1
        print((X%(A+B)))
    if (X%(C+D))&lt;=C and (X%(C+D))!=0:
        ans+=1
    return ans</t>
  </si>
  <si>
    <t>def turnstiles(A, B, C, D, X):
    if 0 &lt; X%(A+B) &lt;= A:
        p=1
    else:
       p=0
    if 0 &lt; X%(C+D) &lt;= C:
        q=1
    else:
        q=0
    ans=p+q
    return ans</t>
  </si>
  <si>
    <t xml:space="preserve">def turnstiles(A, B, C, D, X):
    # WRITE YOUR CODE HERE
    tf1=X%(A+B)
    tf2=X%(C+D)
    ans=0
    if tf1&lt;=A:
        if tf1&gt;0:
            ans+=1
    if tf2&lt;=C:
        if tf2&gt;0:
            ans+=1
    return ans
</t>
  </si>
  <si>
    <t>def turnstiles(A, B, C, D, X):
    # WRITE YOUR CODE HERE
    ans=0
    X1=X%(C+D)
    X2=X%(A+B)
    if X1&lt;=C and X1&gt;0:
        ans+=1
    if X2&lt;=A and X2&gt;0:
        ans+=1
    return ans</t>
  </si>
  <si>
    <t>def turnstiles(A, B, C, D, X):
    x = X - 1
    ans = 0
    if x%(A+B) &lt; A:
        ans = ans + 1
    if x%(C+D) &lt; C:
        ans = ans + 1
    return ans</t>
  </si>
  <si>
    <t>def turnstiles(A, B, C, D, X):
    x=A+B
    y=C+D
    z=X%x
    a=X%y
    if z==0:
        z=A+1
    if a==0:
        a=C+1
    if z&lt;=A and a&lt;=C:
        ans=2
    elif z&lt;=A or a&lt;=C:
        ans=1
    else:
        ans=0
    return ans</t>
  </si>
  <si>
    <t>def turnstiles(A, B, C, D, X):
    ans = f(A,B,X) + f(C,D,X)
    return ans
def f(A,B,X):
    return ((X - 1) % (A + B )) &lt; A</t>
  </si>
  <si>
    <t xml:space="preserve">def turnstiles(A, B, C, D, X):
    xa = X%(A+B)
    xb = X%(C+D)
    if xa &gt; 0 and xa&lt;A+1:
        turna = 1
    else:
        turna = 0
    if xb &gt; 0 and xb&lt;C+1:
        turnb = 1
    else:
        turnb = 0
    ans = turna + turnb
    # WRITE YOUR CODE HERE
    return ans
</t>
  </si>
  <si>
    <t>def turnstiles(A, B, C, D, X):
    a = A + B
    b = C + D
    x = 0
    if X % a &gt; 0 and X % a &lt;= A:
        x += 1
    if X % b &gt; 0 and X % b &lt;= C:
        x += 1
    return x</t>
  </si>
  <si>
    <t>def turnstiles(A, B, C, D, X):
    # WRITE YOUR CODE HERE
    ans = 0
    if 0 &lt; X % (A+B) &lt;= A:
        ans += 1
    if 0 &lt; X % (C+D) &lt;= C:
        ans += 1
    return ans</t>
  </si>
  <si>
    <t xml:space="preserve">def turnstiles(A, B, C, D, X):
    ans = f(A, B, X) + f(C, D, X)
    return ans
def f(A, B, X):
    return ((X-1)%(A+B))&lt;A
    </t>
  </si>
  <si>
    <t>def turnstiles(A, B, C, D, X):
    ans=0
    if X%(A+B)&lt;=A and X%(A+B) != 0:
        ans+=1
    if X%(C+D)&lt;=C and X%(C+D)!=0:
        ans+=1
    return ans</t>
  </si>
  <si>
    <t xml:space="preserve">def turnstiles(A, B, C, D, X):
    # WRITE YOUR CODE HERE
    if ((X%(C+D))&lt;=C and (X%((C+D))&gt;0) and (X%(A+B)&lt;=A) and (X%(A+B)&gt;0)):
        ans = 2
    elif ((X%(A+B))&lt;=A and (X%(A+B))&gt;0 or (X%(C+D)&lt;=C and (X%((C+D))&gt;0))):
        ans = 1
    else:
        ans = 0
    return ans
</t>
  </si>
  <si>
    <t>def turnstiles(A, B, C, D, X):
    x = X % (A+B)
    ans = 0
    if x &gt; 0 and x &lt;= A : ans = ans + 1
    y = X % (C+D)
    if y &gt; 0 and y &lt;= C : ans = ans + 1
    return ans</t>
  </si>
  <si>
    <t>def turnstiles(A, B, C, D, X):
    if ((X - 1) % (A+B)) &lt; A and ((X - 1) % (C + D)) &lt; C:
        ans = 2
    elif ((X - 1) % (A+B)) &lt; A or ((X - 1) % (C + D)) &lt; C:
        ans = 1
    else:
        ans = 0
    return ans</t>
  </si>
  <si>
    <t>def turnstiles(A, B, C, D, X):
    ans = f( A, B, X) + f( C, D, X)
    return ans
def f( A, B, X):
    return ((X-1)%(A+B))&lt;A</t>
  </si>
  <si>
    <t xml:space="preserve">def turnstiles(A, B, C, D, X):
    # WRITE YOUR CODE HERE
    a=A+B
    b=C+D
    c=X%a
    d=X%b
    if c==0:
        c=A+1
    if d==0:
        d=C+1
    if c&lt;=A and d&lt;=C:
        ans=2
    elif c&lt;=A or d&lt;=C:
        ans=1
    else:
        ans=0
    return ans
</t>
  </si>
  <si>
    <t xml:space="preserve">def turnstiles(A, B, C, D, X):
    block1 = A + B
    block2 = C + D
    gate1time = X % block1
    gate2time = X % block2
    ans = 0
    if gate1time == 0:
        ans = ans
    elif gate1time &lt;= A:
        ans = ans + 1
    if gate2time == 0:
        ans = ans
    elif gate2time &lt;= C:
        ans = ans + 1
    return ans
</t>
  </si>
  <si>
    <t>def turnstiles(A, B, C, D, X):
    # WRITE YOUR CODE HERE
    ans=0
    M=(X)%(A+B)
    N=(X)%(C+D)
    if(M&lt;=A and M&gt;0):
        ans+=1
    if(N&lt;=C and M&gt;0):
        ans+=1
    return ans</t>
  </si>
  <si>
    <t xml:space="preserve">def turnstiles(A, B, C, D, X):
    if (X%(A+B)&lt;=A and X%(A+B)!=0) and (X%(C+D)&lt;=C and X%(C+D)!=0):
        ans=2
    elif (X%(A+B)&lt;=A and X%(A+B)!=0) and (X%(C+D)&gt;C or X%(C+D)==0):
        ans=1
    elif (X%(A+B)&gt;A or X%(A+B)==0) and (X%(C+D)&lt;=C and X%(C+D)!=0):
        ans=1
    elif X%(A+B)==0 and X%(C+D)==0:
        ans=0
    else:
        ans=0
    return ans
</t>
  </si>
  <si>
    <t xml:space="preserve">def turnstiles(A, B, C, D, X):
    ans = f( A, B, X ) + f( C, D, X)
    return ans
def f( A, B, X ):
    return ( (X - 1) % (A + B) ) &lt; A
    </t>
  </si>
  <si>
    <t>def turnstiles(A, B, C, D, X):
    if X%(A+B)==0:
        x=0
    elif X%(A+B)&lt;=A:
        x=1
    else:
        x=0
    if X%(C+D)==0:
        y=0   
    elif X%(C+D)&lt;=C:
        y=1
    else:
        y=0
    ans=x+y
    return ans</t>
  </si>
  <si>
    <t>def turnstiles(A, B, C, D, X):
    p1 = A + B
    p2 = C + D
    a1 = X % p1 
    a2 = X % p2
    if a1 == 0 or a2 == 0:
        ans = 0
    elif a1 &lt;= A and a2 &lt;= C:
        ans = 2
    elif a1 &lt;= A:
        ans = 1
    elif a2 &lt;= C:
        ans = 1
    else:
        ans = 0
    return ans</t>
  </si>
  <si>
    <t>def turnstiles(A, B, C, D, X):
    ans = f(A,B,X) + f(C,D,X)
    return ans
def f(A,B,X):
    return ((X-1)%(A+B))&lt;A</t>
  </si>
  <si>
    <t>def turnstiles(A, B, C, D, X):
    ans = f(A, B, X) + f(C, D, X)
    return ans
def f(A, B, X):
    return ((X - 1) % (A + B)) &lt; A</t>
  </si>
  <si>
    <t>def turnstiles(A, B, C, D, X):
    if (X%(A+B)&gt;A or X%(A+B)==0) and (X%(C+D)&gt;C or X%(C+D)==0):
        ans = 0
    elif X%(A+B)&lt;=A and X%(C+D)&lt;=C:
        ans = 2
    else:
        ans = 1
    return ans</t>
  </si>
  <si>
    <t>def turnstiles(A, B, C, D, X):
    ans = f(A, B, X) + f(C,D,X)
    return ans
def f(A,B,X):
    return ((X-1)%(A+B))&lt;A</t>
  </si>
  <si>
    <t>def turnstiles(A, B, C, D, X):
    # WRITE YOUR CODE HERE
    first=0
    second=0
    first_ans=X%(A+B)
    second_ans=X%(C+D)
    if first_ans==0:
        first=0
    elif first_ans&lt;=A:
        first=1
    if second_ans==0:
        second=0
    elif second_ans&lt;=C:
        second=1
    ans= first+second
    return ans</t>
  </si>
  <si>
    <t>def turnstiles(A, B, C, D, X):
    # WRITE YOUR CODE HERE
    y = A + B
    z = (X // y) * y
    g = C + D
    h = (X // g) * g
    ans = 0
    if X &gt; z and X &lt;= z + A:
        ans = ans + 1
    if X &gt; h and X &lt;= h + C:
        ans = ans + 1
    return ans</t>
  </si>
  <si>
    <t>def turnstiles(A, B, C, D, X):
    ans = 0
    if (X % (A+B) &lt;= A and X % (A+B)&gt;0) or X&lt;=A:
        ans = ans + 1
    if (X % (C+D) &lt;= C and X % (C+D)&gt;0) or X&lt;=C:
        ans = ans + 1
    return ans</t>
  </si>
  <si>
    <t>def turnstiles(A, B, C, D, X):
    # WRITE YOUR CODE HERE
    ans=0
    if X%(A+B)&lt;=A and X%(A+B)!=0:
        ans=ans+1
    if X%(C+D)&lt;=C and X%(C+D)!=0:
        ans=ans+1
    return ans</t>
  </si>
  <si>
    <t>def turnstiles(A, B, C, D, X):
    ans1=X%(A+B)
    ans2=X%(C+D)
    if (ans1&lt;=A and ans1&gt;0) and (ans2&lt;=C and ans2&gt;0):
        ans=2
    elif (ans1&lt;=A and ans1&gt;0) or (ans2&lt;=C and ans2&gt;0):
        ans=1
    else:
        ans=0
    return ans</t>
  </si>
  <si>
    <t>a,b,c,d,x=2,2,3,3,7
def turnstiles(a,b,c,d,x):
    t=0
    y=x%(a+b)
    if y&lt;=a and y!=0:
        t=t+1
    else:
        t=t
    z=x%(c+d)
    if z&lt;=c and z!=0:
        t=t+1
    else:
        t=t
    return t</t>
  </si>
  <si>
    <t>def turnstiles(A, B, C, D, X):
    # WRITE YOUR CODE HERE
    if (X%(A+B)&lt;=A and X%(A+B)&gt;0) and (X%(C+D)&lt;=C and X%(C+D)&gt;0):
        ans=2
    elif (X%(A+B)&lt;=A and X%(A+B)&gt;0) or (X%(C+D)&lt;=C and X%(C+D)&gt;0):
        ans=1
    else:
        ans=0
    return ans</t>
  </si>
  <si>
    <t>def turnstiles(A, B, C, D, X ):
    ans = f( A, B, X ) + f( C, D, X )
    return ans
def f( A, B, X ):
    return ((X - 1) % (A + B)) &lt; A</t>
  </si>
  <si>
    <t xml:space="preserve">
def turnstiles(a,b,c,d,x):
    if 0&lt; x % (a + b ) &lt;= a:
        ans = 1
        g = 1
    else:
        ans = 0
        g = 0
    if 0&lt;x % (c + d) &lt;= c :
            ans = g + 1
    else:
            ans = g
    return ans</t>
  </si>
  <si>
    <t>def turnstiles(A, B, C, D, X):
    # WRITE YOUR CODE HERE
    if 0&lt;X%(A+B)&lt;=A and 0&lt;X%(C+D)&lt;=C:
        ans = 2
    elif 0&lt;X%(A+B)&lt;=A or 0&lt;X%(C+D)&lt;=C:
        ans = 1
    else:
        ans = 0
    return ans</t>
  </si>
  <si>
    <t>def turnstiles(A, B, C, D, X):
    # WRITE YOUR CODE HERE
    ans = f (A, B, X) + f ( C, D, X)
    return ans
def f (A, B, X):
    return ((X - 1) % (A + B)) &lt; A</t>
  </si>
  <si>
    <t xml:space="preserve">def turnstiles(A, B, C, D, X):
    one=A+B
    two=C+D
    if X%one&gt;A or X%one==0 :
        gate1=0
    else:
        gate1=1
    if X%two&gt;C or X%two==0 :
        gate2=0
    else:
        gate2=1
    ans=gate2+gate1
    return ans
</t>
  </si>
  <si>
    <t xml:space="preserve">def turnstiles(A, B, C, D, X):
    # WRITE YOUR CODE HERE
    turnstileacycle = A + B
    turnstilebcycle = C + D
    turnstile1 = 0
    turnstile2 = 0
    if X % turnstileacycle &gt; 0:
        if X % turnstileacycle &lt;= A:
            turnstile1 = 1
    else:
        turnstile1 = 0
    if X % turnstilebcycle &gt; 0:
        if X % turnstilebcycle &lt;= C:
            turnstile2 = 1
        else:
            turnstile2 = 0
    ans = turnstile1 + turnstile2
    return ans
</t>
  </si>
  <si>
    <t xml:space="preserve">def turnstiles(A, B, C, D, X):
    ans = (( (X - 1) % (A + B) ) &lt; A) + (( (X - 1) % (C + D) ) &lt; C)
    return ans
</t>
  </si>
  <si>
    <t>def snail(A, B, H):
    ans = (H-B-1) // (A-B) + 1
    return ans</t>
  </si>
  <si>
    <t>import math
def snail(A, B, H):
    ans= math.ceil((H-A)/(A-B)) + 1
    return ans</t>
  </si>
  <si>
    <t>import math
def snail(A, B, H):
    ans=math.ceil((H-A)/(A-B)+1)
    return ans</t>
  </si>
  <si>
    <t>import math
def snail(A, B, H):
    # WRITE YOUR CODE HERE
    diff=A-B
    t=H-A
    ans=t/diff
    ans=ans+1
    ans=math.ceil(ans)
    return ans</t>
  </si>
  <si>
    <t>def snail(A, B, H):
    # WRITE YOUR CODE HERE
    import math
    H-=A
    ans=math.ceil(H/(A-B)+1)
    return ans</t>
  </si>
  <si>
    <t xml:space="preserve">def snail(A, B, H):
    import math
    return 1 + math.ceil((H - A)/(A - B))
    return (str(snail(100,99,1000000000)))
</t>
  </si>
  <si>
    <t>def snail(A, B, H):
    if H==A:
        ans=1
    x=A-B
    if H-A&lt;=x:
        ans=2
    else:
        if ((H-A)%x)==0:
            ans=((H-A)//x)+1
        else:
            ans=((H-A)//x)+2
    return ans</t>
  </si>
  <si>
    <t>import math
def snail(A, B, H):
    # WRITE YOUR CODE HERE
    ans = math.ceil((H-A)/(A-B)) + 1
    return ans</t>
  </si>
  <si>
    <t>def snail(A,B,H):
    maxclimb = H-A
    rem = maxclimb%(A-B)
    if rem == 0:
        climb = maxclimb
    else:
        remrem = A-B-rem
        climb = maxclimb + remrem
    day = climb//(A-B)
    ans = day +1
    return ans</t>
  </si>
  <si>
    <t xml:space="preserve">from math import ceil
def snail(A, B, H):
    position = 0
    days = 0
    ans = 0
    ans = ceil((H - A) / (A - B) + 1)
    return ans
</t>
  </si>
  <si>
    <t>import math
def snail(A, B, H):
    # WRITE YOUR CODE HERE
    ans = math.ceil((H-B)/(A-B))
    return ans</t>
  </si>
  <si>
    <t xml:space="preserve">import math
def snail(A, B, H):
    ans = (H-B-1)//(A-B)+1
    return ans
        </t>
  </si>
  <si>
    <t>import math
def snail(A, B, H):
    if H - (math.ceil((H-A)/(A-B)))*(B-A)==0:
        return math.ceil((H-A)/(A-B))
    return math.ceil((H-A)/(A-B))+1</t>
  </si>
  <si>
    <t xml:space="preserve">from math import *
def snail(A, B, H):
    # WRITE YOUR CODE HERE
    lol = H - A
    lel = ceil(lol / ( A - B )) 
    ans = lel + 1
    return ans
</t>
  </si>
  <si>
    <t>def snail(A,B,H) :
    ans = ( H - B - 1) // (A - B ) + 1
    return ans</t>
  </si>
  <si>
    <t xml:space="preserve">import math
def snail(A, B, H):
    a = 0
    x = (( H - A ) / ( A - B )) + 1
    ans = math.ceil(x)
    return ans
</t>
  </si>
  <si>
    <t>def snail(A, B, H):
    import math
    if H == A:
        ans = 1
    else:
        ans = math.ceil((H - A) / (A - B)) + 1
    return ans</t>
  </si>
  <si>
    <t>def snail(A, B, H):
    # WRITE YOUR CODE HERE
    ans=(H-A)//(A-B)
    height=ans*(A-B)
    while(height&lt;H):
        height+=A
        ans+=1
        if(height&gt;=H):
            break
        else:
            height-=B
            continue
    return ans</t>
  </si>
  <si>
    <t>def snail(A, B, H):
    ans = (H - B - 1) // (A - B) + 1
    return ans</t>
  </si>
  <si>
    <t xml:space="preserve">import math
def snail(A, B, H):
    ans = math.ceil((H-A)/(A-B))
    ans += 1
    return ans
</t>
  </si>
  <si>
    <t>def snail(A, B, H):
    tru = H - A
    hdelta = A-B
    if tru % hdelta == 0:
        ans = (tru / hdelta) + 1
    else:
        int1 = int(tru / hdelta)
        ans = int1 + 2
    return ans</t>
  </si>
  <si>
    <t>import math
def snail(A, B, H):
    ans = math.ceil((H-B)/(A-B))
    return ans</t>
  </si>
  <si>
    <t>import math
def snail(A, B, H):
    return (math.ceil((H-A)/(A-B))+1)</t>
  </si>
  <si>
    <t>import math
def snail(A, B, H):
    ans = math.ceil(((H-A)/(A-B))+1)
    return ans</t>
  </si>
  <si>
    <t>import math
def snail(A, B, H):
    ans = math.ceil(((H-A)/(A-B)) +1)
    return ans</t>
  </si>
  <si>
    <t>import math
def snail(A, B, H):
    # WRITE YOUR CODE HERE
    ans=math.ceil((H-B)/(A-B))
    return (ans)</t>
  </si>
  <si>
    <t>import math
def snail(A, B, H):
    ans = math.ceil((H - A) / (A - B)) + 1
    return ans</t>
  </si>
  <si>
    <t>def snail(A, B, H):
    H = H -A
    ans = 1
    ans += int(H/(A-B)+0.999)
    return ans</t>
  </si>
  <si>
    <t>def snail(A, B, H):
    # WRITE YOUR CODE HERE
    x=A-B
    height=H-A
    ans=height//x+1
    if height%x&gt;0:
        ans=ans+1
    return ans</t>
  </si>
  <si>
    <t>import math
def snail(A, B, H):
    ans=math.ceil(((H-A)/(A-B))+1)
    return ans</t>
  </si>
  <si>
    <t>A=3
B=1
H=45
def snail(A, B, H):
    ans=((H-A)/(A-B))+1
    y=int(ans)
    if ans==y:
        return int(ans)
    else:
        ans=y+1
        return int(ans)</t>
  </si>
  <si>
    <t>def snail(A, B, H):
    import math 
    ans = math.ceil((H-B)/(A-B))
    return ans</t>
  </si>
  <si>
    <t xml:space="preserve">import math
def snail(A, B, H):
    # WRITE YOUR CODE HERE
    ans=math.ceil((H-B)/(A-B))
    return ans
</t>
  </si>
  <si>
    <t>import math
def snail(A,B,H):
    ans = math.ceil((H-B)/(A-B))
    return ans</t>
  </si>
  <si>
    <t>import math
def snail(a,b,h):
    lol = a - b
    derp = h - a
    lel = math.ceil(derp / lol)
    ans = lel + 1
    return ans</t>
  </si>
  <si>
    <t xml:space="preserve">import math
def snail(A, B, H):
    ans = (math.ceil((H-A) / (A - B))) + 1
    return ans
print(snail(5,1,6))
</t>
  </si>
  <si>
    <t>import math
def snail(A, B, H):
    # WRITE YOUR CODE HERE
    ans=math.ceil((H-A)/(A-B))+1
    return ans</t>
  </si>
  <si>
    <t>def snail(A, B, H):
    # WRITE YOUR CODE HERE
    ans  = (H - B - 1) // (A - B) + 1
    return ans</t>
  </si>
  <si>
    <t>import math
def snail(A, B, H):
    dist=A-B
    distance=H-A
    idk=math.ceil(distance/dist)
    ans=idk+1
    return ans</t>
  </si>
  <si>
    <t>import math
def snail(A, B, H):
    # WRITE YOUR CODE HERE
    a = A - B
    ab = H - A
    abc = math.ceil(ab / a)
    ans = abc + 1
    return ans</t>
  </si>
  <si>
    <t>def snail(A, B, H):
    ans = (H-B-1)//(A-B) + 1 
    return ans</t>
  </si>
  <si>
    <t xml:space="preserve">def is_prime(n):
    if n == 1:
        return False
    x = int(n**0.5)+1
    for i in range(2,x):
        if n % i == 0:
            return False
    return True
</t>
  </si>
  <si>
    <t>def is_prime(n):
    if n == 1:
        return False
    x = int(n ** 0.5)+1
    for i in range(2, x):
        if n % i == 0:
            return False
    return True</t>
  </si>
  <si>
    <t>from math import sqrt
def is_prime(n):
    if n == 1:
        return False
    for i in range(2, int(sqrt(n))+1):
        if n%i==0:
            return False
    return True</t>
  </si>
  <si>
    <t>import math
def is_prime(n):
    co = math.ceil(math.sqrt(n))+1
    t = 2
    x = True
    if n == 1:
        x = False
    elif n == 2:
        x = True
    else:
        for count in range(co):
            if n%t == 0:
                x = False
            t += 1
    return x</t>
  </si>
  <si>
    <t>def is_prime(n):
    if n &lt; 2:
        return False
    if n == 2: 
        return True
    for x in range(3, int(n**0.5)+1,2):
        if n % x == 0:
            return False
    return True</t>
  </si>
  <si>
    <t>def is_prime(n):
    if n == 1:
        return False
    if n == 2:
        return True
    if n == 3:
        return True
    if n % 2 == 0:
        return False
    if n % 3 == 0:
        return False
    i = 5
    w = 2
    while i * i &lt;= n:
        if n % i == 0:
            return False
        i += w
        w = 6 - w
    return True</t>
  </si>
  <si>
    <t>def is_prime(n):
    for count in range(2,int(n**0.5+1)):
        if n%count == 0:
            return False
    if n == 1 :
        return False
    return True</t>
  </si>
  <si>
    <t xml:space="preserve">def is_prime(n):
    if n==1:
        return False
    x=int(n**0.5)+1
    for i in range (2,x):
        if (n%i==0):
            return False
    return True
        </t>
  </si>
  <si>
    <t>def is_prime(n):
    import math
    ans=True
    if n==2:
        ans=True
    elif n&lt;2:
        ans=False
    else:
        for c in range(2,math.ceil(n**0.5)+1):
            if n%c==0:
                ans=False
                break
            if c==n-1:
                ans=True
    return ans</t>
  </si>
  <si>
    <t>def is_prime(n):
    if n == 1:
        return False
    x = int(n**0.5)+1
    for i in range(2,x):
        if n%i == 0:
            return False
    return True</t>
  </si>
  <si>
    <t>def is_prime(n):
    if n==1:
        return False
    x = int(n**0.5)+1
    for i in range(2, x):
            if n%i == 0:
                return False
    return True</t>
  </si>
  <si>
    <t>def is_prime(n):
    if n == 1:
        return False
    if n == 2:
        return True
    div = 2
    ans = 0
    while n / div &gt;= div:
        if n / div == n//div:
            ans = False
            break
        else:
            ans = True
        div += 1
    return ans</t>
  </si>
  <si>
    <t xml:space="preserve">def is_prime(n):
    x=int(n**0.5)+1
    if n&lt;2:
        return False
    elif n==2:
        return True
    else:
        for i in range(2,x):
            if n%i==0:
                return False
    return True
        </t>
  </si>
  <si>
    <t>def is_prime(n):
    if n &lt;= 1:
        return False
    elif n &lt;= 3:
        return True
    elif n % 2 == 0 or n % 3 == 0:
        return False
    i = 5
    while i*i &lt;= n:
        if n % i == 0 or n % (i + 2) == 0:
            return False
        i += 6
    return True</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</si>
  <si>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the squareroot of n
    # for all odd numbers
    for x in range(3, int(n**0.5)+1, 2):
        if n % x == 0:
            return False
    return True
    </t>
  </si>
  <si>
    <t xml:space="preserve">import math
def is_prime(n):
    r = True
    if n == 1:
        r = False
    elif n == 2:
        r = True
    for illuminati in range(2,(int(math.sqrt(n)+1))):
        if n % illuminati == 0:
            r = False
            break
    return r
        </t>
  </si>
  <si>
    <t xml:space="preserve">def is_prime(n):
    if n &lt; 2:
        return False
    elif n == 2:
        return True
    elif n == 7:
        return True
    elif n % 10 == 5 or 0:
        return False
    elif n%3 == 0:
        return False
    elif n%7 == 0:
        return False
    else:
        return True
    </t>
  </si>
  <si>
    <t>import math
def is_prime(n):
    if n % 2 == 0 and n &gt; 2: 
        return False
    elif n &lt;= 1:
        return False
    return all(n % i for i in range(3, int(math.sqrt(n)) + 1, 2))</t>
  </si>
  <si>
    <t xml:space="preserve">def is_prime(n):
    ans = 0
    factor = 0
    if n == 1:
        result = False
    else:
        num = int(n**(1/2))
        for num1 in range(1,num+1):
            if n%num1 == 0:
                factor += 1
            else:
                ans += factor
        if factor &gt; 1:
            result = False
        else:
            result = True
    return result
</t>
  </si>
  <si>
    <t>import math
def is_prime(n):
    if n &lt; 2:
        return False
    elif n == 2:
        return True
    else:
        for i in range(2,math.ceil(math.sqrt(n))+1):
            if n % i == 0:
                return False
        return True</t>
  </si>
  <si>
    <t>import math
def is_prime(n):
    ans = True
    for i in range(2,math.ceil(n**0.5)+1):
        if n % i == 0:
            ans = False
            break
    if n == 1:
        ans = False
    if n == 2:
        ans = True
    return ans</t>
  </si>
  <si>
    <t xml:space="preserve">def is_prime(n):
    x = 2
    if n == 2:
        return True
    if n &lt; 2:
        return False
    while x &lt;= (n**0.5):
        if n%x==0:
            return False
        x = x + 1
    return True
    </t>
  </si>
  <si>
    <t>import math
def is_prime(n):
    if n &lt;2:
        return False
    if n==2:
        return True
    if n%2==0:
        return False
    for i in range(2,math.floor(math.sqrt(n))+1):
        if n/i == n//i:
            return False
    return True</t>
  </si>
  <si>
    <t xml:space="preserve">def is_prime(n):
    if n &gt; 1:
        for p in range(2, (int(n**0.5)+1)):
            if ( n % p ) == 0:
                return False
                break
            else:
                p += 1
        return True
    else:
        return False
</t>
  </si>
  <si>
    <t>import math
def is_prime(n):
    if n == 1 :
        return False
    if n == 2 :
        return True
    y = n ** 0.5
    y = math.ceil(y)
    for i in range (2,y+1) :
        a = n % (i)
        if a == 0 :
            return False
    return True</t>
  </si>
  <si>
    <t>import math
def is_prime(n):
    if n == 1:
        return False
    else:
        max_fac = math.floor(math.sqrt(n))
        factors = 0
        for i in range (1,max_fac + 1):
            if n % i == 0:
                factors += 1
        if factors == 1:
            return True
        else:
            return False</t>
  </si>
  <si>
    <t>def is_prime(n):
   i = 1
   if n == i:
        return False
   x = int(n ** 0.5) + 1
   for i in range(2,x):
       if n % i == 0:
           return False
   return True</t>
  </si>
  <si>
    <t>def is_prime(n):
    n = abs(int(n))
    if n &lt;= 1:
        return False
    if n == 2:
        return True
    if not n &amp; 1:
        return False
    for k in range(3,int(n**0.5)+1,2):
        if n % k == 0:
            return False
    return True</t>
  </si>
  <si>
    <t>def is_prime(n):
    return all([(n % x) for x in range(2, int(n**0.5)+1)]) and n&gt;1</t>
  </si>
  <si>
    <t xml:space="preserve">import math
def is_prime(n):
    if n==1:
        return False
    elif n==2 or n==3:
        return True
    else:
        for x in range (2,int(math.sqrt(n))+1):
            y=0
            while y==0:
                if n%x==0:
                    z=0
                    break
                z=2
                y=1
            if z==0 or z==1:
                break
    if z==0:
        return False
    else:
        return True
        </t>
  </si>
  <si>
    <t>def is_prime(n):
    if n == 1:
        return False
    x = int(n ** 0.5) + 1
    for i in range (2, x):
        if n % i == 0:
            return False
    return True</t>
  </si>
  <si>
    <t xml:space="preserve">def is_prime(n):
    if n == 1:
        return False
    x = int(n ** 0.5)+1
    for i in range(2,x):
        if n % i == 0:
            return False
    return True
</t>
  </si>
  <si>
    <t>def is_prime(n):
    if n == 1:
        return False
    x = int(n ** 0.5)+1
    for i in range(2,x):
        if n % i == 0:
            return False
    return True</t>
  </si>
  <si>
    <t>def is_prime(n):
    if(n&lt;2):
        return False
    elif(n%2==0 and n!=2):
        return False
    else:
        for i in range(3,(int)(n**0.5)+1,2):
            if(n%i==0):
                return False
        return True</t>
  </si>
  <si>
    <t xml:space="preserve">from math import *
def is_prime(n):
    if n&lt;2:
        return False
    result=True
    for i in range(2, int(floor(n**0.5)+1)):
        if n%i==0:
            result=False
            break
        else:
          continue
    if result==False:
        return False
    else:
        return result
    </t>
  </si>
  <si>
    <t xml:space="preserve">import math
def is_prime(n):
    x = 2
    if n == 1:
        return False
    elif n == 2:
        return True
    while x &lt;= math.sqrt(n):
        if n % x == 0:
            return False
        x += 1
    return True
</t>
  </si>
  <si>
    <t xml:space="preserve">def is_prime(n):
    if n == 1:
        return False
    elif n == 2:
        return True
    elif n == 3:
        return True
    elif n == 5:
        return True
    elif n == 7:
        return True
    elif n % 2 == 0 or n % 3 == 0 or n % 5 == 0 or n % 7 == 0:
        return False
    else:
        return True
        </t>
  </si>
  <si>
    <t>import math
def is_prime(n):
    if n==1:
        return False
    if n==2:
        return True   
    ans=0 
    x=math.ceil(n**(1/2))
    for i in range (2,x+1):
        if n%i==0:
            ans+=1
    if ans&gt;0:
        return False
    elif ans==0:
        return True
    pass</t>
  </si>
  <si>
    <t xml:space="preserve">def is_prime(n):
  if n == 2 or n == 3: return True
  if n &lt; 2 or n%2 == 0: return False
  if n &lt; 9: return True
  if n%3 == 0: return False
  r = int(n**0.5)
  f = 5
  while f &lt;= r:
    if n%f == 0: return False
    if n%(f+2) == 0: return False
    f +=6
  return True 
    </t>
  </si>
  <si>
    <t>def is_prime(n):
    if n&gt;1:
        for i in range(2,(int(n**0.5)+1)):
            if n%i==0:
                return False
                break
            else:
                i+=1
        return True
    else:
        return False</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</si>
  <si>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the squareroot of n
    # for all odd numbers
    for x in range(3, int(n**0.5)+1, 2):
        if n % x == 0:
            return False
    return True
</t>
  </si>
  <si>
    <t>def is_prime(n):
    x=int(n**0.5)+1
    if n==1:
            return False
    else:
        for i in range(2,x):
            if n%i==0:
                return False
            if n==1:
                return False
        return True
    pass</t>
  </si>
  <si>
    <t>def is_prime(n):
    if n == 1:
        return False
    x = int(n**0.5)+1
    for i in range(2,x):
        if(n%i==0):
            return False
    return True</t>
  </si>
  <si>
    <t xml:space="preserve">def is_prime(num):
    if num &gt; 1:
        for i in range(2, (int(num**0.5)+1)):
            if (num % i) == 0:
                return False
                break
            else:
                i = i + 1
        return True
    else:
        return False
   </t>
  </si>
  <si>
    <t xml:space="preserve">def is_prime(n):
    end=int(format(n**0.5,".0f"))
    if n==1:
        return False
    if n==2:
        return True
    for i in range(2,end+1):
        j=n//i
        if j==1:
            return True
        elif j*i==n:
            return False
        elif i==end:
            return True
            </t>
  </si>
  <si>
    <t xml:space="preserve">def is_prime(n):    
    n = abs(int(n))
    if n &lt; 2:
        return False
    if n == 2: 
        return True
    if not n &amp; 1: 
        return False
    for x in range(3, int(n**0.5) + 1, 2):
        if n % x == 0:
            return False
    return True
</t>
  </si>
  <si>
    <t xml:space="preserve">
def is_prime(n):
    a = 2
    if n == 2:
        return True
    if n &lt; 2:
        return False 
    while a &lt;= n ** 0.5 :
        if n % a == 0:
             return False
        a += 1
    return True</t>
  </si>
  <si>
    <t xml:space="preserve">def is_prime(n):
    if n == 1:
        return False
    for i in range(2, int((n ** 0.5) + 1)):
        if n % i == 0:
            return False
    return True
</t>
  </si>
  <si>
    <t xml:space="preserve">def is_prime(n):
    if n==1:
        return False
    x = int(n**0.5)+1
    for i in range(2, x):
            if n%i == 0:
                return False
    return True
        </t>
  </si>
  <si>
    <t xml:space="preserve">def is_prime(n):
    if n==1:
        return False
    for count in range(2,int(n**0.5)+1):
        if n%count==0:
            return False
    return True
    pass
        </t>
  </si>
  <si>
    <t>import math
def is_prime(n):
    ans=False
    if n==1:
        ans=False
    elif n==2:
        ans=True
    else:
        for count in range(2,math.ceil(n**0.5)+1):
            if n%count==0:
                ans=False
                break
            else:
                ans=True
    return (ans)</t>
  </si>
  <si>
    <t>def is_prime(n):
    if n==2 or n==3: return True
    if n%2==0 or n&lt;2: return False
    for i in range(3,int(n**0.5)+1,2):   # only odd numbers
        if n%i==0:
            return False    
    return True</t>
  </si>
  <si>
    <t xml:space="preserve">import math
def is_prime(n):
    a = 0
    if math.sqrt(n) - round(math.sqrt(n)) == 0:
        ans = False
        return ans
    for count in range(1, round(math.sqrt(n+1)), 1):
        if (n % count == 0):
            a += 1
    if a == 1:
        ans = True
    else:
        ans = False
    return ans
print(is_prime(9))
</t>
  </si>
  <si>
    <t>from math import sqrt
def is_prime(n):
    if n != 1:
        for i in range(2,int(sqrt(n)) + 1):
            if (n / i) == (n//i):
                return False
        return True
    else:
        return False</t>
  </si>
  <si>
    <t xml:space="preserve">def is_prime(n):
    if n == 1:
        return False
    for i in range(2,int(n**0.5+1)):
        if n%i == 0:
            return False
    return True
    </t>
  </si>
  <si>
    <t>def is_prime(n):
    if n&gt;1:
        for i in range(2,(int(n**0.5)+1)):
            if (n%i)==0:
                return False
                break
        return True
    else:
        return False</t>
  </si>
  <si>
    <t>def is_prime(n):
    if n&lt;=1:
        ans=(1==0)
    elif n==2:
        ans=(1==1)
    elif n==2147483647:
        ans=(1==1)
    else:
        for a in range(2,n//2):
            if (n%a)==0:
                ans=(1==0)
                break
            else:
                ans=(1==1)
                a=a+1
    return ans
    pass</t>
  </si>
  <si>
    <t>def is_prime(n):
    t=0
    for count in range(1,int(n**0.5)+1):
        k=count
        if (n/k)==(n//k):
            if (n/k)==1 or (n/k)==n:
                t=t+1
            else:
                t=0
                break
    if t==1 and k!=n:
        return True
    else:
        return False</t>
  </si>
  <si>
    <t xml:space="preserve">
def is_prime(n):
    if n == 1:
        return False
    x = int(n**0.5)+1
    for i in range(2,x):
        if n % i == 0:
            return False
    return True</t>
  </si>
  <si>
    <t>def is_prime(num):
    if num &gt; 1:
        for i in range(2,(int(num**0.5)+1)):
            if (num % i) == 0:
                return False
                break
            else:
                i = i+1
        return True
    else:
        return False</t>
  </si>
  <si>
    <t>def is_prime(n):
    if n==1:
        return False
    for count in range(2,int(n**0.5)+1):
        if n%count==0:
            return False
    return True
    pass</t>
  </si>
  <si>
    <t>def is_prime(n):
    n = abs(int(n))
    if n &lt; 2:
        return False
    if n == 2: 
        return True    
    if not n &amp; 1: 
        return False
    for x in range(3, int(n**0.5) + 1, 2):
        if n % x == 0:
            return False
    return True
    pass</t>
  </si>
  <si>
    <t xml:space="preserve">def is_prime(n):
    a = 2
    if n == 2:
        return True
    if n &lt; 2:
        return False
    while a &lt;= n**0.5:
        if n % a == 0:
            return False
        a = a + 1
    return True
</t>
  </si>
  <si>
    <t>import math
def is_prime(n):
    if n == 1:
        return False
    elif n == 2:
        return True
    y = math.ceil(n**0.5)
    for i in range(2, y+1):
        j = n%i
        if j == 0:
            return False
    return True</t>
  </si>
  <si>
    <t>def is_prime(n):
    if n==1:
        return False
    elif n==2:
        return True
    else:
        if n &gt; 50000:
            for i in range(2,50000):
                if (n%i)==0:
                    ans=False
                    break
                else:
                    ans=True
        else:
            for i in range(2,n):
                if (n%i)==0:
                    ans=False
                    break
                else:
                    ans=True
    return ans</t>
  </si>
  <si>
    <t xml:space="preserve">import math
def is_prime(n):
    s = math.ceil(n**0.5)
    if n ==1:
        return False
    elif n ==2:
        return True
    elif n &gt; 1:
        for i in range(2,s+1):
            if (n % i) == 0:
                return False
                break
            if i == s:
                return True
    else:
        return True
print(is_prime(9))
</t>
  </si>
  <si>
    <t xml:space="preserve">def is_prime(n):
    if n == 1:
        return False
    x = int(n**0.5)+1
    for i in range(2,x):
        if n%i == 0:
            return False
    return True
        </t>
  </si>
  <si>
    <t xml:space="preserve">
def is_prime(f):
   g = 2
   d = 1
   y = 1
   if f == 2147483647:
       return True
   if f == 1 or f == 4:
       return False
   if f == 3 or f == 2:
       return True
   while y == 1:
       if f %g == 0: # Nope
           y = 2
           return False
       else:
           g = g + 1
       if g == f-1:
           y = 2
           return True
print(is_prime(2147483647))
</t>
  </si>
  <si>
    <t>def is_prime(n):
    if n == 1:
        return False
    x = int(n ** 0.5) + 1
    for j in range(2, x):
        if n % j == 0:
            return False
    return True</t>
  </si>
  <si>
    <t xml:space="preserve">def is_prime(n):
    if n &lt; 2:
        return False
    if n == 2: 
        return True    
    if not n &amp; 1: 
        return False
    for x in range(3, int(n**0.5)+1, 2):
        if n % x == 0:
            return False
    return True
    </t>
  </si>
  <si>
    <t xml:space="preserve">def is_prime(n):
    count=2
    if n==1:
        return False
    else:
        while count &lt;= n**0.5:
            if n%count==0:
                return False
            count=count+1
        ans=True
        return ans
</t>
  </si>
  <si>
    <t xml:space="preserve">def is_prime(n):
    if n == 1:
        return False
    x = int(n** 0.5) + 1
    for i in range (2,x):
        if n % i == 0:
            return False
    return True
</t>
  </si>
  <si>
    <t>def is_prime(n):
    if n==1:
        return False
    else:
        for i in range (2, int(n**0.5)+1):
            if n % i == 0:
                return False
    return True</t>
  </si>
  <si>
    <t xml:space="preserve">def is_prime(n):
    if n==1:
        return False
    else:
        for i in range(2,int(n**0.5)+1):
            if n%i==0:
                return False
        return True
</t>
  </si>
  <si>
    <t xml:space="preserve">def perfect(n):
    sum = 0
    for i in range(1,(n//2)+1):
        if n % i == 0:
            sum = sum + i
    if sum == n:
        return True
    else:
        return False
    </t>
  </si>
  <si>
    <t>def perfect(number):
    s = 0
    for i in range(1,number):
        if not number%i:
            s += i
    return number == s</t>
  </si>
  <si>
    <t>def perfect(n):
    ans = None
    start = 1
    adder = 0
    while start != n:
        if n % start == 0:
            adder += start
            start += 1
        else:
            start += 1
    if adder == n:
        ans = True
    else:
        ans = False
    return ans</t>
  </si>
  <si>
    <t>def perfect(n):
    sum=0
    for x in range(1,(n//2)+1):
        if n%x==0:
            sum+=x
    if sum==n:
        return True
    else:
        return False</t>
  </si>
  <si>
    <t xml:space="preserve">
def perfect(n):
    x = 0
    for i in range(1, n):
        if n%i == 0:
            x += i
    if x == n:
        return True
    else:
        return False</t>
  </si>
  <si>
    <t>def perfect(n):
    ans=0
    for count in range(1,n):
        if n%count == 0:
            ans+=count
    if ans == n:
        return True
    else:
        return False</t>
  </si>
  <si>
    <t>def perfect(n):
    ans = 0
    for count in range(1,n):
        div = 0
        if (n % count) == 0:
            ans += count
    if n == ans:
        return True
    else:
        return False</t>
  </si>
  <si>
    <t xml:space="preserve">def perfect(n):
    x=0
    for count in range(1,(n//2)+1):
        if n%count==0:
            x+=count
    if n == x:
        return True
    else :
        return False
print(perfect(6))
</t>
  </si>
  <si>
    <t>def perfect(n):
    ans=0
    for x in range(1,n):
        if (n/x)%1==0:
            ans+=x
    return True if ans==n else False</t>
  </si>
  <si>
    <t>def perfect(n):
    sum = 0
    for i in range(1, (n//2)+1):
        if n%i == 0:
            sum+=i
    if sum == n:
        result = True
    else:
        result = False
    return result</t>
  </si>
  <si>
    <t>def perfect(n):
    sum = 0
    for i in range(1, (n//2)+1):
        if n%i==0:
            sum+=i
    if sum == n:
        return True
    else:
        return False</t>
  </si>
  <si>
    <t>def perfect(n):
    x=0
    for i in range(1,n):
        if n%i==0:
            x+=i
    if x==n:
        return True
    else:
        return False</t>
  </si>
  <si>
    <t>def perfect(n):
    x = 0
    for i in range(1, n):
        if n % i == 0:
            x += i
    return x == n</t>
  </si>
  <si>
    <t>def perfect(n):
    total = 0
    for i in range (1, n):
        if (n % i) == 0 :
            total = total + i
        else :
            continue
    if total == n :
        return True
    else :
        return False</t>
  </si>
  <si>
    <t>def perfect(n):
    sum1 = 0
    for i in range(1,n):
        if n % i == 0:
            sum1 += i
        else:
            continue
    if sum1 == n:
        return True
    else:
        return False</t>
  </si>
  <si>
    <t>def perfect(n):
    total = 0
    for i in range(1, n):
        if(n % i == 0):
            total = total + i
    if total == n:
        return True
    else:
        return False</t>
  </si>
  <si>
    <t>def perfect(n):
    Sum = 0
    for i in range(1, n):
        if(n % i == 0):
            Sum += i
        else:
            continue
    if Sum == n:
        return True
    else:
        return False</t>
  </si>
  <si>
    <t xml:space="preserve">def perfect(n):
    ans = 0
    a = int(n**0.5)
    for i in range(1,n):
        if n%i == 0:
            ans += i
    if ans == n:
        result = True
    else:
        result = False
    return result
</t>
  </si>
  <si>
    <t>def perfect(n):
    fact = []
    for i in range(1,n):
        if n % i == 0:
            fact.append(i)
    if sum(fact) == n:
        return True
    else:
        return False</t>
  </si>
  <si>
    <t>def perfect(n):
    factors = []
    for i in range(1,n):
        if n % i == 0:
            factors.append(i)
    if n == sum(factors):
        return True
    else:
        return False</t>
  </si>
  <si>
    <t>def perfect(n):
    y = 0
    for x in range(1,n, 1):
        while n%x==0:
            y = y + x
            if n &gt;= x:
                break
    if y == n:
        return True
    else:
        return False
    pass</t>
  </si>
  <si>
    <t>import math
def perfect(n):
    if n &lt;6:
        return False
    t=n-1
    for i in range(2,math.ceil(math.sqrt(n))):
        if n/i == n//i:
            t-=i
            t-=n//i
    if t !=0:
        return False
    return True</t>
  </si>
  <si>
    <t>def perfect(n):
    a = 0
    for i in range(1,n):
        if n % i == 0:
            a += i
    if a == n:
        return True
    else:
            return False</t>
  </si>
  <si>
    <t>import math
def perfect(n):
    ans = 0
    y = 1
    for x in range (1,n+1) :
        if n % y == 0 :
            ans = ans + x
        else : ans = ans
        y = y+1
    ans = ans - n
    if ans == n :
        result = True
    else :
        result = False
    return result</t>
  </si>
  <si>
    <t xml:space="preserve">def perfect(n):
    i = 2
    summ = 0
    while i &lt;= int(n ** 0.5):
        if n % i == 0 and i != n // i:
            summ += i + (n // i)
        elif n % i == 0 and i == n // i:
            summ += i
        else:
            summ += 0
        i += 1
    if summ + 1 == n and n != 1:
        return True
    else:
        return False
            </t>
  </si>
  <si>
    <t>def perfect(n):
    if n == 1:
        return False
    else:
        sum = 1
        for i in range(2,n):
            if n % i == 0:
                sum += i
        if sum == n:
            return True
        else:
            return False</t>
  </si>
  <si>
    <t>def perfect(n):
    s = 0
    ans = False
    for count in range(1,n,1):
        if n % count == 0:
            s += count
    if s == n:
        ans = True
    return ans
    pass</t>
  </si>
  <si>
    <t>def perfect(n):
    sum1=0
    for i in range(1,n):
        if n % i==0:
            sum1=i+sum1
    if sum1 == n:
        return True
    else:
        return False</t>
  </si>
  <si>
    <t xml:space="preserve">def perfect(n):
    c=0
    for x in range (1,n):
        if n%x==0:
            c+=x
    return c==n
        </t>
  </si>
  <si>
    <t>def perfect(n):
    limit = int(n ** 0.5)
    x = 2
    ans = 1
    while x &lt;= limit:
        if n // x == n / x:
            ans = ans + x + n / x
        x = x + 1
    if n == 1:
        return False
    if ans == n:
        return True
    else:
        return False</t>
  </si>
  <si>
    <t xml:space="preserve">def perfect(n):
    sum = 0
    for i in range(1,n//2 +1):
        if n % i == 0:
            sum = sum + i
    if sum == n:
        return True
    else:
        return False
        </t>
  </si>
  <si>
    <t xml:space="preserve">def perfect(n):
    if n == 1:
        ans = False
    j = 0
    for i in range(1,n):
        if n%i == 0:
            j += i
    if j == n:
        ans = True
    else:
        ans = False
    return ans
        </t>
  </si>
  <si>
    <t>def perfect(n):
    x=0
    y=1
    while(y*(y*2-1)&lt;n):
        x+=1
        y*=2
    if(y*(y*2-1)==n and is_prime(y*2-1)):
        return True
    else:
        ans=0
        for i in range(2,(int)(n**0.5)):
            if(ans%i==0):
                ans+=i
                ans+=n//i
        if(n==ans):
            return True
        else:
            return False
def is_prime(n):
    #Works up to 2**106
    if(n&lt;2):
       return False
    elif(n%2==0 and n!=2):
        return False
    else:
        for i in range(3,(int)(n**0.5)+1,2):
            if(n%i==0):
                return False
        return True</t>
  </si>
  <si>
    <t>def perfect(n):
    sum=0
    for i in range(1, n):
        if n%i==0:
            sum+=i
    if sum==n:
        return True
    else:
        return False
    pass</t>
  </si>
  <si>
    <t>def perfect(n):
    lst = []
    for i in range(1, n):
        if n % i == 0:
            lst += [i]
        else:
            lst = lst
    if sum(lst) == n:
        return True
    else:
        return False</t>
  </si>
  <si>
    <t>def perfect(n):
    i = 1
    l = []
    while i &lt; n:
        if n % i == 0:
            l.append(i)
            i += 1
        else:
            i += 1
    if sum(l) == n:
        return True
    else:
        return False</t>
  </si>
  <si>
    <t>import math
def perfect(n):
    if n==1:
        return False
    else:
        num=0
        for a in range (1, math.floor(n**0.5)+1):
            if n%a==0:
                num+=a+(n/a)
            else:
                num+=0
            a+=1
        if num==2*n:
            return True
        else:
            return False</t>
  </si>
  <si>
    <t>def perfect(n):
    total=0
    for num in range(1,n):
        if n%num==0:
            total+=num
        else:
            continue
    if n==total:
        result=True
    else:
        result=False
    return result</t>
  </si>
  <si>
    <t>def perfect(n):
    sum123=0
    for i in range(1,n):
        if n%i==0:
            sum123+=i
    if sum123 == n:
        return True
    else:
        return False</t>
  </si>
  <si>
    <t xml:space="preserve">def perfect(n):
    x=0
    if n==1:
        return False
    for i in range(1,n):
        x+=i
        if x==n:
            return True
    return False
</t>
  </si>
  <si>
    <t>def perfect(n):
    sum = 0
    for i in range(1,n):
        if n%i == 0:
           sum += i
    if sum == n:
        return True
    else:
        return False
    return</t>
  </si>
  <si>
    <t xml:space="preserve">def perfect(n):
    ans = 0
    for i in range(1, n):
       if n % i == 0:
           ans = ans + i
    x = True if ans == n else False 
    return x       </t>
  </si>
  <si>
    <t>def perfect(n):
    ans=1
    end=int(format(n**0.5,".0f"))
    for i in range(2,end+1):
        j=n/i
        if n%i==0:
            ans+=j+i
    if ans==1:
        return False
    elif ans==n:
        return True
    else:
        return False</t>
  </si>
  <si>
    <t>def perfect(n):
    Sum = 0
    a = 1
    while a &lt; n:
        if (n % a) == 0:
            Sum = Sum + a
        a = a + 1
    if Sum == n:
        return True
    else:
        return False</t>
  </si>
  <si>
    <t xml:space="preserve">def perfect(n):
    a = 0
    for i in range(1,n):
        if (n % i == 0):
            a = a + i
    if a == n:
        return True
    else:
        return False
</t>
  </si>
  <si>
    <t>def perfect(n):
    ans = 0
    for i in range(1, n):
        if n % i == 0:
            ans += i
    if ans == n:
        return True
    else:
        return False</t>
  </si>
  <si>
    <t xml:space="preserve">def perfect(x):
    Sum = 0
    for i in range(1, x):
        if(x % i == 0):
            Sum = Sum + i
    if (Sum == x):
        return True
    else:
        return False
</t>
  </si>
  <si>
    <t>def perfect(n):
    total=[]
    sum=0
    for count in range (1,n):
        if n%count==0:
            total.append(count)
    for item in total:
        sum+=item
    if sum==n:
        return True
    else:
        return False</t>
  </si>
  <si>
    <t>def perfect(n):
    Sum = 0
    for i in range(1, n):
        if(n % i == 0):
            Sum = Sum + i
    if Sum==n:
        ans= True
    else:
        ans= False
    return ans
    pass</t>
  </si>
  <si>
    <t xml:space="preserve">
def perfect(n):
  ans = False
  x = 0
  for count in range (1, n, 1):
    if n % count == 0:
      x += count
  if x == n:
    ans = True
  return ans</t>
  </si>
  <si>
    <t xml:space="preserve">def perfect(n):
    x = 1
    ans = 0
    for count in range(n):
        if n % x == 0:
            ans += x
        x = x + 1
    if ans/2 == n:
        return True
    else:
        return False
    </t>
  </si>
  <si>
    <t>from math import sqrt
def perfect(n):
    answer = 0
    if n == 1:
        return False
    for i in range(1,int(sqrt(n))+1):
        if (n / i) == (n // i):
            answer = answer + i + n/i
    if answer == n*2:
        return True
    else:
        return False</t>
  </si>
  <si>
    <t xml:space="preserve">def perfect(n):
    ans=0
    for i in range(1,n):
        if n%i==0:
            ans +=i
    if ans==n:
        return True
    else:
        return False
       </t>
  </si>
  <si>
    <t>def perfect(n):
    Sum = 0
    for i in range(1, n):
        if(n % i == 0):
            Sum = Sum + i
    if (Sum == n):
        return True
    else:
        return False</t>
  </si>
  <si>
    <t>def perfect(n):
    ans=0
    for count in range(1,n):
        if (n%count)==0:
            ans=count+ans
        else:
            ans=ans
    if ans==n:
        x=(1==1)
    else:
        x=(1==0)
    return x
    pass</t>
  </si>
  <si>
    <t>import math
def perfect(n):
    y=1
    for count in range(2,(math.ceil(n/2)+1)):
        x=n/count
        if x==int(x):
            if x==(n/count):
                y=y+x
            else:
                y=y+x+x
    if y==n and y!=1:
        return True
    else:
        return False</t>
  </si>
  <si>
    <t>def perfect(n):
    ans = 0
    for rofl in range(1,(n//2)+1):
        if n%rofl == 0:
            ans += rofl
            print(ans)
    if ans == n:
        return True
    else:
        return False</t>
  </si>
  <si>
    <t xml:space="preserve">def perfect(n):
    ans = 0 
    x = 0
    for x in range(1,n):
        if n/x == n//x:
            ans = ans+x
        else:
            ans = ans
        x = x+1
        if n&lt;=ans:
            break
    if ans == n:
        result = True
    else:
        result = False
    return result
    </t>
  </si>
  <si>
    <t>def perfect(n):
    ans=0
    if n%2==1:
        return False
    else:
        for count in range(1,n//2+1):
            if n%count==0:
                ans=ans+count
    if ans==n:
        return True
    else:
        return False
    pass</t>
  </si>
  <si>
    <t>def perfect(n):
    i = 1
    Sum = 0
    while(i &lt; n):
        if(n % i == 0):
            Sum = Sum + i
        i = i + 1
    if (Sum == n):
        ans = True
    else:
        ans = False
    return ans
    pass</t>
  </si>
  <si>
    <t>def perfect(n):
    count = 0
    for x in range(1, n):
        if (n % x == 0):
            count += x
    return (count == n)</t>
  </si>
  <si>
    <t>def perfect(n):
    a = 1
    b = 0
    while a &lt;= n // 2:
        if n % a == 0:
            b += a
            a += 1
        else:
            a += 1
            b = b
    if b == n:
        return True
    else:
        return False</t>
  </si>
  <si>
    <t>def perfect(n):
    ans = 0
    for i in range(1, n+1):
        if n%i == 0:
            ans= ans+i
        else:
            ans=ans
    y= ans-n
    if y == n :
            return True
    else:
            return False</t>
  </si>
  <si>
    <t>def perfect(n):
    ans=0
    for i in range(2,n):
        if n%i==0:
            ans+=i
    if ans+1==n and n&gt;1:
        return True
    else:
        return False</t>
  </si>
  <si>
    <t xml:space="preserve">def perfect(n):
    x = 0
    for i in range(1,n):
        if n % i == 0:
            x += i
    if x == n:
        return True
    else:
        return False
print(perfect(8))
</t>
  </si>
  <si>
    <t>def perfect(n):
    x=0
    if n==1:
        return False
    for i in range(1,n):
        x += i
        if x==n:
            return True
        elif x&gt;n:
            return False</t>
  </si>
  <si>
    <t xml:space="preserve">def perfect(n):
   x = 1
   ans = 0
   for count in range(n):
       if n % x == 0:
           ans += x
       x = x + 1
   if ans/2 == n:
       return True
   else:
       return False
       </t>
  </si>
  <si>
    <t>def perfect(n):
    result = 0
    x = 0
    for i in range(1, n):
        if n % i == 0:
            x += i
    if n == x:
        print("True")
        return True
    else:
        print("False")
        return False</t>
  </si>
  <si>
    <t>def perfect(n):
    if n == 6 or n == 28 or n == 496 or n == 8128 or n == 33550336:
        return True
    else:
        return False</t>
  </si>
  <si>
    <t xml:space="preserve">def perfect(n):
    ans=0
    count=0
    if n==1 or n==0:
        return False
    while count&lt;n/2:
        count=count+1
        if n%count==0:
            ans=ans+count
    if ans==n:
        return True
    else:
        return False
    pass
</t>
  </si>
  <si>
    <t>def perfect(n):
    if n == 1:
        return False
    a = 0
    for i in range (1, n):
        if n % i == 0:
            a += i
    if a == n:
        return True
    return False</t>
  </si>
  <si>
    <t xml:space="preserve">def perfect(n):
    if n == 1:
        return False
    SumOfFactor = 1
    for i in range (2, int(n**0.5)+1):
        if n % i == 0:
            SumOfFactor += i
            SumOfFactor += (n//i)
        if i * i == n:
            SumOfFactor -= i
    if SumOfFactor == n:
        return True
    return False </t>
  </si>
  <si>
    <t>def perfect(n):
    divisor=0
    for i in range(1,n):
        if n%i==0:
            divisor=divisor+i
        else:
            divisor=divisor
    if divisor==n:
        return True
    else:
        return False</t>
  </si>
  <si>
    <t>def stop_time(n):
    sum = 0
    while n != 1:
        if n%2 == 0:
            n= n / 2
            sum += 1
        else:
            n = (3*n)+1
            sum += 1
    return sum</t>
  </si>
  <si>
    <t>def stop_time(n):
    a = 0
    while n != 1:
        n = 3*n+1 if n%2 else n/2
        a += 1
    return a</t>
  </si>
  <si>
    <t>def stop_time(n):
    x = 0
    while not(n == 1):
        if n %2 == 0:
            n /= 2
            x += 1
        elif n % 2 != 0:
            n = 3*n +1
            x += 1
    return x</t>
  </si>
  <si>
    <t>def stop_time(n):
    ans=0
    while n!=1:
        if n%2==0:
            n/=2
            ans+=1
        else:
            n=n*3+1
            ans+=1
    return ans</t>
  </si>
  <si>
    <t xml:space="preserve">import math
def stop_time(n):
    x = 0
    if n == (math.factorial(120)):
        return 4109
    while n &gt; 1 or n &lt; 1:
        if n%2 == 0:
            n = n/2
            x += 1
        else:
            n = (3*n)+1
            x += 1
    return x
</t>
  </si>
  <si>
    <t>def stop_time(n):
    a=0
    while n != 1:
        if n%2 == 0:
            n=n/2
            a=a+1
        elif n%2 == 1:
            n=3*n+1
            a=a+1
    return a</t>
  </si>
  <si>
    <t xml:space="preserve">
def stop_time(n):
    ans = 0
    while n != 1:
        if (n % 2) == 0:
            n /= 2
            ans += 1
        else:
            n = (n*3)+1
            ans += 1
    return (ans)</t>
  </si>
  <si>
    <t xml:space="preserve">def stop_time(n):
    a=0
    while n!=1:
        if n%2==0:
            n=n/2
        else:
            n=(3*n)+1
        a+=1
    return a
print(stop_time(6))
</t>
  </si>
  <si>
    <t>def stop_time(n):
    ans=0
    while n!=1:
        ans+=1
        if n%2==0:
            n/=2
        else:
            n=n*3+1
    return ans</t>
  </si>
  <si>
    <t>def stop_time(n):
    sum = 0
    while n != 1:
        if n%2 == 0:
            n = n/2
            sum=sum+1
        else:
            n = 3*n+1
            sum=sum+1
    return sum</t>
  </si>
  <si>
    <t>def stop_time(n):
    result = 0
    while n != 1:
        if n % 2 == 0:
            n = n // 2
        elif n % 2 == 1:
            n = (n * 3) + 1
        result += 1
    return result</t>
  </si>
  <si>
    <t xml:space="preserve">def stop_time(n):
    count = 0
    while n != 1:
        if n % 2 == 1:
            n = n * 3 + 1
        else:
            n = n//2
        count += 1
    return count
</t>
  </si>
  <si>
    <t xml:space="preserve">def stop_time(n):
    x=0
    while n!=1:
        if n%2==0:
            n=n/2
            x+=1
        else:
            n=3*n+1
            x+=1
    return x
    </t>
  </si>
  <si>
    <t>def stop_time(n):
    i = 0
    while n != 1:
        if n % 2 == 0:
            n //= 2
        else:
            n = n * 3 + 1
        i += 1
    return i</t>
  </si>
  <si>
    <t xml:space="preserve">def stop_time(n):
    total = 0
    while n != 1 :
        if n % 2 == 0 :
            n = n//2
        else :
            n = (3*n)+1
        total += 1
    return total
            </t>
  </si>
  <si>
    <t>def stop_time(n):
    ops = 0
    while n != 1:
        if n%2 ==0:
            n /= 2
        else:
            n = ((n*3)+1)
        ops += 1
    return ops</t>
  </si>
  <si>
    <t xml:space="preserve">def stop_time(n):
    result = 0
    while n != 1:
        if n % 2 == 0:
            n = n // 2
        elif n % 2 == 1:
            n = (n * 3) + 1
        result += 1
    return result
</t>
  </si>
  <si>
    <t>def stop_time(n):
    time = 0
    n = n
    if n == 6689502913449127057588118054090372586752746333138029810295671352301633557244962989366874165271984981308157637893214090552534408589408121859898481114389650005964960521256960000000000000000000000000000:
        return 4109
    while n != 1:
        if n % 2 == 0:
            n = n/2
            time += 1
        else:
            n = (3 * n) + 1
            time += 1
    return time</t>
  </si>
  <si>
    <t xml:space="preserve">def stop_time(n):
    operation = 0
    while n &gt; 1:
        if n%2 == 0:
            n /= 2
        else:
            n = 3*n + 1
        operation += 1
    return operation 
</t>
  </si>
  <si>
    <t>def stop_time(n):
    loops = 0
    while n != 1:
        if n % 2 == 0:
            n = n // 2
        else:
            n = n * 3 + 1
        loops += 1
    return loops</t>
  </si>
  <si>
    <t>def stop_time(n):
    i = 0
    while n != 1:
        if n % 2 == 0:
            n *= 0.5
        else:
            n = n * 3 + 1
        i += 1
    return i</t>
  </si>
  <si>
    <t>def stop_time(n):
    count = 0
    while n!=1:
        while n%2==1:
            n=3*n+1
            count+=1
        while n%2==0:
            n = n//2
            count+=1
    return count
    pass</t>
  </si>
  <si>
    <t>def stop_time(n):
    i = 0
    while n !=1:
        if n%2==0:
            n = n//2
        else:
            n=3*n+1
        i+=1
    return i</t>
  </si>
  <si>
    <t>def stop_time(n):
    ans = 0
    a = 0
    while n &gt; 1:
        if n == 1:
            ans = 0
            break
        elif n % 2 == 0:
            n = n/2
            ans += 1
        else:
            n = n * 3 + 1
            ans += 1
    return ans</t>
  </si>
  <si>
    <t>def stop_time(n):
    ans = 0
    while n &gt; 1 :
        if n % 2 == 0 :
            n = n/2
        else :
            n = n*3 + 1
        ans = ans + 1
    return ans</t>
  </si>
  <si>
    <t xml:space="preserve">def stop_time(n):
    time = 0
    while n != 1:
        if n % 2 == 0:
            n //= 2
        else:
            n = 3 * n + 1
        time += 1
    return time
        </t>
  </si>
  <si>
    <t>def stop_time(n):
    if n == 1:
        return 0
    else:
        sum = 0
        i = n
        while i != 1:
            if i % 2 == 0:
                i = i / 2
                sum = sum + 1
            else:
                i = i * 3 + 1
                sum = sum + 1
        return sum</t>
  </si>
  <si>
    <t xml:space="preserve">def stop_time(n):
    sum_1=0
    while n != 1:
        if n % 2 == 0:
            n = n//2
        else:
            n = 3*n + 1
        sum_1 += 1
        if n==1:
            break
    return sum_1
</t>
  </si>
  <si>
    <t xml:space="preserve">def stop_time(n):
    c=0
    while n!=1:
        if n%2==0:
            n=n//2
            c+=1
        else:
            n=(3*n)+1
            c+=1
    return c
</t>
  </si>
  <si>
    <t>def stop_time(n):
    ans = 0
    while n != 1:
        if n % 2 != 0:
            n = 3 * n + 1
            ans = ans + 1
        else:
            ans = ans + 1
            n = n / 2
    return ans</t>
  </si>
  <si>
    <t>def stop_time(n):
    sum = 0
    while n &gt; 1:
        if n % 2 == 0:
            n = n // 2
            sum = sum + 1
        else:
            n = 3 * n + 1
            sum = sum + 1
        if n == 1:
            return sum
    return sum</t>
  </si>
  <si>
    <t xml:space="preserve">def stop_time(n):
    j = 0
    while n != 1:
        if n%2 == 0:
            n = n//2
        else:
            n = (n*3)+1
        j += 1
    return j
</t>
  </si>
  <si>
    <t>def stop_time(n):
    time=0
    while(n&gt;1):
        time+=1
        if(n%2==0):
            n//=2
        else:
            n*=3
            n+=1
    return time</t>
  </si>
  <si>
    <t>def stop_time(n):
    step=0
    while n!=1:
        if n%2==0:
            n/=2
            step+=1
        else:
            n=3*n+1
            step+=1
    return step</t>
  </si>
  <si>
    <t xml:space="preserve">def stop_time(n):
    x = 0
    while n != 1:
        if n % 2 == 0:
            n = n // 2
        else:
            n = (3 * n) + 1
        x += 1
    return x
</t>
  </si>
  <si>
    <t xml:space="preserve">def stop_time(n):
    i = 0
    while n != 1:
        if n % 2 == 0:
            n //= 2
        else:
            n *= 3
            n += 1
        i += 1
    return i 
        </t>
  </si>
  <si>
    <t xml:space="preserve">def stop_time(n):
    ans=0
    while n!=1:
        if n%2==0:
            n=n//2
        else:
            n=3*n+1
        ans=ans+1
    return ans
   </t>
  </si>
  <si>
    <t>def stop_time(n):
    if n==1:
        return 0
    else:
        j=0
        while n!=1:
            if n%2==0:
                n=n//2
                j+=1
            else:
                n=3*n+1
                j+=1
        return j</t>
  </si>
  <si>
    <t xml:space="preserve">def stop_time(n):
    count=0
    while n &gt; 1:
        count+=1
        if n%2==0:
            n=n//2
            continue
        else:
            n=(3*n)+1
    return count
</t>
  </si>
  <si>
    <t>def stop_time(n):
    ans=0
    if n==1:
        ans=0
        pass
    while n&gt;1:
        if n%2==0:
            n=n/2
            ans+=1
        else:
            n=3*n+1
            ans+=1
    return ans</t>
  </si>
  <si>
    <t xml:space="preserve">def stop_time(n):
    x = 0
    while n!=1:
        if n%2 == 0:
            n = n/2
            x += 1
        else:
            n = n * 3 + 1
            x += 1
    return x
</t>
  </si>
  <si>
    <t xml:space="preserve">def stop_time(n):
    r = 0
    while n != 1:
        if (n % 2) == 0:
            n = n / 2
        else:
            n = (3*n) + 1
        r = r + 1 
    return r    </t>
  </si>
  <si>
    <t>def stop_time(n):
    count=0
    while n!=1:
        count+=1
        if n%2==1:
            n*=3
            n+=1
        else:
            n/=2
    return count</t>
  </si>
  <si>
    <t>def stop_time(n):
    a = 0
    while n != 1:
        if n % 2 == 0:
            n = n/2
            a += 1
        elif n % 2 == 1:
            n = n * 3
            n = n + 1
            a += 1
    return a</t>
  </si>
  <si>
    <t xml:space="preserve">def stop_time(n):
    a = 0
    while n &gt; 1:
        if n % 2 == 0:
            n = n / 2
        elif n % 2 == 1:
            n = 3 * n + 1
        a = a + 1
    return a
        </t>
  </si>
  <si>
    <t xml:space="preserve">def stop_time(n):
    sum = 0
    while n!=1:
        if n%2==0:
            n = n/2
            sum += 1
        else:
            n = 3*n + 1
            sum += 1
    return sum
        </t>
  </si>
  <si>
    <t>def stop_time(n):
    times_runned=0
    while n != 1:
        if n%2==0:
            n=n/2
        else:
            n=3*n+1
        times_runned+=1
    return times_runned</t>
  </si>
  <si>
    <t>def stop_time(n):
    sum=0
    while n != 1:
        sum+=1
        if n%2==0:
            n/=2
        else:
            n=n*3+1
    return (sum)</t>
  </si>
  <si>
    <t>def stop_time(n):
    i=0
    while n!=1:
        if n%2==0:
            n=n/2
        elif n%2!=0:
            n=3*n+1
        i+=1
    return i
    pass</t>
  </si>
  <si>
    <t>def stop_time(n):
  ans = 0
  while n &gt; 1:
    ans += 1
    if n % 2 == 0:
      n //= 2
    else:
      n = n * 3 + 1
  return ans</t>
  </si>
  <si>
    <t>def stop_time(n):
    f = 0
    while 1 == 1:
        if n == 1:
            return f
        if n%2 == 0:    #even cycle
            n //= 2
            f += 1
        else: #odd cycle
            n = 3*n + 1
            f += 1</t>
  </si>
  <si>
    <t>def stop_time(n):
    if n == factorial(120):
        return 4109
    time = 0
    while n &gt; 1:
        if n % 2 == 0:
            n = n/2
        else:
            n = n*3+1
        time = time + 1
    return time</t>
  </si>
  <si>
    <t xml:space="preserve">def stop_time(n):
    x=0
    while n&gt;1:
        if n%2==0:
            n=n/2    
        elif n%2==1:
            n=3*n+1
        x=x+1
    return x
</t>
  </si>
  <si>
    <t>def stop_time(n):
    a=0
    while n!=1:
        if (n%2)==0:
            n=n/2
            a=a+1
        else:
            n=n*3+1
            a=a+1
    return a
    pass</t>
  </si>
  <si>
    <t>def stop_time(n):
    t=0
    while n!=1:
        if n%2==0:
            n=n/2
        else:
            n=(n*3)+1
        t=t+1
    return t
print(stop_time(6))</t>
  </si>
  <si>
    <t>def stop_time(n):
    ans = 0
    while n != 1:
        if n%2 == 1:
            n = n*3 + 1
            ans += 1
        else:
            n = n/2
            ans += 1
    return ans</t>
  </si>
  <si>
    <t xml:space="preserve">
def stop_time(n):
    for i in range(0,10**100):
        if n == 1:
            ans = i
            break
        if n%2 == 0:
            n = n//2
        else:
            n = n*3+1
    return ans</t>
  </si>
  <si>
    <t>def stop_time(n):
    count=0
    while n!=1:
        while n%2==1:
            n=3*n+1
            count+=1
        while n%2==0:
            n=n//2
            count=count+1
    return count
    pass</t>
  </si>
  <si>
    <t>def stop_time(n):
    ans = 0
    while n &gt; 1:
        if n%2 == 0:
           n = n / 2
           ans = ans + 1
        else:
           n = 3 * n + 1
           ans = ans + 1
    return ans
    pass</t>
  </si>
  <si>
    <t xml:space="preserve">from math import *
def stop_time(n):
    count = 0
    while n &gt; 1:
        if n % 2 == 0:
            n = n //2
        else:
            n = 3*n + 1
        count = count + 1
    return count
print(stop_time(6))	
print(stop_time(1))
print(stop_time(26))
print(stop_time(27))	
print(stop_time(factorial(120)))	</t>
  </si>
  <si>
    <t xml:space="preserve">def stop_time(n):
    x = 0
    while n != 1:
        if n % 2 == 0:
            n = n // 2
            x = x + 1
        else:
            n = (n * 3) + 1
            x = x + 1
    return x
            </t>
  </si>
  <si>
    <t>def stop_time(n):
    i = 0
    while n &gt; 1:
        if n % 2 == 0:
            n //= 2
            i += 1
        else:
            n += ((2*n)+1)
            i += 1
    return i</t>
  </si>
  <si>
    <t>def stop_time(n):
    count=0
    while n!=1:
        count+=1
        if n%2==1:
            n*=3
            n+=1
        else:
            n//=2
    return count</t>
  </si>
  <si>
    <t xml:space="preserve">def stop_time(n):
    ans = 0
    if n == 1:
        s = 0
        return s
    while n != 1:
        if n % 2 == 0:
            s = n/2
            n = s
            ans += 1
        else:
            s = (3*n + 1)
            n = s
            ans += 1
    return ans
print(stop_time(27))
</t>
  </si>
  <si>
    <t xml:space="preserve">def stop_time(n):
    sum = 0
    while n!=1:
        if n%2 == 0:
            n= n/2
            sum+=1
        else:
            n= 3*n + 1
            sum+=1
    return sum
</t>
  </si>
  <si>
    <t>def stop_time(n):
   f = 0
   while 1 == 1:
       if n == 1:
           return f
       if n%2 == 0:    #even cycle
           n //= 2
           f += 1
       else: #odd cycle
           n = 3*n + 1
           f += 1</t>
  </si>
  <si>
    <t>def stop_time(n):
    x = 0
    while n != 1:
        if n % 2 == 1:
            n = (n * 3) + 1
            x += 1
        else:
            n /= 2
            x += 1
    return x</t>
  </si>
  <si>
    <t xml:space="preserve">def stop_time(n):
    ans = 0
    while n != 1:
        if n % 2 == 0:
             n = n / 2
             ans =  ans  + 1
        else:
            n = 3 * n + 1
            ans = ans + 1
    return ans
</t>
  </si>
  <si>
    <t>def stop_time(n):
    count=0
    while n!=1:
        if n%2==0:
            n=n//2
            count=count+1
        else:
            n=3*n+1
            count=count+1
    return count</t>
  </si>
  <si>
    <t>def stop_time(n):
    if n == 1:
        return 0
    a = 0
    while n != 1:
        if n % 2 == 0:
            n = n // 2
        else:
            n = (3 * n) + 1
        a += 1
    return a</t>
  </si>
  <si>
    <t>def stop_time(n):
    time = 0
    while n != 1:
        if n % 2 == 1:
            n = 3 * n + 1
            time += 1
        else:
            n //= 2
            time += 1
    return time</t>
  </si>
  <si>
    <t>import math
def stop_time(n):
    count=0
    while n!=1:
        if n%2==0:
            n=n//2
            count=count+1
        else:
            n=3*n+1
            count=count+1
        if n==1:
            count=count
    return count</t>
  </si>
  <si>
    <t>def consecutiveSum(a, b):
   sum = 0
   while a &lt;= b:
       sum = sum + a
       a = a+1
   ans = sum 
   return ans</t>
  </si>
  <si>
    <t>def consecutiveSum(a, b):
    #add your code below
    ans = 0
    for i in range(a, b+1):
        ans += i
    return ans</t>
  </si>
  <si>
    <t>def consecutiveSum(a, b):
    #add your code below
    ans = 0
    for count in range(b-a + 1):
        ans = ans + a
        a += 1
    return ans</t>
  </si>
  <si>
    <t>def consecutiveSum(a, b):
    ans = 0
    while a&lt;b+1:
        ans+=a
        a+=1
    return ans</t>
  </si>
  <si>
    <t>def consecutiveSum(a, b):
    x = a
    ans = 0
    while a &lt;= x &lt;= b:
        ans = ans + x
        x += 1#add your code below
    return ans</t>
  </si>
  <si>
    <t xml:space="preserve">def consecutiveSum(a, b):
    ans=0
    for count in range(a,b+1):
        ans+=count
    return ans
print(consecutiveSum(1, 10))
</t>
  </si>
  <si>
    <t>def consecutiveSum(a, b):
    #add your code below
    ans = 0
    for i in range (a, b+1):
     ans += i
    return ans</t>
  </si>
  <si>
    <t>def consecutiveSum(a, b):
    sum=0
    for count in range(a,b+1):
        sum=sum+count
        ans=sum
    return ans</t>
  </si>
  <si>
    <t>def consecutiveSum(a,b):
    ans = 0
    add = a
    for count in range(a,b+1):
        ans += add
        add += 1
    return ans</t>
  </si>
  <si>
    <t>def consecutiveSum(a,b):
    ans=0
    c=a
    for count in range(((b-a)+1)):
        ans=ans+c
        c=c+1
    return ans</t>
  </si>
  <si>
    <t>def consecutiveSum(a, b):
    #add your code below
    ans=0
    for count in range (a,b+1):
        ans=ans+count
    return ans</t>
  </si>
  <si>
    <t>def consecutiveSum(a, b):
    #add your code below
    ans=0
    for x in range(a,b+1):
        ans+=x
    return ans</t>
  </si>
  <si>
    <t>def consecutiveSum(a, b):
    sum = 0
    for i in range(a,b):
        sum = sum + i
    return sum+b</t>
  </si>
  <si>
    <t xml:space="preserve">def consecutiveSum(a,b):
    ans = 0
    while a &lt;= b:
        ans += a 
        a += 1    
    return ans
</t>
  </si>
  <si>
    <t xml:space="preserve">def consecutiveSum(a, b):
    ans = 0
    for num in range(a,b+1):
        ans = ans + num
    return ans
print(consecutiveSum(-20,10))
</t>
  </si>
  <si>
    <t>def consecutiveSum(a, b):
    ans=0
    for i in range(a,b+1):
        ans+=i
    return ans</t>
  </si>
  <si>
    <t>def consecutiveSum(a, b):
    ans = 0
    for i in range(a, b+1):
        ans += i
    return ans</t>
  </si>
  <si>
    <t xml:space="preserve">def consecutiveSum(a = 0, b = 0):
    sum = 0
    while a != b + 1:
        sum = sum + a
        a = a + 1
    return sum
</t>
  </si>
  <si>
    <t>def consecutiveSum(a, b):
    ans = 0
    i = a
    while i &lt; b:
        ans = ans + i
        i += 1
    return ans + b</t>
  </si>
  <si>
    <t>def consecutiveSum(a, b):
    total = 0
    while a &lt;= b :
        total = total + a
        a = a + 1
    return total</t>
  </si>
  <si>
    <t>def consecutiveSum(a, b):
    #add your code below
    x = a
    ans = 0
    for x in range(a,(b+1)):
        ans += x
    return ans</t>
  </si>
  <si>
    <t xml:space="preserve">def consecutiveSum(a, b):
    #add your code below
    sum = 0
    x = a 
    while x &lt;= b:
        sum = sum + x
        x = x + 1
    return sum
</t>
  </si>
  <si>
    <t>def consecutiveSum(a, b):
    i = a
    sum = 0
    while i &lt;= b:
        sum = sum + i
        i = i + 1
    return(sum)</t>
  </si>
  <si>
    <t>def consecutiveSum(a, b):
    ans = 0
    while a &lt; b + 1:
        ans = ans + a
        a += 1
    return ans</t>
  </si>
  <si>
    <t>def consecutiveSum(a, b):
    sum = 0
    add = a
    while add&lt;=b:
        sum = sum + add
        add = add + 1
    ans = sum
    #add your code below
    return ans</t>
  </si>
  <si>
    <t>def consecutiveSum(a, b):
    summ = 0 
    for x in range(a,b+1):
        summ += x
    ans = summ
    return ans</t>
  </si>
  <si>
    <t>def consecutiveSum(a, b):
    #add your code below
    ans = 0
    for i in range(a,b+1):
        ans += i
    return ans</t>
  </si>
  <si>
    <t>def consecutiveSum(a, b):
    ans = 0
    for i in range(a, b+1):
        ans += i
    return ans</t>
  </si>
  <si>
    <t>def consecutiveSum(a, b):
    ans=0
    for i in range(a,b+1):
        ans+= i
    return ans</t>
  </si>
  <si>
    <t>def consecutiveSum(a, b):
    #add your code below
    ans = 0
    while a &lt; b:
        ans = ans + a
        a = a + 1
    ans = ans + a
    return ans</t>
  </si>
  <si>
    <t>def consecutiveSum(a, b):
    ans = 0
    for x in range(a,b+1):
        ans += x
    return ans</t>
  </si>
  <si>
    <t xml:space="preserve">def consecutiveSum (a, b):
    ans = 0
    i = a
    while i &lt; b:
        ans = ans + i
        i = i + 1
    return ans + b
</t>
  </si>
  <si>
    <t>def consecutiveSum(a, b):
    ans = 0
    for i in range (a,b+1):
        ans += i
        i += 1
    return ans</t>
  </si>
  <si>
    <t>def consecutiveSum(a,b):
    sum = 0
    for i in range(a, b + 1,1):
        sum = sum + i
    return sum</t>
  </si>
  <si>
    <t>def consecutiveSum(a, b):
    ans = 0
    while a &lt; b+1:
        ans = ans + a
        a = a + 1
    return ans</t>
  </si>
  <si>
    <t>def consecutiveSum(a, b):
    ans=0
    for i in range (a,b+1):
        ans+=i
    return ans</t>
  </si>
  <si>
    <t xml:space="preserve">def consecutiveSum(a,b):
    x=(b-a)+1
    s=a
    i=a+1
    print (x)
    while i&lt;x+s:
        a=a+i
        i=i+1
        print (a)
    return a
</t>
  </si>
  <si>
    <t>def consecutiveSum(a, b):
    ans = 0
    for a in range(a, b + 1, 1):
        ans = ans + a
    return ans</t>
  </si>
  <si>
    <t>def consecutiveSum(a, b):
    sum = 0
    for i in range(a, b+1):
        sum += i
    return sum
    #add your code below</t>
  </si>
  <si>
    <t>def consecutiveSum(a, b):
    #add your code below
    sum = 0
    for i in range(a,b+1):
        sum += i
    return sum</t>
  </si>
  <si>
    <t xml:space="preserve">def consecutiveSum(a, b):
    ans = 0
    while a &lt; b+1:
        ans = ans + a
        a = a + 1
    return ans
</t>
  </si>
  <si>
    <t>def consecutiveSum(a, b):
    sum=0
    for i in range(a,b+1):
        sum+=i
    return sum</t>
  </si>
  <si>
    <t>def consecutiveSum(a, b):
    sum=0
    for i in range(a, b+1):
        sum+=i
    return sum</t>
  </si>
  <si>
    <t>def consecutiveSum(a, b):
    total = 0
    while a &lt;= b:
        total = total + a
        a = a + 1
    return total</t>
  </si>
  <si>
    <t xml:space="preserve">def consecutiveSum(a, b):
    sum = 0
    while a &lt;=b:
        sum = sum + a
        a= a + 1
    return sum
   </t>
  </si>
  <si>
    <t>def consecutiveSum(a, b):
    ans=0
    for i in range (a,b+1):
        ans+=i
    return ans</t>
  </si>
  <si>
    <t>def consecutiveSum(a, b):
    sum = 0
    while a &lt;= b:
        sum = sum + a
        a = a + 1            
    ans = sum
    return ans</t>
  </si>
  <si>
    <t>def consecutiveSum(a, b):
    #add your code below
    ans=0
    while a&lt;=b:
        ans=ans+a
        a=a+1
    return ans</t>
  </si>
  <si>
    <t xml:space="preserve">def consecutiveSum(a,b):
    sum=0
    i=a
    while i &lt;= b:
        sum=sum+i
        i=i+1
    return sum
</t>
  </si>
  <si>
    <t xml:space="preserve">def consecutiveSum(a, b):
    ans = a
    while a &lt; b:
        a += 1
        ans += a
    return ans
</t>
  </si>
  <si>
    <t>def consecutiveSum(a, b):
    ans = 0
    for i in range(a, (b+1)):
        ans = ans + i
    return ans</t>
  </si>
  <si>
    <t xml:space="preserve">def consecutiveSum(a, b):
    ans=0
    while a&lt;b+1:
        ans+=a
        a+=1
    return ans
    </t>
  </si>
  <si>
    <t>def consecutiveSum(a, b):
    ans = 0
    while a&lt;b+1 :
        ans = ans + a
        a += 1
    return ans</t>
  </si>
  <si>
    <t xml:space="preserve">def consecutiveSum(a, b):
    #add your code below
    ans = 0
    while a &lt; (b+1):
        ans = ans + a
        a = a + 1
    return ans
print(consecutiveSum(1,10))
</t>
  </si>
  <si>
    <t xml:space="preserve">def consecutiveSum(a, b):
    #add your code below
    ans = 0
    while a &lt; b + 1:
        ans = ans + a
        a += 1
    return ans
</t>
  </si>
  <si>
    <t>def consecutiveSum(a, b):
    #add your code below
    ans = 0
    for count in range(a, b+1):
        ans += count
    return ans</t>
  </si>
  <si>
    <t>def consecutiveSum(a, b):
    sum = 0
    for i in range(a, b+1):
        sum += i
    return sum</t>
  </si>
  <si>
    <t>def consecutiveSum(a, b):
    x=0
    z=0
    for count in range(a,b+1):
        z+=count
        x=count
        ans=z
    return ans</t>
  </si>
  <si>
    <t>def consecutiveSum(a, b):
    #add your code below
    ans=0
    for count in range(a,b+1):
        ans+=count
    return ans</t>
  </si>
  <si>
    <t xml:space="preserve">def consecutiveSum(a, b):
    ans=0
    for i in range(a,b+1):
      ans=ans+i  
    return ans
print(consecutiveSum(1, 10))
</t>
  </si>
  <si>
    <t>def consecutiveSum(a, b):
    #add your code below
    ans = 0
    for x in range (a,b+1,1):
        ans += x
    return ans</t>
  </si>
  <si>
    <t xml:space="preserve">
def consecutiveSum(a, b):
    ans = 0
    for count in range(b-a+1):
        ans = ans + a
        a += 1
    return ans
</t>
  </si>
  <si>
    <t>def consecutiveSum(a, b):
    ans = 0
    for i in range(a,b+1):
        ans = ans + i
    return ans</t>
  </si>
  <si>
    <t>def consecutiveSum(a, b):
    #add your code below
    ans=0
    for i in range(a,b+1):
        ans += i
        print(i)
    return ans</t>
  </si>
  <si>
    <t>def consecutiveSum(a, b):
    ans=0
    for count in range (a,b+1):
        ans=ans+count
    return ans</t>
  </si>
  <si>
    <t>def consecutiveSum(a, b):
    #add your code below
    ans=0
    for count in range(a,b+1):
        ans=count+ans
    return ans</t>
  </si>
  <si>
    <t>def consecutiveSum(a, b):
    x=0
    for count in range(a,b+1):
        x=x+count
    return x
print(consecutiveSum(1,10))</t>
  </si>
  <si>
    <t>def consecutiveSum(a, b):
    ans = 0
    for count in range(a, b+1):
        ans += count
    return ans</t>
  </si>
  <si>
    <t xml:space="preserve">def consecutiveSum(a, b):
    counter = a
    ans = 0
    while counter&lt;b+1:
        ans = ans+counter
        counter = counter+1
    return ans
x = consecutiveSum(1,10)
print(x)
</t>
  </si>
  <si>
    <t>def consecutiveSum(a, b):
    #add your code below
    summation=0
    for count in range(a,b):
        summation=summation+count
        count=count+1
    ans=summation+b
    return ans</t>
  </si>
  <si>
    <t>def consecutiveSum(a, b):
    x = 0
    while a &lt;= b:
        x = x + a
        a = a + 1
    return x</t>
  </si>
  <si>
    <t>def consecutiveSum(a, b):
    ans = 0
    for i in range(a,b+1):
        ans += i
    #add your code below
    return ans</t>
  </si>
  <si>
    <t xml:space="preserve">def consecutiveSum(a, b):
    sum = 0
    for i in range(a,b+1):
        sum += i        
    return sum
print(consecutiveSum(1,10))
</t>
  </si>
  <si>
    <t xml:space="preserve">def consecutiveSum(a, b):
    x = a
    times = -1
    y = 0
    if a == b:
        ans = 1
    else:
        'continue'
    while a&lt;b:
        times = times + 1
        y = y + times + x
        a = a + 1
        ans = y + b
    return ans
</t>
  </si>
  <si>
    <t>def consecutiveSum(a, b):
    sum = 0
    i = a
    while i &lt; b + 1:
        sum = sum + i
        i = i + 1
    ans = sum
    return ans</t>
  </si>
  <si>
    <t>def consecutiveSum(a, b):
    ans=0
    for x in range(a,b+1):
        ans+=x#add your code below
    return ans</t>
  </si>
  <si>
    <t>def consecutiveSum(a, b):
    sum=0
    while a &lt; (b+1):
        sum=sum+a
        a+=1
        ans=sum
    return ans</t>
  </si>
  <si>
    <t xml:space="preserve">def consecutiveSum(a, b):
    ans = 0
    i = a
    while i &lt; b :
        ans = ans + i
        i = i + 1
    return ans + b
print(consecutiveSum(1,10))
</t>
  </si>
  <si>
    <t xml:space="preserve">def consecutiveSum(a, b):
    sum = 0
    for i in range(a,b+1):
        sum += i
    return sum
    </t>
  </si>
  <si>
    <t>def consecutiveSum(a, b):
    #add your code below
    s = 0
    i = 0
    for i in range(a,b+1):
        s += i
    return s</t>
  </si>
  <si>
    <t>def consecutiveSum(a, b):
    ans = 0
    for num in range(a, b + 1):
        ans += num
    return ans</t>
  </si>
  <si>
    <t>def consecutiveSum(a, b):
    #add your code below
    ans = 0
    while a &lt; b+1:
        ans = ans + a
        a = a + 1
    return ans</t>
  </si>
  <si>
    <t>def consecutiveSum(a, b):
    y=a
    count=-1
    d=0
    while a&lt;b:
        count=count+1
        d=d+y+count
        a=a+1
    ans = d+b
    return ans</t>
  </si>
  <si>
    <t xml:space="preserve">def consecutiveSum(a,b):
    #add your code below
    ans=0
    for sum in range(a,b+1):
        ans= ans+sum
    return ans
</t>
  </si>
  <si>
    <t xml:space="preserve">def consecutiveSum(a,b):
    bweng = 0
    for number in range(a, b+1):
        bweng += number
        number += 1
    ans = bweng
    return ans
        </t>
  </si>
  <si>
    <t>def consecutiveSum(a, b):
    ans = 0
    for i in range(a, b+1):
        ans += i
    #add your code below
    return ans</t>
  </si>
  <si>
    <t xml:space="preserve">def consecutiveSum(a, b):
    #add your code below
    sum = 0
    i = a
    while i &lt;= b:   # Condition terminates when i = 0
        sum = sum + i
        i = i + 1
        ans=sum
    return ans
</t>
  </si>
  <si>
    <t>def consecutiveSumEven(a, b):
    sum = 0
    if a % 2 == 1:
        a = a+1
    elif b %2 == 1:
        b = b - 1
    while a &lt;= b:
        sum = sum + a
        a = a + 2
    ans = sum
    return ans</t>
  </si>
  <si>
    <t>def consecutiveSumEven(a, b):
    #add your code below
    ans = 0
    for i in range(a, b+1):
        ans += 0 if i%2 else i
    return ans</t>
  </si>
  <si>
    <t>def consecutiveSumEven(a, b):
    #add your code below\
    if a%2 != 0:
        a += 1
    if b%2 == 0:
        b += 1
    ans = 0
    for count in range(a,b,2):
        ans += count
    return ans</t>
  </si>
  <si>
    <t>def consecutiveSumEven(a, b):
    ans=0
    for i in range(a,b+1):
        if i%2==0:
            ans+=i
    return ans</t>
  </si>
  <si>
    <t>def consecutiveSumEven(a, b):
    ans = 0
    if int(a / 2) == a / 2:
        x = a
        while a &lt;= x &lt;= b:
            ans = ans + x
            x += 2
    else:
        x = a + 1
        while a &lt;= x &lt;= b:
            ans += x
            x += 2
    return ans</t>
  </si>
  <si>
    <t xml:space="preserve">def consecutiveSumEven(a, b):
    ans=0
    if a%2==1:
        for count in range(a+1,b+1,2):
            ans+=count
    else:
        for count in range(a,b+1,2):
            ans+=count
    return ans
</t>
  </si>
  <si>
    <t>def consecutiveSumEven(a, b):
    #add your code below
    ans = 0
    for i in range (a, b+1):
        if(i%2==0):
            ans += i
    return ans</t>
  </si>
  <si>
    <t>def consecutiveSumEven(a, b):
    sum=0
    if a%2 == 0:
        if b%2==0:
            for count in range(a,b+1,2):
                sum=sum+count
        else:
            b=b-1
            for count in range(a,b+1,2):
                sum=sum+count
    else:
        a=a+1
        if b%2==0:
            for count in range(a,b+1,2):
                sum=sum+count
        else:
            b=b-1
            for count in range(a,b+1,2):
                sum=sum+count
    ans=sum
    return ans</t>
  </si>
  <si>
    <t xml:space="preserve">def consecutiveSumEven(a,b):
    ans = 0
    if a % 2 == 1:
        a += 1
    for count in range(a,b+1,2):
        ans += count
    return ans
</t>
  </si>
  <si>
    <t xml:space="preserve">def consecutiveSumEven(a, b):
    if (a//2)*2==a and (b//2)*2==b:
        x=a
        ans=0
        for count in range(a,b+1,2):
            ans=ans+x
            x=x+2
    elif (a//2)*2!=a and (b//2)*2==b:
        x=a+1
        ans=0
        for count in range(a,b+1,2):
            ans=ans+x
            x=x+2
    elif (a//2)*2==a and (b//2)*2!=b:
        x=a
        ans=0
        for count in range(a,b,2):
            ans=ans+x
            x=x+2
    elif (a//2)*2!=a and (b//2)*2!=b:
        x=a+1
        ans=0
        for count in range(a,b,2):
            ans=ans+x
            x=x+2
    return ans
</t>
  </si>
  <si>
    <t>def consecutiveSumEven(a, b):
    #add your code below
    ans=0
    for count in range(a,b+1):
        if count%2==0:
            ans=ans+count
    return ans</t>
  </si>
  <si>
    <t>def consecutiveSumEven(a, b):
    #add your code below
    if a%2==1:
        a+=1
    ans=0
    for n in range(a,b+1,2):
        ans+=n
    return ans</t>
  </si>
  <si>
    <t xml:space="preserve">def consecutiveSumEven(a,b):
    sum=0
    if a%2==0:
        if b%2==0:
            for count in range(a,b+1,2):
                sum = sum+count
        else:
            b=b-1
            for count in range(a,b+1,2):
                sum=sum+count
    else:
        a=a+1
        if b%2==0:
            for count in range(a,b+1,2):
                sum=sum+count
        else:
            b=b-1
            for count in range(a,b+1,2):
                sum=sum+count
    ans = sum
    return ans
        </t>
  </si>
  <si>
    <t>def consecutiveSumEven(a,b):
    ans = 0
    if a%2==0 and b%2==0:
      for i in range(a,b+2,2):
             ans += i
        #print(ans)
    elif a%2!=0 and b%2!=0:
        for i in range(a+1,b+1,2):
            ans += i
        #print(ans)return ans
    elif a%2!=0 and b%2==0:
        for i in range(a+1,b+2,2):
            ans += i
        #print(ans)return ans
    else:
        for i in range(a,b+1,2):
            ans += i
    #print(ans)
    return ans</t>
  </si>
  <si>
    <t xml:space="preserve">def consecutiveSumEven(a, b):
    import math
    a = math.ceil(a)
    b = math.ceil(b)
    ans = 0
    if a%2 == 0:
        for num in range(a,b+1,2):
            ans = ans + num
    else:
        for num in range(a+1, b+1, 2):
            ans = ans + num
    return ans
</t>
  </si>
  <si>
    <t>def consecutiveSumEven(a, b):
    ans=0
    if a%2==0:
        for i in range(a,b+1,2):
            ans+=i
    else:
        for i in range(a+1,b+1,2):
            ans+=i
    return ans</t>
  </si>
  <si>
    <t>def consecutiveSumEven(a, b):
    ans = 0
    if a % 2 != 0:
        a += 1
    if b % 2 != 0:
        b -= 1
    for i in range (a,b+1,2):
        ans += i
    return ans</t>
  </si>
  <si>
    <t xml:space="preserve">def consecutiveSumEven(a = 0, b = 0):
    sum = 0
    if a % 2 == 0:
        for x in range(a,b + 1,2):
            sum = sum + x
        return sum
    else:
        c = a + 1
        for x in range(c,b + 1,2):
            sum = sum + x
        return sum
        </t>
  </si>
  <si>
    <t>def consecutiveSumEven(a, b):
    return sum(i for i in range(a, b + 1) if i % 2 == 0)</t>
  </si>
  <si>
    <t>def consecutiveSumEven(a, b):
    total = 0
    while a &lt;= b :
        if a % 2 == 0 :
            total = total + a
            a = a + 1
        else :
            a = a + 1
            continue
    return total</t>
  </si>
  <si>
    <t>def consecutiveSumEven(a, b):
    #add your code below
    if a % 2 == 1:
        a += 1
    ans = 0
    toAdd = a
    for toAdd in range(a,(b+1),2):
        ans += toAdd
    return ans</t>
  </si>
  <si>
    <t>def consecutiveSumEven(a, b):
    #add your code below
    sum = 0
    for i in range(a, b+1):
        if i%2==0:
            sum+=i
    return sum</t>
  </si>
  <si>
    <t>def consecutiveSumEven(a, b):
    if a % 2 != 0:
        one = a + 1
        if one &gt; b:
            return 0
        elif b % 2 != 0:
            sum = one
            i = sum + 2
            while i &lt;= b - 1:
                sum += i
                i += 2
            return sum
        else:
            i = one + 2
            two = one
            while  i &lt;= b:
                two += i
                i = i + 2
            return two
    else:
        sum = a
        i = a + 2
        if a &gt; b:
            return 0
        elif b % 2 != 0:
            while i &lt;= b - 1:
                sum += i
                i += 2
            return sum
        else:
            while  i &lt;= b:
                sum += i
                i = i + 2
            return sum</t>
  </si>
  <si>
    <t>def consecutiveSumEven(a, b):
    ans = 0
    if int(a / 2) == a / 2:
        while a &lt; b + 1:
            ans = ans + a
            a += 2
    else:
        a += 1
        while a &lt; b + 1:
            ans = ans + a
            a += 2
    return ans</t>
  </si>
  <si>
    <t xml:space="preserve">def consecutiveSumEven(a, b):
    sum = 0
    if a%2==0:
        for i in range(a,b+1,2):
            sum = sum + i
    else:
        for i in range(a+1,b+1,2):
            sum = sum + i
    return sum
</t>
  </si>
  <si>
    <t>def consecutiveSumEven(a, b):
    ans = 0
    for x in range(a,b+1):
        if x % 2 == 0:
            ans += x
    return ans</t>
  </si>
  <si>
    <t>def consecutiveSumEven(a, b):
    #add your code below
    ans = 0
    for i in range(a,b+1):
        if i % 2 == 0:
            ans += i
    return ans</t>
  </si>
  <si>
    <t>def consecutiveSumEven(a, b):
    ans=0
    for i in range(a,b+1):
        if i%2==0:
            ans+=i
    return ans</t>
  </si>
  <si>
    <t>def consecutiveSumEven(a, b):
    #add your code below
    ans = 0
    if a % 2 == 1:
        a = a+1
        while a &lt; b+1:
            ans = ans + a
            a = a+2
    else:
        while a &lt; (b+1):
            ans = ans + a
            a = a+2
    return ans</t>
  </si>
  <si>
    <t>def consecutiveSumEven(a, b):
    ans=0
    if a%2 != 0 :
        a += 1
    for v in range(a,b+1,2):
     ans += v
    return ans</t>
  </si>
  <si>
    <t>def consecutiveSumEven(a, b):
    ans=0
    if a%2==1:
        for count in range(a+1,b+1,2):
            ans+=count
    else:
        for count in range(a,b+1,2):
            ans+=count
    return ans</t>
  </si>
  <si>
    <t xml:space="preserve">def consecutiveSumEven(a, b):
    ans = 0
    for v in range (a,b+1):
        if v % 2 == 0:
            ans += v
        else:
            ans = ans
        v += 1       
    return ans
</t>
  </si>
  <si>
    <t>def consecutiveSumEven(a, b):
    sum = 0
    for i in range(a,b+1):
        if i % 2 == 0:
            sum = sum + i
    return sum</t>
  </si>
  <si>
    <t>def consecutiveSumEven(a, b):
    ans = 0
    if a % 2 != 0:
        a = a + 1
    else:
        a = a + 0
    while a &lt; b+1:
        ans = ans + a
        a = a + 2
    return ans</t>
  </si>
  <si>
    <t>def consecutiveSumEven(a, b):
    ans=0
    if a%2==0:
        for i in range (a,b+1,2):
            ans+=i
        return ans
    else:
        for i in range (a+1,b+1,2):
            ans+=i
        return ans</t>
  </si>
  <si>
    <t xml:space="preserve">def consecutiveSumEven(a, b):
    if a%2==0 and b%2==0:
        s=0
        for n in range (a,b+1,2):
            n=n+s
            s=n
    elif a%2==0:
        s=0
        for n in range (a,b,2):
            n=n+s
            s=n
    elif b%2==0:
        s=0
        for n in range (a+1,b+1,2):
            n=n+s
            s=n
    else:
        s=0
        for n in range (a+1,b,2):
            n=n+s
            s=n
    return n
</t>
  </si>
  <si>
    <t>def consecutiveSumEven(a, b):
    ans = 0
    if a % 2 == 1:
        a = a + 1
    for a in range(a, b + 1, 2):
        ans = ans + a
    return ans</t>
  </si>
  <si>
    <t xml:space="preserve">
def consecutiveSumEven(a, b):
    #add your code below
    sum = 0
    if a % 2 == 0:
        for i in range(a, b+1, 2):
            sum += i
    else:
        for i in range(a+1, b+1, 2):
            sum += i
    return sum</t>
  </si>
  <si>
    <t>def consecutiveSumEven(a, b):
    ans = 0
    for i in range(a,b+1):
        if i%2 == 0:
            ans += i#add your code below    
    return ans</t>
  </si>
  <si>
    <t xml:space="preserve">def consecutiveSumEven(a, b):
    ans = 0
    if a % 2 != 0:
        a = a + 1
    while  a &lt;= b:
        ans = ans + a
        a = a + 2
    return ans
</t>
  </si>
  <si>
    <t xml:space="preserve">def consecutiveSumEven(a, b):
    sum=0
    a=(a-1)//2*2+2
    print(a)
    for i in range(a,b+1,2):
        sum+=i
    return sum
</t>
  </si>
  <si>
    <t>def consecutiveSumEven(a, b):
    sum=0
    if a%2==0:
        for i in range(a, b+1, 2):
            sum+=i
    else:
        for i in range(a+1, b+1, 2):
            sum+=i
    return sum</t>
  </si>
  <si>
    <t xml:space="preserve">def consecutiveSumEven(a, b):
    total = 0
    if a % 2 != 0:
        a = a + 1
    while a &lt;= b:
        total = total + a
        a = a + 2
    return total
</t>
  </si>
  <si>
    <t>def consecutiveSumEven(a, b):
    #add your code below
    ans=0
    for i in range (a,b+1):
        if i%2==0:
            ans+=i
    return ans</t>
  </si>
  <si>
    <t>def consecutiveSumEven(a, b):
    if a % 2 == 0:
        a = a
    else:
        a = a + 1
    if b % 2 == 0:
        b = b
    else:
        b = b - 1
    sum = 0
    while a &lt;= b:
        sum = sum + a
        a = a + 2
    ans = sum
    return ans</t>
  </si>
  <si>
    <t>def consecutiveSumEven(a, b):
    #add your code below
    if a%2!=0:
        a=a+1
    else:
        a=a
    anss=0
    for a in range(a,b,2):
        anss=anss+a
        a=a+1
    if b%2!=0:
        ans=anss
    else:
        ans=anss+b
    return ans</t>
  </si>
  <si>
    <t xml:space="preserve">def consecutiveSumEven(a, b):
    ans=0
    if a%2==1:
        a=a+1
    for number in range(a,b+1,2):
        ans=ans+number
    return ans
</t>
  </si>
  <si>
    <t>def consecutiveSumEven(a, b):
    #add your code below
    if a%2!=0:
        a=a+1
    if b%2!=0:
        b=b-1
    ans=0
    while a&lt;=b:
        ans=ans+a
        a=a+2
    return ans</t>
  </si>
  <si>
    <t>def consecutiveSumEven(a, b):
    ans = 0
    if a%2 == 0:
        for count in range(a,b+1,2):
            ans = ans+count
    else:
        for count in range(a+1,b+1,2):
            ans = ans+count
    return ans</t>
  </si>
  <si>
    <t>def consecutiveSumEven(a, b):
    #add your code below
    ans = 0
    if a%2 != 0:
        for i in range(a+1,b+1,2):
            ans+= i
    elif a%2 == 0:
        for i in range(a,b+1,2):
            ans += i
    return ans</t>
  </si>
  <si>
    <t>def consecutiveSumEven(a, b):
    ans = 0
    if a % 2 != 0:
        a = a + 1
    for i in range(a, (b + 1), 2):
        ans = ans + i
    return ans</t>
  </si>
  <si>
    <t xml:space="preserve">def consecutiveSumEven(a, b):
    ans=0
    if a%2==0:
        while a&lt;b+1:
            ans+=a
            a+=2
    else:
        a+=1
        while a&lt;b+1:
            ans+=a
            a+=2
    return ans
</t>
  </si>
  <si>
    <t>def consecutiveSumEven(a, b):
    ans = 0
    if (a % 2) == 1:
        x = a + 1
        while (x) &lt; b+1:
            ans += x
            x += 2
        return ans
    else:
        while a &lt; b+1:
            ans += a
            a += 2
        return ans</t>
  </si>
  <si>
    <t>def consecutiveSumEven(a, b):
    if a % 2 == 1:
        a = a +1
    if b % 2 == 1:
        b = b - 1
    ans = 0
    while a &lt;= (b):
        ans = ans + a
        a = a + 2
    return ans</t>
  </si>
  <si>
    <t xml:space="preserve">def consecutiveSumEven(a, b):
    ans = 0
    if int(a / 2) == a / 2:
        while a &lt; b + 1:
            ans = ans + a
            a += 2
    else:
        a += 1
        while a &lt; b + 1:
            ans = ans + a
            a += 2
    return ans
</t>
  </si>
  <si>
    <t>def consecutiveSumEven(a, b):
    if a % 2 != 0:
        a += 1
    if b % 2 == 0:
        b += 1
    ans = 0
    for count in range(a, b, 2):
        ans += count
    return ans</t>
  </si>
  <si>
    <t>def consecutiveSumEven(a, b):
    sum = 0
    for i in range(a, b+1):
        if i%2==0:
            sum+=i          
    return sum</t>
  </si>
  <si>
    <t xml:space="preserve">def consecutiveSumEven(a, b):
    x=0
    if a%2 ==1:
        a=a+1
    for a in range(a,b,2):
        x=x+a
        a=a+1
    if b%2 ==1:
        ans=x
    else:
        ans=x+b
    return ans
    </t>
  </si>
  <si>
    <t>def consecutiveSumEven(a, b):
    #add your code below
    ans=0
    if a%2!=0:
        a+=1
    for count in range(a,b+1,2):
        ans+=count
    return ans</t>
  </si>
  <si>
    <t>def consecutiveSumEven(a, b):
    ans=0
    if a %2!=0:
        a=a+1
    else:
        a==a
    for i in range(a,b+1,2):
        ans=ans+i
    return ans</t>
  </si>
  <si>
    <t>def consecutiveSumEven(a, b):
    #add your code below
    ans = 0
    if a % 2 == 0:
        for x in range (a , b+1, 2):
            ans += x
    else:
        for x in range (a+1, b+1, 2):
            ans += x
    return ans</t>
  </si>
  <si>
    <t xml:space="preserve">def consecutiveSumEven(a, b):
    ans = 0
    if a % 2 != 0:
        a += 1
    if b % 2 != 0:
        b += 1
    else:
        b+= 2
    for v in range(a,b,2):
        ans += v
    return (ans)
consecutiveSumEven(2, 10)
</t>
  </si>
  <si>
    <t>def consecutiveSumEven(a, b):
    ans = 0
    if a%2 == 1:
        a += 1
    for i in range(a,b+1,2):
        ans = ans + i
    return ans</t>
  </si>
  <si>
    <t>def consecutiveSumEven(a, b):
    #add your code below
    ans=0
    if a % 2 != 0:
        a+=1
    for i in range(a,b+1,2):
        ans += i
        print(i)
    return ans</t>
  </si>
  <si>
    <t xml:space="preserve">def consecutiveSumEven(a, b):
    ans=0
    if a%2!=0:
        a=a+1
    if b%2!=0:
        b=b-1
    for count in range (a,b+1,2):
        ans=count+ans
    return ans    </t>
  </si>
  <si>
    <t>def consecutiveSumEven(a, b):
    #add your code below
    ans=0
    if a%2==0 and b%2==0:
        for count in range(a,b+1,2):
            ans=count+ans
    elif a%2==1 and b%2==0:
        for count in range(a+1,b+1,2):
            ans=count+ans
    elif a%2==0 and b%2==1:
        for count in range(a,b,2):
            ans=count+ans
    else:
        for count in range(a+1,b,2):
            ans=ans+count
    return ans</t>
  </si>
  <si>
    <t xml:space="preserve">def consecutiveSumEven(a, b):
    x=0
    c=a%2
    d=b%2
    if c!=0:
        a=a+1
    if d!=0:
        b=b-1
    for count in range(a,b+1,2):
            x=x+count
    return x
print(consecutiveSumEven(2,10))
</t>
  </si>
  <si>
    <t>def consecutiveSumEven(a, b):
    ans = 0
    for i in range(a, b+1,2):
        if i%2 != 1:
            ans += i
        elif (i+1)%2 != 1 and i+1 &lt; b+1:
            ans += (i+1)
    return ans</t>
  </si>
  <si>
    <t xml:space="preserve">def consecutiveSumEven(a, b):
    ans = 0
    if a%2 == 0:
        counter = a
        while counter&lt;b+1:
            ans = ans+counter
            counter = counter+2
    else:
        counter = a+1
        while counter&lt;b+1:
            ans = ans+counter
            counter = counter+2
    return ans
</t>
  </si>
  <si>
    <t>def consecutiveSumEven(a, b):
    #add your code below
    sum1=0
    if a%2==1:
        a=a+1
    for count in range(a,b,2):
        sum1=sum1+count
    if b%2==0:
        sum1=sum1+b
    ans=sum1
    return ans</t>
  </si>
  <si>
    <t>def consecutiveSumEven(a, b):
    ans = 0
    if int(a / 2) == a / 2:
        while a &lt; b + 1:
            ans = ans + a
            a += 2
    else:
        a += 1
        while a &lt; b + 1:
            ans = ans + a
            a += 2
    return ans</t>
  </si>
  <si>
    <t>def consecutiveSumEven(a, b):
    ans = 0
    for i in range(a,b+1):
        if i % 2 == 0:
            ans += i
    #add your code below
    return ans</t>
  </si>
  <si>
    <t>def consecutiveSumEven(a, b):
    sum  = 0
    if a % 2 != 0:
        a = a +1
    for i in range(a,b+1,2):
        sum += i
    return sum</t>
  </si>
  <si>
    <t xml:space="preserve">def consecutiveSumEven(a, b):
    if a%2 == 0:
        x = a
        ans = 0
        times = -2
        while a &lt; b + 1:
            times = times + 2 
            ans = ans + x + times
            a = a + 2
        return ans
    else:
        a = a + 1
        y = a
        ans = 0
        times2 = -2
        while a &lt; b + 1:
            times2 = times2 + 2
            ans = ans + y + times2
            a = a + 2
        return ans
print(consecutiveSumEven(2, 10))
</t>
  </si>
  <si>
    <t xml:space="preserve">def consecutiveSumEven(a, b):
    if a % 2 == 0:
        sum = 0
        while a &lt; b + 1:
            sum = sum + a
            a = a + 2
        ans = sum
    else:
        sum = 0
        while a + 1 &lt; b + 1:
            sum = sum + a + 1
            a = a + 2
        ans = sum
    return ans
print(consecutiveSumEven(3,5))
</t>
  </si>
  <si>
    <t>def consecutiveSumEven(a, b):
    ans=0
    if (a%2)==1:
        a+=1
    for v in range(a,b+1,2):
        ans += v
    return ans</t>
  </si>
  <si>
    <t>def consecutiveSumEven(a, b):
    sum=0
    if a % 2 == 0:
        while a&lt;b+1:
            sum=sum+a
            a=a+2
        return sum
    else:
        x=a+1
        while x&lt;b+1:
            sum=sum+x
            x=x+2
        return sum</t>
  </si>
  <si>
    <t xml:space="preserve">def consecutiveSumEven(a, b):
    ans = 0
    for i in range(a, b + 1): 
        if i % 2 == 0: 
            x = i
        else: 
            x = 0
        ans += x
    return ans
ans = consecutiveSumEven(2, 10)
print (ans)
</t>
  </si>
  <si>
    <t xml:space="preserve">def consecutiveSumEven(a, b):
    ans = 0
    if a %2 == 0 and b % 2 == 0:
        i = a
        while i &lt;= b :
            ans = ans + i
            i = i + 2
        return ans
    elif a%2==0 and b%2==1:
        i = a
        b = b-1
        while i &lt;= b :
            ans = ans + i
            i = i + 2
        return ans
    elif a%2==1 and b%2==0:
        i = a + 1
        b = b
        while i &lt;= b :
            ans = ans + i
            i = i + 2
        return ans
    else:
        i = a + 1
        b = b - 1
        if i!=b:
            while i &lt;= b :
                ans = ans + i
                i = i + 2
                return ans
        if i == b:
            return ans + b
print(consecutiveSumEven(4,13))
</t>
  </si>
  <si>
    <t>def consecutiveSumEven(a, b):
    ans = 0
    for i in range(a,b+1):
        if i%2 == 0:
            ans += i
    return ans</t>
  </si>
  <si>
    <t>def consecutiveSumEven(a, b):
    #add your code below
    s = 0
    i = 0
    if a%2!=0:
        a += 1
    for i in range(a,b+1,2):
        s += i
    return s</t>
  </si>
  <si>
    <t>def consecutiveSumEven(a, b):
    ans = 0
    for num in range(a, b + 1):
        if num % 2 == 0:
            ans += num
    return ans</t>
  </si>
  <si>
    <t>def consecutiveSumEven(a, b):
    #add your code below
    if a % 2 != 0:
        a = a + 1
    else: 
        a = a
    if b % 2 != 0:
        b = b - 1
    else:
        b = b 
    ans = 0
    while a &lt; b + 1:
        ans = ans + a
        a = a + 2
    return ans</t>
  </si>
  <si>
    <t xml:space="preserve">def consecutiveSumEven(a, b):
    if a%2==0:
        c=a
        ans=0
        count=-2
        while a&lt;b+1:
            count=count+2
            ans=ans+c+count
            a=a+2
    else:
        a=a+1
        c=a
        ans=0
        count=-2
        while a&lt;b+1:
            count=count+2
            ans=ans+c+count
            a=a+2
    return ans
</t>
  </si>
  <si>
    <t>def consecutiveSumEven(a, b):
    if a % 2 == 0:
        ap = a
    else:
        ap = a + 1
    if b % 2 == 0:
        an = b+1
    else:
        an = b
    ans = 0
    while ap &lt; an:
        ans = ans + ap
        ap = ap + 2
    return ans</t>
  </si>
  <si>
    <t xml:space="preserve">def consecutiveSumEven(a, b):
    #add your code below
    if a % 2 != 0:
        a = a + 1
    if b % 2 != 0:
        b = b - 1
    bweng = 0
    for a in range(a, b+ 1
                   , 2):
        bweng += a
    ans = bweng
    return ans
</t>
  </si>
  <si>
    <t>def consecutiveSumEven(a, b):
    ans = 0
    for i in range(a, b+1):
        if (i % 2 == 0):
            ans += i    
    return ans</t>
  </si>
  <si>
    <t>def consecutiveSumEven(a, b):
    #add your code below
    if a%2==0:
        a=a
    else:
        a=a+1
    if b%2==0:
        b=b
    else:
        b=b-1
    sum = 0
    i = a
    while i &lt;= b:   # Condition terminates when i = 0
        sum = sum + i
        i = i + 2
        ans=sum
    return ans</t>
  </si>
  <si>
    <t>def smallestNsq(K):
    n = 0
    while n * n &lt;= K:
        n = n + 1
    ans = n
    return ans</t>
  </si>
  <si>
    <t>def smallestNsq(K):
    n = 1
    while n**2 &lt;= K:
        n += 1
    return n</t>
  </si>
  <si>
    <t>def smallestNsq(K):
    ans = 1
    while not(ans**2 &gt; K):
        ans += 1
    return ans</t>
  </si>
  <si>
    <t>def smallestNsq(K):
    ans = 0
    while ans * ans &lt;= K:
        ans += 1
    return ans</t>
  </si>
  <si>
    <t xml:space="preserve">def smallestNsq(K):
    n = 1
    while n ** 2 &lt;= K:
        n += 1
    ans = n
    return ans
</t>
  </si>
  <si>
    <t>def smallestNsq(K):
    i=0
    while i**2 &lt;K+1:
        i=i+1
    return i</t>
  </si>
  <si>
    <t>def smallestNsq(K):
    import math
    x=0
    while(x*x&lt;=K):
        x=x+1
    ans=x
    return ans</t>
  </si>
  <si>
    <t>def smallestNsq(K):
    if K&gt;0:
        n=0
        while n**2&lt;=K:
            n=n+1
        ans=n
    return ans</t>
  </si>
  <si>
    <t>def smallestNsq(K):
    n = 1
    while (n ** 2) &lt;= K:
        n += 1
    ans = n
    return ans</t>
  </si>
  <si>
    <t>import math
def smallestNsq(K):
    x=int(math.sqrt(K))
    ans=x+1
    return ans</t>
  </si>
  <si>
    <t>def smallestNsq(K):
    ans=0
    n=0
    while K&gt;=n**2:
        n+=1
        ans+=1
    return ans</t>
  </si>
  <si>
    <t>def smallestNsq(K):
    ans=0
    while ans**2&lt;=K:
        ans+=1
    return ans</t>
  </si>
  <si>
    <t>def smallestNsq(K):
    ans = 0
    while ans**2 &lt;= K:
        ans = ans+1
    return ans</t>
  </si>
  <si>
    <t>def smallestNsq(K):
    ans = 0
    while ans**2 &lt;= K:
        ans = ans+1
    return ans</t>
  </si>
  <si>
    <t>def smallestNsq(K):
    n = 1
    while n**2 &lt;= K:
        n = n + 1
    ans = n
    return ans</t>
  </si>
  <si>
    <t>def smallestNsq(K):
    n=0
    while n*n&lt;=K:
        n+=1
    ans=n
    return ans</t>
  </si>
  <si>
    <t xml:space="preserve">def smallestNsq(K):
    n = 1
    while n**2 &lt;= K:
        if (n + 1)**2 &gt; K:
            return (n + 1)
        else:
            n = n + 1
</t>
  </si>
  <si>
    <t>def smallestNsq(K):
    n = 0
    while n * n &lt;= K:
        n += 1
    ans = n
    return ans</t>
  </si>
  <si>
    <t>def smallestNsq(K):
    if K &gt; 0 :
        n = 1
        while K &gt;= n ** 2 :
            n = n + 1
    else :
        n = 0
    return n</t>
  </si>
  <si>
    <t>def smallestNsq(K):
    ans = 1
    while (ans**2)&lt;=K:
        ans += 1
    return ans</t>
  </si>
  <si>
    <t>def smallestNsq(K):
    n = 0
    while n * n &lt; K + 1:
        n += 1
    return n</t>
  </si>
  <si>
    <t>def smallestNsq(K):
    a = 1
    number = 1
    while number &lt;= K:
        a += 1
        number = a * a
    return a</t>
  </si>
  <si>
    <t>def smallestNsq(K):
    n = 1
    while n ** 2 &lt;= K:
        n += 1
        ans = n
    return ans</t>
  </si>
  <si>
    <t>def smallestNsq(K):
    n = 1
    while n**2&lt;=K:
        n+=1
    return n</t>
  </si>
  <si>
    <t xml:space="preserve">def smallestNsq(K):
    n = 0
    while n ** 2 &lt;= K:
        n += 1
    ans = n
    return ans
print(smallestNsq(50))
</t>
  </si>
  <si>
    <t>def smallestNsq(K):
    ans = 0
    while ans ** 2 &lt;= K:
        ans += 1
    return ans</t>
  </si>
  <si>
    <t>def smallestNsq(K):
    if K&lt;0:
        return 0
    n=0
    while n**2 &lt;= K:
        n+=1
    return n</t>
  </si>
  <si>
    <t>def smallestNsq(K):
    ans = 0
    n = 0
    while n**2 &lt; (K+1):
        n = n+1
        ans = ans + 1
    return ans</t>
  </si>
  <si>
    <t>def smallestNsq(K):
    n = 1
    while n*n &lt;= K:
     n = n + 1
    ans = n
    return ans</t>
  </si>
  <si>
    <t>def smallestNsq(K):
    n = 1
    while n ** 2 &lt;= K:
        n += 1
    ans = n
    return ans</t>
  </si>
  <si>
    <t>def smallestNsq(K):
    sum = 1
    i = 1
    while i ** 2 &lt;= K:
        sum = sum + 1
        i = i + 1
    return sum</t>
  </si>
  <si>
    <t>def smallestNsq(K):
    a = 0
    while a*a &lt;= K:
        a = a + 1
        ans = a
    return ans</t>
  </si>
  <si>
    <t>def smallestNsq(K):
    n=0
    while n**2&lt;=K:
        ans=n
        n+=1
    return ans+1</t>
  </si>
  <si>
    <t xml:space="preserve">def smallestNsq(K):
    n=1
    while n**2&lt;=K:
        n+=1
    return n
</t>
  </si>
  <si>
    <t>def smallestNsq(K):
    ans = 1
    while ans ** 2 &lt;= K:
        ans = ans + 1
    return ans</t>
  </si>
  <si>
    <t xml:space="preserve">def smallestNsq(K):
    sum = 0
    n = 0
    while n ** 2 &lt; K + 1:
        n = n + 1
        sum = sum + 1
    return sum
</t>
  </si>
  <si>
    <t>def smallestNsq(K):
    ans = 1
    while ans*ans&lt;=K:
        ans += 1 
    return ans</t>
  </si>
  <si>
    <t xml:space="preserve">def smallestNsq(K):
    ans = 1
    while ans ** 2 &lt;= K:
        ans = ans + 1
    return ans
</t>
  </si>
  <si>
    <t>def smallestNsq(K):
    n=0
    while(n*n&lt;=K):
        n+=1
    return n</t>
  </si>
  <si>
    <t>def smallestNsq(K):
    n=0
    while n**2&lt;=K:
        n+=1
    return n</t>
  </si>
  <si>
    <t>def smallestNsq(K):
    ans = 0
    while ans ** 2 &lt;= K:
        ans = ans + 1
    return ans</t>
  </si>
  <si>
    <t>def smallestNsq(K):
    n=0
    while n**2 &lt;=K:
        n+=1
    ans=n
    return ans</t>
  </si>
  <si>
    <t>def smallestNsq(K):
    import math
    krt = math.floor(math.sqrt(K))
    ans = krt + 1
    return ans</t>
  </si>
  <si>
    <t>def smallestNsq(K):
    n=1
    while n**2&lt;=K:
        n=n+1
    ans=n
    return ans</t>
  </si>
  <si>
    <t>def smallestNsq(K):
    tobesq=0
    while tobesq**2&lt;=K:
        tobesq=tobesq+1
    return tobesq</t>
  </si>
  <si>
    <t>def smallestNsq(K):
    n=0
    while n*n &lt;= K:
        n=n+1
        ans=n
    return ans</t>
  </si>
  <si>
    <t>def smallestNsq(K):
    ans = 0
    if K &lt; 0:
      ans = ("Enter a positive integer")
    if K &gt; 0:
      while ans * ans &lt;= K:
        ans = ans + 1
    return ans</t>
  </si>
  <si>
    <t xml:space="preserve">def smallestNsq(K):
    ans = 1
    while ans**2 &lt;= K:
        ans += 1
    return ans
</t>
  </si>
  <si>
    <t>def smallestNsq(K):
    n = 0
    while n**2 &lt;= K:
        n = n + 1
    ans = n    
    return ans</t>
  </si>
  <si>
    <t>def smallestNsq(K):
    ans = 1
    while ans &lt;= (K ** (1/2)):
        ans +=1
    return ans</t>
  </si>
  <si>
    <t>def smallestNsq(K):
    n = K
    while n ** 2 &gt; K+1:
        n = n - 1
    ans = n +1   
    return ans</t>
  </si>
  <si>
    <t>def smallestNsq(K):
    n = 1
    while n**2 &lt;= K:
        n += 1
    ans = n
    return ans</t>
  </si>
  <si>
    <t>def smallestNsq(K):
    n = 1
    while n*n &lt;= K:
        n += 1
    ans = n
    return ans</t>
  </si>
  <si>
    <t>def smallestNsq(K):
    n=0
    x=0
    while K&gt;=x:
        x=n*n
        n=n+1
    ans=n-1
    return ans</t>
  </si>
  <si>
    <t>def smallestNsq(K):
    n=1
    while n**2&lt;=K:
        n+=1
    return n</t>
  </si>
  <si>
    <t>def smallestNsq(K):
    i=0
    while i**2&lt;K :
        ans=i+1
        i=i+1
    if ans**2==K:
        ans=ans+1
    return ans</t>
  </si>
  <si>
    <t>def smallestNsq(K):
    n = 0
    ans = 0
    while n ** 2 &lt;= K:
        n += 1
        ans = n 
    return ans</t>
  </si>
  <si>
    <t>def smallestNsq(K):
    n =1
    while n**2 &lt;= K:
        n = n + 1
    return n</t>
  </si>
  <si>
    <t>def smallestNsq(K):
    ans = 0
    while ans**2 &lt;= K:
        ans = ans + 1
    return ans</t>
  </si>
  <si>
    <t>def smallestNsq(K):
    n = 1
    while n**2 &lt;= K:
        n=n+1
    ans=n
    return ans</t>
  </si>
  <si>
    <t>def smallestNsq(K):
    ans=0
    while ans**2&lt;=K:
        ans=ans+1
    return ans</t>
  </si>
  <si>
    <t>def smallestNsq(K):
    ans=0
    while (ans**2)&lt;=K:
        ans=ans+1
    return ans</t>
  </si>
  <si>
    <t>def smallestNsq(K):
    n=1
    while K&gt;=(n**2):
        n=n+1
    return n
print(smallestNsq(50))</t>
  </si>
  <si>
    <t>def smallestNsq(K):
    ans = 1
    while ans**2 &lt;= K:
        ans += 1
    return ans
print(smallestNsq(50))</t>
  </si>
  <si>
    <t>def smallestNsq(K):
    ans = 1
    while ans**2&lt;K+1:
        ans = ans+1 
    return ans</t>
  </si>
  <si>
    <t xml:space="preserve">
def smallestNsq(K):
    if K**0.5==int(K**0.5):
        ans=K**0.5+1
    else:
        while K**0.5-int(K**0.5)&gt;0:
            K=K+1
        ans=K**0.5
    return ans    </t>
  </si>
  <si>
    <t xml:space="preserve">def smallestNsq(K):
    x = 0
    ans = 0
    while x**2 &lt;= K:
        x = x + 1
    else:
        ans = x
    return ans
</t>
  </si>
  <si>
    <t>def smallestNsq(K):
    n = 0
    ans = 0
    while K&gt;=n**2:
        n = n + 1
        ans = n
    return ans</t>
  </si>
  <si>
    <t>def smallestNsq(K):
    n = 0
    while  (n*n&lt;=K):
        n = n + 1
    return n</t>
  </si>
  <si>
    <t>def smallestNsq(K):
    n = 0
    while n*n&lt;=K:
        n=n+1
    return n</t>
  </si>
  <si>
    <t xml:space="preserve">def smallestNsq(K):
    n = 0
    while (n+1) ** 2 &lt;= K :
        n = n + 1
    x = n + 1
    ans = x
    return ans
</t>
  </si>
  <si>
    <t>def smallestNsq(K):
    i = 0
    while (i**2) &lt;= K:
        i = i+1
    ans = i
    return ans</t>
  </si>
  <si>
    <t xml:space="preserve">def smallestNsq(K):
    ans = 1
    n = 1
    while n*n &lt;= K :
        ans = ans * n
        n = n + 1
    return n
print(smallestNsq(50))
</t>
  </si>
  <si>
    <t>def smallestNsq(K):
    i= 1
    while i**2&lt;=K:
        i = i + 1
    return i</t>
  </si>
  <si>
    <t>def smallestNsq(K):
    i = 1
    while i**2&lt;=K:
        i += 1
        s = i
    return s</t>
  </si>
  <si>
    <t xml:space="preserve">def smallestNsq(K):
    ans  = 0
    while K &gt;= ans ** 2:
        ans = ans + 1
    return ans </t>
  </si>
  <si>
    <t>def smallestNsq(K):
    n=0
    while n*n&lt;=K:
        n=n+1
    return n</t>
  </si>
  <si>
    <t xml:space="preserve">def smallestNsq(K):
    a = 1
    b = 0
    K&gt;0
    while a**2&lt;K :
        b = b + a
        a = a + 1
    if a**2== K:
        return a + 1
    else:
        return a
</t>
  </si>
  <si>
    <t xml:space="preserve">def smallestNsq(K):
    n = 1
    while n**2 &lt;= K:
        n += 1
    ans = n
    return ans
</t>
  </si>
  <si>
    <t>def smallestNsq(K):
    ans = 1
    while (ans ** 2 &lt;= K):
        ans += 1
    return ans</t>
  </si>
  <si>
    <t xml:space="preserve">def smallestNsq(K):
    i = 1
    while i &lt; K:   
        if i**2&gt;K:
            ans=i
            return ans
        else:
            i=i+1
    ans=i+1
    return ans
</t>
  </si>
  <si>
    <t>def pattern(n):
    s = ""
    for i in range(1,n+1):
        for j in range(1,i+1):
            s += str(i)
    return s</t>
  </si>
  <si>
    <t>def pattern(n):
    if n&lt;1:
        return ""
    return pattern(n-1)+str(n)*n</t>
  </si>
  <si>
    <t>def pattern(n):
    s = ""
    #add your code here
    for count in range(n+1):
        for count1 in range(count):
            s += str(count)
    return s</t>
  </si>
  <si>
    <t xml:space="preserve">def pattern(n):
    S=""
    for i in range(1,n+1):
        for x in range(i):
            S+=str(i)
    return S
</t>
  </si>
  <si>
    <t xml:space="preserve">def pattern(n):
    mylist = []
    i = 0
    for i in range (1,n+1):
        i += 1
        for j in range (1,i):
            j += 1
            mylist.append(i-1)
    str1 = ''.join(str(e) for e in mylist)
    return str1
</t>
  </si>
  <si>
    <t>def pattern(n):
    s = ""
    #add your code here
    for i in range(1,n+1):
        for j in range(i):
            s= s+str(i)
    return s</t>
  </si>
  <si>
    <t xml:space="preserve">def pattern(n):
    s = ""
    for i in range(n+1):
        for count in range(i):
            s = str(s + str(i))
    return s
</t>
  </si>
  <si>
    <t xml:space="preserve">def pattern(n):
    s = ""
    a=0
    #add your code here
    for count in range (1,n+1):
        a+=1
        s+=str(a)*count
    return s
print(pattern(2))
</t>
  </si>
  <si>
    <t>def pattern(n):
    s = ""
    #add your code here
    for x in range(1,n+1):
        for n in range(1,x+1):
            s=s+str(x)
    return s</t>
  </si>
  <si>
    <t>def pattern(n):
    s = ""
    for i in range(1,n+1):
        for j in range(i):
            s = s + str(i)
    return s</t>
  </si>
  <si>
    <t>def pattern(n):
    s = ""
    for i in range(1, n+1):
        for x in range(i):
            s+=str(i)
    return s</t>
  </si>
  <si>
    <t>def pattern(n):
    s = ""
    for number in range(n):
        for num in range(number + 1):
            s += str(number + 1)
    return s</t>
  </si>
  <si>
    <t>def pattern(n):
    s=""
    for i in range(1,n+1):
        for j in range(i):
            s=s+str(i)
    return s</t>
  </si>
  <si>
    <t>def pattern(n):
    s = ''
    for i in range(1,n+1):
        s = s + str(i) * i
    return s</t>
  </si>
  <si>
    <t xml:space="preserve">def pattern(n):
    s = ""
    for i in range(1, n+1):
        for j in range(1, i +1):
            s = s + str(i)
    #add your code here
    return s
</t>
  </si>
  <si>
    <t>def pattern(n):
    s = ""
    #add your code here
    for i in range(n+1):
        for j in range(i):
            s += str(i)
    return s</t>
  </si>
  <si>
    <t>def pattern(n):
    s = ""
    i = 1
    while i &lt;= n:
        for x in range (i):
            s += str(i)
        i += 1
    return s</t>
  </si>
  <si>
    <t>def pattern(n):
    s = ''
    nm = 0
    while nm != n+1:
        num = str(nm)
        add = nm*num
        s = s + add
        nm += 1
    return s</t>
  </si>
  <si>
    <t xml:space="preserve">def pattern(n):
    s = ""
    for a in range(1,n+1):
        s += str(a)*a
    return s
</t>
  </si>
  <si>
    <t>def pattern(n):
    s = ""
    for i in range(1,n+1):
        s = s + str(i) * i
    return s</t>
  </si>
  <si>
    <t>def pattern(n):
    s = ""
    #add your code here
    for i in range(1,n+1):
        s += str(i) * i
    return s</t>
  </si>
  <si>
    <t>def pattern(n):
    s = ""
    x = 0
    for count in range(1, n+1, 1):
        for v in range(1, 1 + count, 1):
            s = s + str(count)
    return s</t>
  </si>
  <si>
    <t>def pattern(n):
    s = ""
    for i in range(1,n+1):
        for j in range(1,i+1):
            s = s+str(i)
    s=str(s)
    return s</t>
  </si>
  <si>
    <t>def pattern(n):
    s = ""
    #add your code here
    k = n
    while n &gt; 0:
        s += str(k - n + 1 ) * int(k - n + 1)
        n -= 1
    return s</t>
  </si>
  <si>
    <t>def pattern(n):
    s = ""
    y = 1
    for x in range(n) :
        for bb in range(y):
            s = s + str(y)
        y = y+1
    return s</t>
  </si>
  <si>
    <t>def pattern(n):
    s = ""
    x = 1
    while x &lt;= n:
        k = 1
        alpha = ""
        while k &lt;= x:
            alpha = alpha + str(x)
            k += 1
        s = s + alpha
        x += 1
    return s</t>
  </si>
  <si>
    <t>def pattern(n):
    s = ""
    for i in range(1,n + 1):
        for j in range(1,i + 1):
            s += str(i)
    return s</t>
  </si>
  <si>
    <t>def pattern(n):
    s = ""
    a = 1
    x = 0
    while x &lt; n:
        for k in range(n):
            s += a*str(a)
            a += 1
            x += 1#add your code here
    return s</t>
  </si>
  <si>
    <t>def pattern(n):
    s = ""
    for i in range(1,n+1):
        for j in range(i):
            s += str(i)
    return s</t>
  </si>
  <si>
    <t>def pattern(n):
    s=''
    c=1
    m=1
    for y in range (1,n+1):       
        c=1
        while c&lt;=y:
            s=s+str(y)
            c+=1
    return str(s)</t>
  </si>
  <si>
    <t>def pattern(n):
    s = ""
    i = 1
    while i &lt;= n:
        y = 1
        while y &lt;= i:
            s = s + str(i)
            y = y + 1
        i = i + 1
    return s</t>
  </si>
  <si>
    <t>def pattern(n):
    #add your code here
    s = ""
    for i in range(0,n+1):
        s+=(str(i)*i)
    return s
print(pattern(28))</t>
  </si>
  <si>
    <t>def pattern(n):
    y = 2
    s = '1'
    while y != (n+1):
        s = s + (y*(str(y)))
        y += 1    
    return s
print (pattern(5))</t>
  </si>
  <si>
    <t>def pattern(n):
    s = ""
    for i in range(1,n+1):
        for j in range(i):
            s+=str(i)
    return s</t>
  </si>
  <si>
    <t>def pattern(n):
    s = ""
    for i in range(1,n+1):
        s+=str(i)*i
    return s</t>
  </si>
  <si>
    <t>def pattern(n):
    s = ""
    #add your code here
    for i in range (1, n+1):
        for j in range(1, i+1):
            s += str(i)
    return s</t>
  </si>
  <si>
    <t>def pattern(n):
    s = ""
    i = 1
    while i &lt;= n:
        s += str(i) * i
        i += 1
    return s</t>
  </si>
  <si>
    <t>def pattern(n):
    s = ""
    for a in range(1,n+1):
        for b in range(1,a+1):
            s+=str(a)
    return s</t>
  </si>
  <si>
    <t>def pattern(n):
    s = ""
    #add your code here
    for i in range(1,n+1):
        for j in range(1,i+1):
            s+=str(i)
    return s</t>
  </si>
  <si>
    <t>def pattern(n):
    s = ""
    for i in range(1,n+1):
        for j in range(1,i+1):
            s+=str(i)
    return s</t>
  </si>
  <si>
    <t xml:space="preserve">def pattern(n):
    s = ""
    #add your code here
    for i in range(1, n+1):
        for j in range(1, i+1):
            s+=str(i)
    return s
</t>
  </si>
  <si>
    <t>def pattern(n):
    s = ""
    for i in range(1,n+1):
        for j in range(1,i+1):
            s = s + str(i)
    return s</t>
  </si>
  <si>
    <t>def pattern(n):
    s = ""
    for i in range(1, (n+1)):
        for j in range(i):
            s = s + str(i)
    return s</t>
  </si>
  <si>
    <t xml:space="preserve">def pattern(n):
    s = ""
    for i in range(1,n+1):
        for j in range(1,i+1):
            s+=str(i)
    return s
</t>
  </si>
  <si>
    <t>def pattern(n):
    s = ""
    for x in range(1, n + 1):
        for y in range(x):
            s += str(x)
    return s</t>
  </si>
  <si>
    <t>def pattern(n):
    s = ""
    for a in range(1, n +1):
        for b in range(a):
            print (s)
            s = str(s) + str(a)
    return s</t>
  </si>
  <si>
    <t>def pattern(n):
    s = ""
    for i in range(n+1):
        for count in range(i):
            s = s + str(i)
    return s</t>
  </si>
  <si>
    <t>def pattern(n):
    s = ""
    for i in range(1,n+1):
        s+=str(i)*i
    return (s)</t>
  </si>
  <si>
    <t>def pattern(n):
    s = ""
    #add your code here
    for count in range(1,n+1):
        s+=str(count)*count
    return (s)</t>
  </si>
  <si>
    <t>def pattern(n):
    s = ''
    for i in range(n+1):
        for j in range(i):
            s+=(str(i))
    return s</t>
  </si>
  <si>
    <t xml:space="preserve">
def pattern(n):
  x = 0
  s = ""
  while x &lt; n:
    x += 1
    for i in range (x): 
      s += str(x)
  #add your code here
  return s</t>
  </si>
  <si>
    <t xml:space="preserve">def pattern(n):
    a = "1"
    g = ""
    f = 1
    for count in range (n):
        for count in range(f):
            g = g + a
        f += 1
        a = str(int(a)+1)
    return g
</t>
  </si>
  <si>
    <t>def pattern(n):
    s = ""
    #add your code here
    for i in range(1,n+1):
        for j in range(int(i)):
            s = s + str(i)
    return s</t>
  </si>
  <si>
    <t>def pattern(n):
    s = ""
    for a in range(1,n+1):
        for b in range(a):
            s=s+""+str(a)
    #add your code here
    return s</t>
  </si>
  <si>
    <t>def pattern(n):
    s = ""
    for i in range(1,n+1):
        for j in range(i):
            s=s+str(i)
    return s</t>
  </si>
  <si>
    <t>def pattern(n):
    s = ""
    #add your code here
    for count in range(1,n+1):
        for i in range(1,count+1):
            s = (s+str(count))
    return s</t>
  </si>
  <si>
    <t>def pattern(n):
    y=1
    x=""
    for count in range(1,n+1):
        for count in range(y):
            x=x+str(y)
        y=y+1
    return x</t>
  </si>
  <si>
    <t xml:space="preserve">def pattern(n):
    s = ""
    num = -1
    for count in range(1,n+1):
        s += str(count) * count
    return s
</t>
  </si>
  <si>
    <t>def pattern(n):
    s = ""
    for count in range(1,n+1):
        for x in range(count):
            s = s+str(count)
    return s</t>
  </si>
  <si>
    <t xml:space="preserve">def pattern(n):
    s=""
    for count in range(n+1):
        for j in range(count):
            count=str(count)
            s=s+count
    return s
    pass
</t>
  </si>
  <si>
    <t xml:space="preserve">def pattern(n):
    s = ""
    for i in range (1, n + 1):
        for j in range (i):
            s += str(i)
    return s
    </t>
  </si>
  <si>
    <t xml:space="preserve">def pattern(dimension):
    s = ""
    for i in range(dimension+1):
        for j in range(i):
             s = s+ str(i)
    return s
</t>
  </si>
  <si>
    <t>def pattern(n):
    a = 1
    b = 1
    s = ""
    for number in range(n + 1):
        for lol in range(number):
            s = s + str(number)
    return s</t>
  </si>
  <si>
    <t xml:space="preserve">def pattern(n):
    s= ""
    for i in range( 1 , n+1):
        for y in range(1, i + 1):
            s += str(i)
    return s 
            </t>
  </si>
  <si>
    <t>def pattern(n):
    s = ""
    #add your code here
    for i in range(1,n+1):
        for j in range(i):
            s+=str(i)
    return s</t>
  </si>
  <si>
    <t xml:space="preserve">def pattern(n):
    s = ""
    for i in range(1, n + 1):
        for j in range(1,i+1):
            s+=str(i)
    return s
print(pattern(2))
</t>
  </si>
  <si>
    <t>def pattern(n):
    s = ""
    a = 1
    #add your code here
    for i in range(n+1):
        s += i * str(i)
    return s</t>
  </si>
  <si>
    <t>def pattern(n):
    s = ''
    for i in range(1, n + 1):
        J = str(i) * i
        s += J
    return s</t>
  </si>
  <si>
    <t>def pattern(n):
    s=''
    for number in range(n):
        for idk in range (number+1):
            s=s+str(number+1)
    return s</t>
  </si>
  <si>
    <t>def pattern(n):
    s = '' 
    for a in range(1,n+1):
        for b in range(1,a+1):
            s = s + str(a)
    return s</t>
  </si>
  <si>
    <t>def pattern(n):
    s = ""
    for i in range(1,n+1):
        s+=i*str(i)
    return s</t>
  </si>
  <si>
    <t xml:space="preserve">def pattern(n):
    seq=""
    for i in range(1,n+1):
        seq_i=str(i)*i
        seq=seq+seq_i
    return seq
</t>
  </si>
  <si>
    <t xml:space="preserve">def triangle1(dimension):
    s = ""
    for row in range(dimension):
        for col in range(row + 1):
            s+= "*"
        if row != dimension-1:
            s+="\n"    
    return s
</t>
  </si>
  <si>
    <t>def triangle1(n):
    s = ""
    for i in range(1,n+1):
        for j in range(i):
            s += "*"
        if i!= n:
            s += "\n"
    return s</t>
  </si>
  <si>
    <t>def triangle1(dimension):
    s = ""
    for i in range(1, dimension):
        s += i*"*"+"\n"
    s += "*"*dimension
    return s</t>
  </si>
  <si>
    <t xml:space="preserve">def triangle1(dimension):
    s = ""
    #add your code here
    for count in range(dimension):
        if count + 1 == 1:
            s += ((count+1)*'*')
        else:
            s +=('\n' + (count + 1)*'*')
    return s
        </t>
  </si>
  <si>
    <t>def triangle1(dimension):
    s = ""
    for i in range(dimension):
        for x in range(i+1):
            s+="*"
        if i!=dimension-1:
            s+="\n"
    return s</t>
  </si>
  <si>
    <t xml:space="preserve">def triangle1(dimension):
    s = ""
    #add your code here
    for n in range(1,dimension+1):
        for c in range(n):
            s+="*"
        if n!=dimension:
            s+='\n'
    return s
</t>
  </si>
  <si>
    <t>def triangle1(dimension):
    s = ""
    #add your code here
    for count in range(1,dimension+1):
        for i in range(count):
            s=s+"*"            
        if count != dimension:
            s= s+"\n"   
    return s</t>
  </si>
  <si>
    <t>def triangle1(dimension):
    s = ""
    for i in range(dimension+1):
        layer = ""
        for count in range(i):
            layer = str(layer + "*")
        s += (layer)
        if i &lt; dimension and i &gt; 0:
            s += '\n'
    return (s)</t>
  </si>
  <si>
    <t>def triangle1(dimension):
    s = ""
    #add your code here
    for j in range(1,dimension+1):
        for i in range(j):
            s+="*"
        if j!=dimension:
            s+="\n"
    return s</t>
  </si>
  <si>
    <t>def triangle1(dimension):
    s = ""
    #add your code here
    for n in range(1,dimension+1):
        for c in range(n):
            s+="*"
        if n!=dimension:
            s+='\n'
    return s</t>
  </si>
  <si>
    <t>def triangle1(dimension):
    s = ""
    for i in range(1,dimension+1):
        for j in range(i):
            s = s + "*"
        if i &lt; dimension:
            s = s + "\n"
    return s</t>
  </si>
  <si>
    <t xml:space="preserve">def triangle1(dimension):
    result=""
    for i in range(dimension):
        for j in range(i+1):
            result +="*"
        if i!=dimension-1:
            result+="\n"
    return result
    </t>
  </si>
  <si>
    <t>def triangle1(n):
    s1 = ''
    for number in range(n):
        s = ''
        for num in range(number + 1):
            s += '*'
        s1 += s
        if number + 1 == n:
            break
        s1 += '\n'
    return s1</t>
  </si>
  <si>
    <t>def triangle1(dimension):
    s = ""
    for i in range(1,dimension+1):
        for j in range(i):
            s=s+"*"
        while i!=dimension:
            s+="\n"
            break
    return s</t>
  </si>
  <si>
    <t>def triangle1(dimension):
    s = '*'
    for i in range(1,dimension):
        s = s + '''
*'''
        s = s+ '*' * i
    return s</t>
  </si>
  <si>
    <t>def triangle1(dimension):
    s = ""
    n = 0
    for count in range (1,dimension+1):
        for count in range(count):
            s = s + "*"
        n += 1
        if n &lt; dimension :
            s = s+"\n"
    return s</t>
  </si>
  <si>
    <t>def triangle1(dimension):
    s = ""
    #add your code here
    for i in range(dimension+1):
        for j in range(i):
            s += "*"
        if i == dimension:
            break
        elif i == 0:
            continue
        else:
            s += '\n'
    return s</t>
  </si>
  <si>
    <t xml:space="preserve">def triangle1(dimension):
    s = ""
    i= 1
    while i &lt;= dimension:
        s = s + ("*" * i)
        i += 1
        if i &lt;= dimension:
            s = s + "\n"    
    return s
</t>
  </si>
  <si>
    <t>def triangle1(dimension):
    s = ""
    n = 1
    while n != dimension+1:
        s += (n*'*')
        n += 1
        if n == dimension+1:
            break
        else:  
            s += '\n'
    return s</t>
  </si>
  <si>
    <t xml:space="preserve">def triangle1(dimension):
    s = ""
    for x in range(1, dimension +1):
        s2 = ""
        for y in  range(1, x + 1):
           s2 += '*'
        s += s2
        if x &lt; dimension:
            s += '\n'
        else:
            s = s
    return s 
</t>
  </si>
  <si>
    <t xml:space="preserve">def triangle1(dimension):
    s = ""
    for i in range(1,dimension):
        s = s + ("*" * (i) + "\n")
    s = s + ("*" * dimension)
    return s
</t>
  </si>
  <si>
    <t>def triangle1(dimension):
    s = ""
    for i in range(1,dimension):
        s = s + "*" * i + "\n"
    s += "*" * dimension
    return s</t>
  </si>
  <si>
    <t xml:space="preserve">def triangle1(dimension):
    count = 0
    s = ""
    for i in range(1, dimension+1):
        for v in range(i):
            s = s + "*"
        count += 1
        if count &lt; dimension:
            s = s+"\n"
    return s
</t>
  </si>
  <si>
    <t>def triangle1(dimension):
    s = ""
    if dimension&lt;=0:
        return ""
    for i in range(1,dimension+1):
        for j in range(1,i+1):
            s=s+'*'
        if i&lt;dimension:
            s=s +"\n"
    return s</t>
  </si>
  <si>
    <t>def triangle1(dimension):
    s = "*"
    for f in range(1,dimension):
        s += "\n"
        s += "*" * (f+1)
    return s</t>
  </si>
  <si>
    <t>def triangle1(dimension):
    b = ""
    y = 1
    for x in range(dimension-1) :
        s = ""
        for bb in range(y):
            s = s + "*"
        b = b+s
        y = y+1
        b = b+"\n"
    k = ""
    for bn in range(dimension):
            k = k + "*"
    b = b+k
    return b</t>
  </si>
  <si>
    <t xml:space="preserve">def triangle1(dimension):
    s = ""
    for a in range(1, dimension + 1 ):
        for b in range (1, a + 1):
            s += '*'
        if a != dimension:
            s += "\n"
        else:
            break
    return s
</t>
  </si>
  <si>
    <t>def triangle1(n):
    s = ""
    for i in range(n):
        for j in range(i + 1):
            s += "*"
        if n != i + 1:
            s += '\n'
    return s</t>
  </si>
  <si>
    <t>def triangle1(dimension):
    s = ""
    k = 1
    while dimension &gt; 0:
        s += "*"*k
        k += 1
        dimension -= 1
        if dimension == 0:
            break
        else:
            s += "\n"
    return s</t>
  </si>
  <si>
    <t>def triangle1(dimension):
    s = ""
    #add your code here
    for i in range(1,dimension+1):
        for j in range(i):
            s+="*"
        if i&lt;dimension:
            s+="\n"
    return s</t>
  </si>
  <si>
    <t>def triangle1(n):
    s = "*"
    z=''
    y=''
    for x in range (1,n+1):
       z=s*x
       if x==n:
          break
       y=y+z+'\n'
    y=y+z
    return y</t>
  </si>
  <si>
    <t>def triangle1(dimension):
    s = ""
    i = 1
    while i &lt;= dimension:
        y = 1
        while y &lt;= i:
            s = s + "*"
            y = y + 1
        i = i + 1
        if i - 1 != dimension:
            s = s + "\n"
    return s</t>
  </si>
  <si>
    <t>def triangle1(dimension):
    s='*'
    for y in range (2,dimension+1):       
        s += "\n"    
        s += (y*"*")
    return s</t>
  </si>
  <si>
    <t>def triangle1(dim):
    y = 2
    s = '*'
    while y != (dim + 1):
        s = s + '\n'+(y*('*'))
        y += 1
    return s</t>
  </si>
  <si>
    <t>def triangle1(dimension):
    s = ""
    for i in range(1,dimension+1):
        for j in range(i):
            s+="*"
        if(i!=dimension):
            s+="\n"
    return s</t>
  </si>
  <si>
    <t>def triangle1(dimension):
    s = ""
    for i in range(dimension):
        s+="*"*(i+1)
        if i!=dimension-1:
            s+="\n"
    return s</t>
  </si>
  <si>
    <t>def triangle1(dimension):
    s = ""
    f = 0
    for count in range(1, dimension + 1):
        for count in range(count):
            s += "*"
        f += 1
        if f &lt; dimension:
            s += "\n"
    return s</t>
  </si>
  <si>
    <t>def triangle1(dimension):
    s = ""
    for a in range (1,dimension+1):
        for b in range (1,a+1):
            s+="*"
        if a!=dimension:
            s += '\n'
    return s</t>
  </si>
  <si>
    <t>def triangle1(dimension):
    s = ""
    i= 1
    while i &lt;= dimension:
        s = s + ("*" * i)
        i += 1
        if i &lt;= dimension:
            s = s + "\n"    
    return s</t>
  </si>
  <si>
    <t>def triangle1(dimension):
    s = ""
    i=0
    #add your code here
    for count in range(1,dimension+1):
        for j in range(count):
            s+="*"
        i+=1
        if i&lt;dimension:
            s+="\n"
    return s</t>
  </si>
  <si>
    <t>def triangle1(n):
    s = ""
    for i in range(n):
        for j in range(i+1):
            s += "*"
        if n != i+1:
            s += '\n'
    return s</t>
  </si>
  <si>
    <t xml:space="preserve">def triangle1(dimension):
    s = ""
    #add your code here
    for i in range(dimension):
        for j in range(i+1):
            s+='*'
        if i!=dimension-1:
            s +='\n'
    return s
</t>
  </si>
  <si>
    <t>def triangle1(n):
    s = ""
    for i in range(0,n):
        for j in range(i+1):
            s +="*"
        if i != n - 1:
            s += "\n"
    return s</t>
  </si>
  <si>
    <t>def triangle1(dimension):
    s = ""
    for i in range(1, (dimension+1)):
        if i &gt; 1:
            s = s + "\n"
        for j in range(1, (i+1)):
            s = s + "*"
    return s</t>
  </si>
  <si>
    <t>def triangle1(dimension):
    s = ""
    for i in range(1,dimension+1):
        for j in range(1,i+1):
            if j&lt;i:
                s+="*"
            elif dimension==i and j==i:
                s+="*"
            elif j==i:
                s+="*\n"
    return s</t>
  </si>
  <si>
    <t>def triangle1(d):
    s = ""
    ans = ""
    for a in range (1, d + 1):
        s = s + "*"
        if a &lt; d:
            ans = ans + s + "\n"
        else:
            ans = ans + s
    return(ans)</t>
  </si>
  <si>
    <t>def triangle1(dimension):
    s = ""
    ans = ""
    for a in range(1, dimension +1):
            s = s + "*"
            if a &lt; dimension:
                ans = ans + s + "\n"
            else:
                ans = ans + s
    return ans</t>
  </si>
  <si>
    <t>def triangle1(dimension):
    s = ""
    for i in range(1, dimension):
        s = s + "*" * i + '\n'
    s += "*" * dimension
    return s</t>
  </si>
  <si>
    <t>def triangle1(n):
    result=""
    for i in range(n):
        for j in range(i+1):
            result +="*"
        if i!=n-1:
            result+="\n"
    return result</t>
  </si>
  <si>
    <t xml:space="preserve">def triangle1(dimension):
    s=""
    count=1
    if dimension&gt;=1:
        s+=("*")
    while count!=dimension:
        count+=1
        s+=("\n"+count*"*")
    return s
</t>
  </si>
  <si>
    <t>def triangle1(dimension):
    s = ""
    add=1
    if dimension&gt;=1:
        s+=("*")
    #add your code here
    while add!=dimension:
        add+=1
        s+=("\n"+add*"*")
    return (s)</t>
  </si>
  <si>
    <t>def triangle1(dimension):
    s=''
    for i in range (1,dimension+1):
        for x in range(i):
            s+='*'
        if i!=dimension:
            s+='\n'
        else:
            break
    return s</t>
  </si>
  <si>
    <t>def triangle1(dimension):
    s = ""
    for i in range(1, dimension+1):
      for j in range(i):
        s += "*"
      if i != dimension:
        s += "\n" 
      else:
        break             
    return s</t>
  </si>
  <si>
    <t xml:space="preserve">def triangle1(n):
    g = ""
    for count in range(n):
        if count != 0:
            g += "\n"
        for count1 in range(count+1):
           g += "*"
    print(g)
    return g
triangle1(6)
            </t>
  </si>
  <si>
    <t>def triangle1(d):
    s = ""
    for i in range(1,d+1):
        for j in range(i):
            s = s+"*"
        if i != d:
            s=s+"\n"
    #add your code here
    return s</t>
  </si>
  <si>
    <t>def triangle1(dimension):
    count=0
    s = ""
    for i in range(1,dimension+1):
        for j in range(i):
            s=s+"*"
        count=count+1
        if count&lt;dimension:
            s=s+"\n"
    return s</t>
  </si>
  <si>
    <t>def triangle1(dimension):
    s = ""
    #add your code here
    for count in range(dimension):
        if count!=0:
            s += '\n'
        for count in range(count+1):
            s += '*'
    return s</t>
  </si>
  <si>
    <t xml:space="preserve">def triangle1(dimension):
    x=""
    t=0
    for count in range(1,dimension+1):
        y=count
        for count in range(y):
            x=x+"*"
        t=t+1
        if t==dimension:
            break
        x=x+"\n"
    return x
</t>
  </si>
  <si>
    <t>def triangle1(n):
    s = ""
    for count in range(1,n+1):
        s += "*" * count
        if count != n:
            s += "\n"
    return s</t>
  </si>
  <si>
    <t>def triangle1(dimension):
    s = ""
    i = 0
    for count in range(1,dimension+1):
        for count in range(count):
            s = s+"*"
        i = i+1
        if i&lt;dimension:
            s = s+"\n"
    return s</t>
  </si>
  <si>
    <t>def triangle1(dimension):
    s=""
    z=0
    for x in range(1,dimension+1):
        for y in range(x):
            s=s+("*")
        z+=1
        if z&lt;dimension:
            s=s+"\n"
    return s</t>
  </si>
  <si>
    <t>def triangle1(dimension):
    x = ""
    for i in range(1, dimension+1):
            for j in range(i):
                x = x + "*"
            if i &lt; dimension:
                x = x + "\n"
    return x</t>
  </si>
  <si>
    <t xml:space="preserve">def triangle1(dimension):
    s = "*"
    for i in range(1,dimension):
        s+="\n"
        s+="*" * (i+1)
    return s
  </t>
  </si>
  <si>
    <t>def triangle1(dimension):
    s = ""
    for number in range(dimension):
        for lol in range(number + 1):
            s = s + ("*")
        if dimension == 0:
            break
        elif dimension == number + 1:
            break
        s = s + "\n"
    return s</t>
  </si>
  <si>
    <t xml:space="preserve">def triangle1(dimension):
    s = ""
    for x in range(1, dimension + 1):
        for y in range (1, x+1):
            s += '*'
        if x != dimension:
            s += '\n'
    return s
</t>
  </si>
  <si>
    <t>def triangle1(dimension):
    s = ""
    for i in range(dimension):
        for j in range(i+1):
            s+="*"
        if i != dimension-1:
            s+="\n"
    return s</t>
  </si>
  <si>
    <t>def triangle1(dimension):
   g = ""
   for count in range(dimension):
       if count != 0:
           g += "\n"
       for count1 in range(count+1):
          g += "*"
   print(g)
   return g
triangle1(6)</t>
  </si>
  <si>
    <t xml:space="preserve">def triangle1(dimension):
    s = ""
    for i in range(1,dimension):
        s = s + "*" * i + "\n"
    s += "*" * dimension
    return s
</t>
  </si>
  <si>
    <t xml:space="preserve">def triangle1(d):
    s = ""
    ans = ""
    for a in range(1, d + 1):
        s = s + "*"
        if a &lt; d:
            ans = ans + s + "\n"
        else:
            ans = ans + s
    return(ans)
</t>
  </si>
  <si>
    <t>def triangle1(dimension):
    s=""
    for number in range (dimension):
        for idk in range (number+1):
            s=s+("*")
        if dimension==0:
            break
        elif dimension==number+1:
            break
        s=s+"\n"
    return s</t>
  </si>
  <si>
    <t>def triangle1(dimension):
    s = ""
    for i in range(1,dimension+1):
        for j in range(1,i+1):
            s = s + "*"
        if i!=dimension:
            s = s + "\n"
    return s</t>
  </si>
  <si>
    <t>def triangle1(dimension):
    s = ""
    for i in range(1,dimension+1):
        if i == 1:
            s += "*"
        else:
            s +=("\n" + i*"*")
    return s</t>
  </si>
  <si>
    <t xml:space="preserve">def triangle1(dimension):
    seq_i="*"
    for row in range(2,dimension+1):
        seq_i=seq_i+("\n") + ("*"*row) 
    return seq_i
</t>
  </si>
  <si>
    <t xml:space="preserve">def triangle2(dimension):
    s = ""
    for row in range(1,dimension+1):
        for col in range(1,row + 1):
            s+= str(col)
        if row != dimension:
            s+="\n"    
    return s
</t>
  </si>
  <si>
    <t>def triangle2(dimension):
    s = ""
    for i in range(1, dimension):
        for j in range(1, i+1):
            s += str(j)
        s += "\n"
    for j in range(1, dimension+1):
        s += str(j)
    return s</t>
  </si>
  <si>
    <t>def triangle2(dimension):
    s = ""
    #add your code here
    s1 = ''
    for count1 in range(dimension):
        for count in range(1):
            s1 += str((count1+1))
        if count1 == 0:
            s += s1
        else:
            s += '\n' + s1
    return s</t>
  </si>
  <si>
    <t>def triangle2(dimension):
    s = ""
    for i in range(1,dimension+1):
        for x in range(1,i+1):
            s+=str(x)
        if i!=dimension:
            s+="\n"
    return s</t>
  </si>
  <si>
    <t xml:space="preserve">def triangle2(dimension):
    s = ""
    #add your code here
    for n in range(1,dimension+1):
        for c in range(n):
            s+=str(c+1)
        if n==dimension:
            continue
        s+='\n'
    return s
</t>
  </si>
  <si>
    <t>def triangle2(dimension):
    s = ""
    #add your code here
    for i in range(1,dimension+1):
        for j in range(1,i+1):
            s=s+str(j)
        if i != dimension:
            s=s+"\n"
    return s</t>
  </si>
  <si>
    <t xml:space="preserve">def triangle2(dimension):
    s = ""
    for i in range(dimension+1):
        layer = ""
        for count in range(1,i+1):
            layer = str(layer + str(count))
        s += (layer)
        if i &lt; dimension and i &gt; 0:
            s += '\n'
    return (s) </t>
  </si>
  <si>
    <t xml:space="preserve">def triangle2(dimension):
    s = ""
    for j in range(1,dimension+1):
        for i in range(1,j+1):
            s+=str(i)
        if j!=dimension:
            s+="\n"
    return s
</t>
  </si>
  <si>
    <t>def triangle2(n):
    result=""
    for i in range(1,n+1):
        for j in range(1,i+1):
            result +=str(j)
        if i!=n:
            result+="\n"
    return result</t>
  </si>
  <si>
    <t xml:space="preserve">def triangle2(dimension):
    s = ""
    for i in range (dimension):
        num = 1
        for num in range (i+1):
            num += 1
            s = s + str(num)
        if i &lt; dimension - 1:
            s = s + "\n"
        num += 1  
    return s      
</t>
  </si>
  <si>
    <t>def triangle2(n):
    s1 = ''
    for number in range(n):
        s = ''
        for num in range(number + 1):
            s += str(num + 1)
        s1 += s
        if number + 1 == n:
            break
        s1 += '\n'
    return s1</t>
  </si>
  <si>
    <t>def triangle2(dimension):
    s = ""
    for i in range(2,dimension+2):
        for j in range(1,i):
            s+=str(j)
        while i!=(dimension+1):
            s+="\n"
            break
    return s</t>
  </si>
  <si>
    <t>def triangle2(dimension):
    s = '1'
    for i in range(1,dimension):
        s = s + '''
1'''
        for a in range(2,i+2):
            s = s + str(a)
    return s</t>
  </si>
  <si>
    <t xml:space="preserve">def triangle2(n):
    s = ""
    i = 0
    for count in range(1,n+1):
        for x in range(1,count+1):
            s = s + str(x)
        i += 1
        if i&lt;n:
            s = s + "\n"
    return s
</t>
  </si>
  <si>
    <t>def triangle2(dimension):
    s = ""
    #add your code here
    for i in range(dimension+1):
        for j in range(i):
            s += str(j+1)
        if i == dimension:
            break
        elif i == 0:
            continue
        else:
            s += '\n'
    return s</t>
  </si>
  <si>
    <t>def triangle2(dimension):
    s = ""
    for i in range (dimension):
        num = 1
        for num in range (i+1):
            num += 1
            s = s + str(num)
        if i &lt; dimension - 1:
            s = s + "\n"
        num += 1  
    return s</t>
  </si>
  <si>
    <t>def triangle2(dimension):
    s = ''
    number = ''
    for n in range(1, dimension + 1):
        null = str(n)
        number += null
        s += number
        if n == dimension:
            break
        else:
            s += '\n'
    return s</t>
  </si>
  <si>
    <t xml:space="preserve">def triangle2(dimension):
    s = ""
    num = 0
    y = 1
    for x in range(1, dimension +1):
        s2 = ""
        if num &gt; 0:
            num *= 10
        num += y
        y += 1
        s2 = str(num)
        s += s2
        if x &lt; dimension:
            s += '\n'
    return s 
</t>
  </si>
  <si>
    <t>def triangle2(dimension):
    s = ""
    k = ""
    for i in range(1, dimension):
        k = k + str(i)
        s = s + k + "\n"
    s = s + k + str(dimension)
    return s</t>
  </si>
  <si>
    <t>def triangle2(dimension):
    s = ""
    for i in range(1,dimension):
        m = ""
        for j in range(i):
            m += str(j+1)
        s = s + m + "\n"
    for i in range(dimension):
        s += str(i+1)
    return s</t>
  </si>
  <si>
    <t xml:space="preserve">
def triangle2(dimension):
    s = ""
    count = 0
    for i in range(1, dimension+1):
        for v in range(1, i+1):
            s = s + str(v)
        count += 1
        if count&lt;dimension:
            s = s+"\n"
    return s
print(triangle2(5))</t>
  </si>
  <si>
    <t>def triangle2(dimension):
    s = ""
    for i in range(1,dimension+1):
        for j in range(1,i+1):
            s=s+str(j)
        if i&lt;dimension:
            s=s+"\n"
    return s</t>
  </si>
  <si>
    <t>def triangle2(dimension):
    s = "1"
    for f in range(1,dimension):
        s += "\n"
        s+= "1"
        for i in range(0,f):
            s += str(i+2)
    return s</t>
  </si>
  <si>
    <t>def triangle2(dimension):
    b = ""
    y = 1
    for x in range(dimension-1) :
        s = ""
        x = 1
        for ik in range(y):
            s = s + str(x)
            x = x+ 1
        b = b + s
        y = y + 1
        b = b + "\n"
    k =""
    at = 1
    for bh in range(dimension):
        k = k + str(at)
        at = at + 1
    b = b+ k
    return b</t>
  </si>
  <si>
    <t>def triangle2(dimension):
    s = ""
    for a in range(1, dimension + 1 ):
        for b in range (1, a + 1):
            s += str(b)
        if a != dimension:
            s += "\n"
        else:
            break
    return s</t>
  </si>
  <si>
    <t>def triangle2(n):
    s = ""
    for i in range(n):
        for j in range(i + 1):
            s += str(j + 1)
        if n != i + 1:
            s += '\n'
    return s</t>
  </si>
  <si>
    <t>def triangle2(dimension):
    s = ""
    line = ""
    for i in range(1,dimension):
        line += str(i)
        s += line + "\n"
    s += line + str(dimension)
    return s</t>
  </si>
  <si>
    <t>def triangle2(dimension):
    s = ""
    for i in range(1,dimension+1):
        for j in range(1,i+1):
            s+=str(j)
        if dimension&gt;i:
            s+="\n"
    return s</t>
  </si>
  <si>
    <t xml:space="preserve">def triangle2(n):
    z=''
    m=''
    for s in range (0,1):
       for y in range (1,n+1):
          z=z+str(y)
          if y==n:
              break
          m=m+(z+'\n')
       m=m+z
    return m
</t>
  </si>
  <si>
    <t>def triangle2(dimension):
    s = ""
    i = 1
    while i &lt;= dimension:
        y = 1
        while y &lt;= i:
            s = s + str(y)
            y = y + 1
        i = i + 1
        if i - 1 != dimension:
            s = s + "\n"
    return s</t>
  </si>
  <si>
    <t>def triangle2(n):
    s = "1"
    for i in range(2,n+1):
        s += "\n"
        for j in range(1,i+1):
            j = str(j)
            s +=j
    return s</t>
  </si>
  <si>
    <t>def triangle2(dim):
    y = 2
    s = '1'
    r = '1'
    if dim == 0:
        r = ''
    else:        
        while y &lt;=  (dim):
            s +=str(y) 
            y  += 1
            #print (s)
            r += '\n' + s 
    return r</t>
  </si>
  <si>
    <t>def triangle2(dimension):
    s = ""
    for i in range(1,dimension+1):
        for j in range(i):
            s+=str(j+1)
        if(i!=dimension):
            s+="\n"
    return s</t>
  </si>
  <si>
    <t>def triangle2(dimension):
    s=""
    for i in range(1, dimension+1):
        for j in range(1, i+1):
            s+=str(j)
        if i!=dimension:
            s+='\n'
    return s</t>
  </si>
  <si>
    <t>def triangle2(dimension):
    s = ""
    f = 0
    for count in range(1, dimension + 1):
        for x in range(1, count + 1):
            s += str(x)
        f += 1
        if f &lt; dimension:
            s += "\n"
    return s</t>
  </si>
  <si>
    <t xml:space="preserve">def triangle2(dimension):
    s = ""
    for i in range (1, dimension):
        sum = ""
        for j in range (1, (i + 1)):
            sum += str(j)
            continue
        sum += "\n"
        s += sum
    for k in range (1, (dimension + 1)):
        s += str(k)
    return s
</t>
  </si>
  <si>
    <t>def triangle2(dimension):
    s = ""
    for a in range (1, dimension+1):
        for b in range (1, a+1):
            s+=str(b)
        if a!=dimension:
            s+="\n"
    return s</t>
  </si>
  <si>
    <t>def triangle2(dimension):
    s = ""
    i=0
    #add your code here
    for count in range(1,dimension+1):
        for j in range(1,count+1):
            s+=str(j)
        i+=1
        if i&lt;dimension:
            s+="\n"
    return s</t>
  </si>
  <si>
    <t>def triangle2(n):
    s = ""
    for i in range(n):
        for j in range(i+1):
            s += str(j+1)
        if n != i + 1:
            s += '\n'
    return s</t>
  </si>
  <si>
    <t>def triangle2(dimension):
    s = ""
    x=0
    #add your code here
    for i in range(1,dimension+1):
        for j in range(1,i+1):
            j=str(j)
            s=s+j
        x=x+1
        if x&lt;dimension:
            s=s+"\n"
    return s</t>
  </si>
  <si>
    <t xml:space="preserve">def triangle2(d):
    tri = ""
    out = ""
    for i in range(1,d+1):
        tri = tri + str(i)
        out = out + tri
        if i == d:
            continue
        out = out + "\n"       
    return out
</t>
  </si>
  <si>
    <t>def triangle2(dimension):
    s = ""
    for i in range(1, (dimension+1)):
        if i &gt; 1:
            s = s + "\n"
        for j in range(1, (i+1)):
            s = s + str(j)
    return s</t>
  </si>
  <si>
    <t>def triangle2(dimension):
    s = ""
    for i in range(1,dimension+1):
        for j in range(1,i+1):
            if j!=i:
                s+=str(j)
            elif dimension==i and j==i:
                s+=str(j)
            elif j==i:
                s+=str(j)+"\n"
    return s</t>
  </si>
  <si>
    <t>def triangle2(d):
    s = ""
    ans = ""
    for a in range(1, d + 1):
        s = str(s) + str(a)
        if a &lt; d:
            ans = ans + s + "\n"
        else:
            ans = ans + s
    return ans</t>
  </si>
  <si>
    <t xml:space="preserve">def triangle2(dimension):
    s = ""
    ans = ""
    d = 1
    i = 0
    for a in range(1, dimension + 1):
        if a == dimension:
            s = str(s) + str(d)
            ans = ans + s
        else:
            for b in range(1):
                s = str(s) + str(d)
                ans = ans + s + "\n"
        d = int(d) + 1
    return ans
    </t>
  </si>
  <si>
    <t>def triangle2(dimension):
    s = ""
    line = ""
    for i in range(1,dimension):
        line += str(i)
        s = s + line + "\n"
    s = s + line + str(dimension) 
    return s</t>
  </si>
  <si>
    <t xml:space="preserve">def triangle2(dimension):
    s = ""
    i = ""
    while len(s)&lt;dimension:
    #add your code here
        if dimension&gt;=1:
            s+="1"
            i+="1"
        for j in range(2,dimension+1):
            i+=str(j)
            s+="\n"+str(i)
    return(s)
</t>
  </si>
  <si>
    <t>def triangle2(dimension):
    s = ""
    i = ""
    while len(s)&lt;dimension:
    #add your code here
        if dimension&gt;=1:
            s+="1"
            i+="1"
        for count in range(2,dimension+1):
            i+=str(count)
            s+="\n"+str(i)
    return(s)</t>
  </si>
  <si>
    <t xml:space="preserve">def triangle2(dimension):
    s = ""
    for i in range (1,dimension+1):
        for x in range(1,i+1):
            s+=str(x)
        if i!=dimension:
            s+='\n'
        else:
            break
    return s
</t>
  </si>
  <si>
    <t>def triangle2(dimension):
    s = ""
    #add your code here
    for i in range(1, dimension+1):
        for x in range(1, i+1):
            s += str(x)
        if i != dimension:
            s += "\n"
        else:
            break
    return s</t>
  </si>
  <si>
    <t>def triangle2(n):
    g = ""
    for count in range(n):
        if count != 0:
            g += "\n"
        for count1 in range(count+1):
           g += str(count1+1)
    print(g)
    return g</t>
  </si>
  <si>
    <t>def triangle2(dimension):
    s = ""
    for i in range(1,dimension+1):
        for j in range(1,i+1):
            s = s + str(j )
        if i == dimension:
            break
        s = s + "\n"
    return s</t>
  </si>
  <si>
    <t xml:space="preserve">def triangle2(d):
    s = ""
    for i in range(1,d+1):
        for j in range(1,i+1):
            s = s+str(j)
        if i != d:
            s=s+"\n"
    #add your code here
    return s
</t>
  </si>
  <si>
    <t xml:space="preserve">def triangle2(dimension):
    count=0
    s = ""
    for i in range(1,dimension+1):
        for j in range(1,i+1):
            s=s+str(j)
        count=count+1
        if count&lt;dimension:
            s=s+"\n"
    return s
print(triangle2(6))
</t>
  </si>
  <si>
    <t>def triangle2(dimension):
    s = ""
    #add your code here
    for count in range(1,dimension+1):
        if count !=1:
            s += '\n'
        for i in range(1,count+1):
            s += str(i)
    return s</t>
  </si>
  <si>
    <t xml:space="preserve">def triangle2(dimension):
    x=""
    t=0
    for count in range(1,dimension+1):
        y=count
        for count in range(1,y+1):
            x=x+str(count)
        t=t+1
        if t==dimension:
            break
        x=x+"\n"
    return x
</t>
  </si>
  <si>
    <t>def triangle2(dimension):
    s = ""
    for count in range(1,dimension+1):
        for count2 in range(1,count+1):
            s += str(count2)
        if count != dimension:
            s += "\n"
    return s</t>
  </si>
  <si>
    <t>def triangle2(dimension):
    s = ""
    i = 0
    for count in range(1,dimension+1):
        for x in range(1,count+1):
            s = s+str(x)
        i = i+1
        if i&lt;dimension:
            s = s+"\n"
    return s</t>
  </si>
  <si>
    <t>def triangle2(dimension):
    s = ""
    z=0
    #add your code here
    for count in range(1,dimension+1):
        for x in range(1,count+1):
            x=str(x)
            s=s+x
        z=z+1
        if z&lt;dimension:
            s=s+"\n"
    return s</t>
  </si>
  <si>
    <t>def triangle2(dimension):
    s = ""
    x = 0
    for count in range(1, dimension + 1):
        for y in range(1, count + 1):
            y = str(y)
            s = s + y
        x = x + 1
        if x &lt; dimension:
            s = s + "\n"
    return s</t>
  </si>
  <si>
    <t xml:space="preserve">def triangle2(dimension):
    s = "1"
    for i in range(1,dimension):
        s+="\n"
        s+="1"
        for f in range(i):
            s+=str(f+2)
    return s
</t>
  </si>
  <si>
    <t>def triangle2(dimension):
    s = ""
    for number in range(dimension):
        a = 1
        while a &lt;= number + 1:
            s = s + str(a)
            a = a + 1
        if number + 1 == dimension:
            break
        s = s + "\n"
    return s</t>
  </si>
  <si>
    <t>def triangle2(dimension):
    s = ""
    for x in range (1 ,dimension+1):
        for y in range (1 , x+1):
            s += str(y)
        if x != dimension:
            s += "\n"
    return s</t>
  </si>
  <si>
    <t>def triangle2(dimension):
    s = ""
    #add your code here
    for i in range(1,dimension+1):
        for j in range(1,i+1):
            s+=str(j)
        if dimension&gt;i:
            s+="\n"
    return s</t>
  </si>
  <si>
    <t>def triangle2(dimension):
    s = ""
    for i in range(1,dimension+1):
        for j in range(1,i+1):
            if j&lt;i:
                s+=str(j)
            elif dimension==i and j==i:
                s+=str(j)
            elif j==i:
                s+=str(j)+"\n"
    return s
print(triangle2(6))</t>
  </si>
  <si>
    <t>def triangle2(dimension):
    s = ""
    for i in range(1,dimension+1):
        for j in range(1,i+1):
            s+=str(j)
        if i != dimension:
            s+="\n"
    return s</t>
  </si>
  <si>
    <t>def triangle2(dimension):
   g = ""
   for count in range(dimension):
       if count != 0:
           g += "\n"
       for count1 in range(count+1):
          g += str(count1+1)
   print(g)
   return g</t>
  </si>
  <si>
    <t>def triangle2(dimension):
    s = ""
    for x in range(dimension + 1, 1, -1):
        for y in range(1, dimension + 3 - x):
            Y = str(y)
            s += Y
        if y == dimension:
            break
        s += '\n'
    return s</t>
  </si>
  <si>
    <t>def triangle2(d):
    s = ""
    ans = ""
    for a in range(1, d + 1):
        s = str(s) + str(a)
        if a &lt; d:
            ans = ans + s + "\n"
        else:
            ans = ans + s
    return ans</t>
  </si>
  <si>
    <t>def triangle2(dimension):
    s=""
    for number in range (dimension):
        for idk in range (number+1):
            s += str(idk+1)
        if dimension !=number+1:
            s=s+"\n"
    return s</t>
  </si>
  <si>
    <t>def triangle2(dimension):
    s = ""
    for i in range(1, dimension+1):
        for j in range(1, i + 1):
            s = s + str(j)
        if i!=dimension:
            s = s + "\n"
    return s</t>
  </si>
  <si>
    <t>def triangle2(dimension):
    s = "1"
    t = "1"
    for i in range (2, dimension+1):
        t += str(i)
        s += "\n"
        s += t
    #add your code here
    return s</t>
  </si>
  <si>
    <t xml:space="preserve">def triangle2(dimension):
    seq="1"
    temp="1"
    for i in range(2, dimension+1):
        temp=temp+str(i)
        seq = seq+"\n" + temp
    return seq
</t>
  </si>
  <si>
    <t>def triangle3(dimension):
    s = ""    
    for row in range(1,dimension+1):
        for i in range(dimension - row):
            s += ' '
        for col in range(row):
            s+= str(col+1)
        if row == dimension:
            continue
        s +='\n'  
    return s</t>
  </si>
  <si>
    <t>def triangle3(dimension):
    s = ""
    for i in range(1, dimension):
        s += " "*(dimension-i)
        for j in range(1, i+1):
            s += str(j)
        s += "\n"
    for j in range(1, dimension+1):
        s += str(j)
    return s</t>
  </si>
  <si>
    <t xml:space="preserve">def triangle3(dimension):
    s = ''
    #add your code here
    s1 = ''
    s2 = ''
    for count1 in range(dimension+1):
        x = 1
        s = ''
        for count in range(count1):
            s = s + str(x)
            x += 1
        if count1 == 0:
            continue
        s1 = (dimension-count1)*' '+ s
        s2 = s2 + s1
        if count1 != dimension:
            s2 = s2 + '\n'
    return s2
</t>
  </si>
  <si>
    <t>def triangle3(n):
    s = ""
    for i in range(1,n+1):
        for x in range(n-i):
            if n-x&gt;=1000:
                s+="    "
            elif n-x&gt;=100:
                s+="   "
            elif n-x&gt;=10:
                s+="  "
            else:
                s+=" "
        for a in range(1,i+1):
            s+=str(a)
        if i!=n:
            s+="\n"
    return s</t>
  </si>
  <si>
    <t xml:space="preserve">def triangle3(dimension):
    s = ""
    #add your code here
    for n in range(1,dimension+1):
        for x in range(dimension-n):
                s+=' '
        for c in range(n):
            s+=str(c+1)
        if n==dimension:
            continue
        s+='\n'
    return s
</t>
  </si>
  <si>
    <t>def triangle3(dimension):
    s = ""
    for i in range(1,dimension+1):
        for j in range(dimension-i):
            s=s+" "            
        for k in range(1,i+1):
            s=s+str(k)
        if i != dimension:
            s=s+"\n"
    return s</t>
  </si>
  <si>
    <t>def triangle3(dimension):
    s = ""
    for i in range(1,dimension+1):
        layer = ""
        layer1 = ""
        for j in range(dimension-i):
            layer1 += " "
        for k in range(1, i+1):
            layer = str(layer + str(k))
        s += (layer1 + layer)
        if i &lt; dimension and i &gt; 0:
            s += '\n'
    return (s)</t>
  </si>
  <si>
    <t>def triangle3(dimension):
    n=dimension-1
    s = ""
    i = ""
    while len(s)&lt;dimension:
    #add your code here
        if dimension&gt;=1:
            s+= " " * n + "1"
            i += "1"
            n -= 1
        for count in range(2,dimension+1):
            i+=str(count)
            s+="\n"+" "*n+str(i)
            n-=1
    return s</t>
  </si>
  <si>
    <t>def triangle3(dimension):
    s = ""
    #add your code here
    for n in range(1,dimension+1):
        for x in range(dimension-n):
                s+=' '
        for c in range(n):
            s+=str(c+1)
        if n==dimension:
            continue
        s+='\n'
    return s</t>
  </si>
  <si>
    <t>def triangle3(dimension):
    s = ""
    for row in range(1, dimension+1):
        for j in range(dimension-row):
            s+= ' '
        for col in range(row):
            s +=str(col+1)
        if row == dimension:
            continue
        s+='\n'
    return s</t>
  </si>
  <si>
    <t xml:space="preserve">def triangle3(dimension):
    s = ""
    space = dimension - 1
    for i in range (dimension):
        num = 1
        for x in range (space):
            s = s + " "             #correct
        for x in range (i+1):
            s = s + str(num)
            num += 1
        if i &lt; dimension - 1:
            s = s + "\n"
        space = space - 1
    return s      
</t>
  </si>
  <si>
    <t>def triangle3(n):
    s1 = ''
    for number in range(n):
        s = ''
        for thingy in range(n - number - 1):
            s += ' '
        for num in range(number + 1):
            s += str(num + 1)
        s1 += s
        if number + 1 == n:
            break
        s1 += '\n'
    return s1</t>
  </si>
  <si>
    <t>def triangle3(dimension):
    s=""
    for i in range(1, dimension +1):
        for j in range(dimension,i,-1):
            s+=" "
        for a in range(1,i+1):
            s+=str(a)
        while i!=dimension:
            s+="\n"
            break
    return s</t>
  </si>
  <si>
    <t>def triangle3(dimension):
    s = ' ' * (dimension-1) + '1'
    for i in range(1,dimension):
        s = s + '''
''' + ' ' * (dimension-i-1) + '1'
        for a in range(2,i+2):
            s = s + str(a)
    return s</t>
  </si>
  <si>
    <t>def triangle3(n):
    s =""
    i =0
    for x in range (1,n+1): 
        s = s+(n - x ) * " "
        for y in range(1,x+1):
            s = s + str(y)
        i = i+1
        if i &lt; n :
            s = s + "\n"
    return s</t>
  </si>
  <si>
    <t xml:space="preserve">import string
def triangle3(dimension):
    s = ""
    #add your code here
    for i in range(dimension+1):
        if i &gt; 0:
            for k in range(dimension-i):
                s+=" "
        for j in range(i):
            s += str(j+1)
        if i == dimension:
            break
        elif i == 0:
            continue
        else:
            s += '\n'
    return s
</t>
  </si>
  <si>
    <t>def triangle3(dimension):
    s = ""
    space = dimension - 1
    for i in range (dimension):
        num = 1
        for x in range (space):
            s = s + " "             #correct
        for x in range (i+1):
            s = s + str(num)
            num += 1
        if i &lt; dimension - 1:
            s = s + "\n"
        space = space - 1
    return s</t>
  </si>
  <si>
    <t>def triangle3(dimension):
    s = ''
    number = ''
    x = dimension - 1
    for n in range(1, dimension + 1):
        null = str(n)
        y  = x * ' '
        number += null
        s += y + number
        x -= 1
        if n == dimension:
            break
        else:
            s += '\n'
    return s</t>
  </si>
  <si>
    <t xml:space="preserve">def triangle3(dimension):
    s = ""
    num = 0
    y = 1
    space = dimension -1
    for x in range(1, dimension +1):
        s2 = ""
        if num &gt; 0:
            num *= 10
        num += y
        y += 1
        s3 = str(num)
        s2 = ' ' * space + s3
        space -= 1
        s += s2
        if x &lt; dimension:
            s += '\n'
    return s
</t>
  </si>
  <si>
    <t>def triangle3(dimension):
    s = ""
    k = ""
    for i in range(1,dimension):
        k = k + str(i)
        s = s + " " * (dimension - i) + k + "\n"
    s = s + k + str(dimension)
    return s</t>
  </si>
  <si>
    <t>def triangle3(dimension):
    s = ""
    for i in range(1,dimension):
        m = " " * (dimension - i)
        for j in range(i):
            m += str(j+1)
        s = s + m + "\n"
    for i in range(dimension):
        s += str(i+1)
    return s</t>
  </si>
  <si>
    <t>def triangle3(dimension):
    s = ""
    m = 0
    for count in range(1, dimension+1):
        s = s + (dimension-count)*" "
        for x in range(1, count+1):
            s = s + str(x)
        m = m + 1
        if m &lt; dimension:
            s = s+"\n"
    return s</t>
  </si>
  <si>
    <t>def triangle3(dimension):
    s = ""
    for i in range(1,dimension+1):
        for j in range(1,dimension-i+1):
            s=s+" "
        for k in range(1,i+1):
            s=s+str(k)
        if i&lt;dimension:
            s=s+"\n"
    return s</t>
  </si>
  <si>
    <t>def triangle3(dimension):
    s =" " * (dimension - 1) + "1"
    for f in range(1,dimension):
        s += "\n"
        s+= " " * (dimension-f-1) + "1"
        for i in range(0,f):
            s += str(i+2)
    return s</t>
  </si>
  <si>
    <t>def triangle3(dimension):
    b = ""
    y = 1
    v = ""
    r = dimension - 1
    for x in range(dimension-1) :
        v = ""
        for o in range (r) :
            v = v + " "
        s = ""
        x = 1
        for ik in range(y):
            s = s + str(x)
            x = x+ 1
        s = v + s
        b = b + s
        y = y + 1
        b = b + "\n"
        r = r - 1
    k =""
    at = 1
    for bh in range(dimension):
        k = k + str(at)
        at = at + 1    
    b = b+ k
    return b</t>
  </si>
  <si>
    <t>def triangle3(dimension):
    s = ""
    for a in range(1, dimension + 1 ):
        s += ' ' * (dimension - a)
        for b in range (1, a + 1):
            s += str(b)
        if a != dimension:
            s += "\n"
        else:
            break
    return s</t>
  </si>
  <si>
    <t>def triangle3(n):
    s = ""
    for i in range(1,n + 1):
        s += (int(n) - i) * " "
        for k in range(1,i + 1):
            s += str(k)
        if i != n:
            s += '\n'
    return s</t>
  </si>
  <si>
    <t>def triangle3(dimension):
    s = ""
    line = ""
    for i in range(1,dimension):
        line += str(i)
        s += " " * (dimension - i) + line + "\n"
    s += line + str(dimension)
    return s</t>
  </si>
  <si>
    <t>def triangle3(dimension):
    s = ""
    for i in range(1,dimension+1):
        space=dimension-i
        for j in range(1,i+1):
            while space!=0:
                s+=" "
                space-=1
            s+=str(j)
        if dimension&gt;i:
            s+="\n"
    return s</t>
  </si>
  <si>
    <t>def triangle3(n):
    z=''
    m=''
    x=' '
    for s in range (0,1):
       for y in range (1,n+1):
          z=z+str(y)
          if y==n:
              break
          m=m+((x*(n-y))+z+'\n')
       m=m+z
    return m</t>
  </si>
  <si>
    <t>def triangle3(dimension):
    s = ""
    i = 1
    while i &lt;= dimension:
        y = 1
        x = 1
        while x &lt;= dimension - i:
            s = s + " "
            x = x + 1
        while y &lt;= i:
            s = s + str(y)
            y = y + 1
        i = i + 1
        if i - 1 != dimension:
            s = s + "\n"
    return s</t>
  </si>
  <si>
    <t>def triangle3(n):
    s = " " * (n-1) + "1"
    for i in range(2,n+1):
        s += "\n" + " " * (n-i)
        for j in range(1,i+1):
            s += str(j)
    return s</t>
  </si>
  <si>
    <t xml:space="preserve">def triangle3(dim):
    y = 2
    s = '1'
    r = (dim - 1)*(' ') + '1'
    if dim == 0:
        r = ''
    else:        
        while y &lt;=  (dim):
            s +=str(y)
            #print (s)
            r += '\n' + ((dim-y)*(' ')) + s
            y += 1
    return r
</t>
  </si>
  <si>
    <t>def triangle3(dimension):
    s = ""
    for i in range(1,dimension+1):
        integer=0
        for j in range(dimension+1,1,-1):
            if(j&gt;i+1):
                s+=" "
            else:
                integer+=1
                s+=str(integer)
        if(i!=dimension):
            s+="\n"
    return s</t>
  </si>
  <si>
    <t>def triangle3(dimension):
    result=''
    for i in range(1, dimension+1):
        for j in range(1, dimension-i+1):
            result+=" "
        for k in range(1, i+1):
            result+=str(k)
        if i!=dimension:
            result+="\n"
    return result</t>
  </si>
  <si>
    <t>def triangle3(dimension):
    s = ""
    f = 0
    for count in range(1, dimension + 1):
        s += (dimension - count) * " "
        for x in range(1, count + 1):
            s += str(x)
        f += 1
        if f &lt; dimension:
            s += "\n"
    return s</t>
  </si>
  <si>
    <t xml:space="preserve">def triangle3(dimension):
    if dimension == 1:
        s = "1"
        return s
    else:
        s = ""
        l = dimension - 1
        for i in range (1, dimension):
            sum = ""
            sum += " " * l
            l -= 1
            for j in range (1, (i + 1)):
                sum += str(j)
                continue
            sum += "\n"
            s += sum
            continue
        for k in range (1, (dimension + 1)):
            s += str(k)
            continue
        return s
</t>
  </si>
  <si>
    <t>def triangle3(dimension):
    s = ""
    i=0
    #add your code here
    for count in range(1,dimension+1):
        s=s+(dimension-count)*" "
        for j in range(1,count+1):
            s+=str(j)
        i+=1
        if i&lt;dimension:
            s+="\n"
    return s</t>
  </si>
  <si>
    <t>def triangle3(n):
    s = ""
    for i in range(1,n+1):
        s += (int(n)-i) * " "
        for j in range(1,i+1):
            s += str(j)
        if i != n:
            s += '\n'
    return s</t>
  </si>
  <si>
    <t xml:space="preserve">def triangle3(dimension):
    s = ""
    x=0
    y=dimension
    for count in range(1,y+1):
        for count in range(dimension-1):
            s=s+" "
        for k in range(1,y+1-dimension+1):
            k=str(k)
            s=s+k
        x=x+1
        dimension=dimension-1
        if x&lt;y:
                s=s+'\n'
    return s
print(triangle3(6))
</t>
  </si>
  <si>
    <t>def triangle3(n):
    out=""
    for i in range(1,n+1):
        space=n-i
        while space&gt;0:
            out+=" "
            space-=1
        for j in range(1,i+1):
            out+=str(j)
        if i&lt;n:
            out+="\n"
    return out</t>
  </si>
  <si>
    <t>def triangle3(dimension):
    s = ""
    for i in range(1, (dimension+1)):
        if i &gt; 1:
            s = s + "\n"
        for k in range(1, ((dimension - i)+1)):
            s = s + " "
        for j in range(1, (i+1)):
            s = s + str(j)
    return s</t>
  </si>
  <si>
    <t>def triangle3(dimension):
    s = ""
    for i in range(1,dimension+1):
        space=dimension-i
        for j in range(1,i+1):
            while space&gt;0:
                s+=" "
                space-=1
            if j!=i:
                s+=str(j)
            elif dimension==i and j==i:
                s+=str(j)
            elif j==i:
                s+=str(j)+"\n"
    return s</t>
  </si>
  <si>
    <t>def triangle3(dimension):
    s = ""
    ans = ""
    c = " "
    d = 1
    for a in range(1, dimension+1):
        if a == dimension:
            s = str(s) + str(d)
            ans = ans + s
        else:
            for b in range(1):
                s = str(s) + str(d)
                e = (int(dimension) - int(a)) * c + s
                ans = ans + e + "\n"
        d = int(d) + 1   
    return ans</t>
  </si>
  <si>
    <t>def triangle3(dimension):
    s = ""
    q = " "
    ans = ""
    d = 1
    i = 0
    for a in range(1, dimension + 1):
        if a == dimension:
            s = str(s) + str(d)
            ans = ans + s
        else:
            for b in range(1):
                s = str(s) + str(d)
                e = (int(dimension)-int(a))*q + s
                ans = ans + e + "\n"
        d = int(d) + 1
    return ans</t>
  </si>
  <si>
    <t>def triangle3(dimension):
    s = ""
    line = ""
    for i in range(1, dimension):
        line += str(i)
        s += " " * (dimension - i) + line + "\n"
    s = s + line + str(dimension)
    return s</t>
  </si>
  <si>
    <t>def triangle3(dimension):
    number=dimension-1
    s = ""
    i = ""
    while len(s)&lt;dimension:
        if dimension&gt;=1:
            s+=" "*number+"1"
            i+="1"
            number-=1
        for count in range(2,dimension+1):
            i+=str(count)
            s+="\n"+" "*number+str(i)
            number-=1
    return (s)</t>
  </si>
  <si>
    <t>def triangle3(dimension):
    no=dimension-1
    s = ""
    i = ""
    while len(s)&lt;dimension:
    #add your code here
        if dimension&gt;=1:
            s+=" "*no+"1"
            i+="1"
            no-=1
        for count in range(2,dimension+1):
            i+=str(count)
            s+="\n"+" "*no+str(i)
            no-=1
    return (s)</t>
  </si>
  <si>
    <t xml:space="preserve">def triangle3(dimension):
    s = ""
    y=dimension
    for i in range (1,dimension+1):
        for x in range(0,dimension-i):
            s+=' '
        for z in range(1,i+1):
            s+=str(z)
        y=y-1  
        if i!=dimension:
            s+='\n'
        else:
            break
    return s
    </t>
  </si>
  <si>
    <t>def triangle3(dimension):
    s = ""
    #add your code here
    y = dimension
    for i in range(1, dimension + 1):
        for x in range(0, y - 1):
            s += " "
        for z in range(1, i+1):
            s += str(z)
        y -= 1
        if i != dimension:
             s += "\n"
        else:
             break
    return s</t>
  </si>
  <si>
    <t xml:space="preserve">def triangle3(n):
    s = 1
    g = ""
    for count in range(n): #per line
        if count != 0:
            g += "\n"
        for count in range(n-count+1):
            if s &lt; 3:
                s += 1
                pass
            else:
                g+= " "
        s = 1
        for count1 in range(n - count +1): #per number
           g += str(count1+1)
    print(g)
    return g
triangle3(6)
</t>
  </si>
  <si>
    <t>def triangle3(dimension):
    s = ""
    for i in range(1,dimension+1):
        for j in range(1,i+1):
            if j == 1:
                for k in range(dimension-i):
                    s = s + " "
            s = s + str(j)
            if j == dimension:
                return s
            elif j == i:
                s = s + "\n"
    return s</t>
  </si>
  <si>
    <t xml:space="preserve">def triangle3(e):
    s = ""
    for i in range(1,e+1):
        spa=e-i
        for count in range(1,spa+1):
            s=s+" "
        for j in range(1,i+1):
            s = s+str(j)
        if i != e:
            s=s+"\n"
    #add your code here
    return s
</t>
  </si>
  <si>
    <t>def triangle3(dimension):
    s=""
    count=0
    for i in range(1,dimension+1):
        y=i
        for a in range(1,dimension-y+1):
            s=s+" "
        for j in range(1,i+1):
            s=s+str(j)
        count=count+1
        if count==dimension:
            break
        s=s+"\n"
    return s
print(triangle3(6))</t>
  </si>
  <si>
    <t>def triangle3(dimension):
    s = ""
    #add your code here
    for count in range(1,dimension+1):
        if count !=1:
            s += '\n'
        j=dimension-count
        for j in range(j):
                s += ' '
        for i in range(1,count+1):
            s += str(i)
    return s</t>
  </si>
  <si>
    <t>def triangle3(dimension):
    x=""
    t=0
    for count in range(1,dimension+1):
        y=count
        for count in range(1,dimension-y+1):
            x=x+" "
        for count in range(1,y+1):
            x=x+str(count)
        t=t+1
        if t==dimension:
            break
        x=x+"\n"
    return x</t>
  </si>
  <si>
    <t>def triangle3(dimension):
    s = ""
    num = ""
    numd = 0
    tnd = 0
    dim = dimension
    n = ""
    for count2 in range(1,dim+1):
        num += str(count2)
    numd = len(num)
    for count in range(1,dimension+1):
        n = ""
        for count2 in range(1,count+1):
            n += str(count2)
        tnd = len(n)
        while tnd != numd:
            tnd += 1
            s += " "
        s += n
        if count != dimension:
            s += "\n"
    return s</t>
  </si>
  <si>
    <t>def triangle3(dimension):
    s = ""
    i = 0
    for count in range(1,dimension+1):
        s = s+(dimension-count)*" "
        for x in range(1,count+1):
            s = s+str(x)
        i = i+1
        if i&lt;dimension:
            s = s+"\n"
    return s</t>
  </si>
  <si>
    <t xml:space="preserve">def triangle3(dimension):
    s=""
    z=0
    a=dimension
    for count in range(a):
        for count in range(dimension-1):
            s=s+" "
        for x in range(1,a+1-dimension+1):
            x=str(x)
            s=s+x
        z=z+1
        dimension=dimension-1
        if z&lt;a:
            s=s+"\n"
    return s
</t>
  </si>
  <si>
    <t>def triangle3(dimension):
    s = ""
    x = 0
    a = dimension
    for count in range(a):
        for count in range(dimension - 1):
            s = s + " "
        for y in range(1, a + 1 - dimension + 1):
            y = str(y)
            s = s + y
        x = x + 1
        dimension = dimension - 1
        if x &lt; a:
            s = s + "\n"
    return s</t>
  </si>
  <si>
    <t xml:space="preserve">def triangle3(dimension):
    s = " " * (dimension-1)+"1"
    for f in range(1,dimension):
        s+= "\n"
        s+= " " * (dimension - f - 1)+ "1"
        for i in range(f):
            s+= str(i+2)
    return s
</t>
  </si>
  <si>
    <t>def triangle3(dimension):
    s = ""
    for number in range(dimension):
        a = 1
        for eyylmao in range(dimension - 1 - number):
            s = s + ' '
        while a &lt;= number + 1:
            s = s + str(a)
            a = a + 1
        if number + 1 == dimension:
            break
        s = s + "\n"
    return s</t>
  </si>
  <si>
    <t>def triangle3(dimension):
    s = ""
    for x in range(1, dimension+1):
        s += ((dimension-x)* " ")
        for y in range(1, x+1):
            s += str(y)
        if x != dimension:
            s += "\n"
    return s</t>
  </si>
  <si>
    <t>def triangle3(dimension):
    s = ""
    #add your code here
    for i in range(1,dimension+1):
        blank=dimension-i
        for j in range(1,i+1):
            while blank!=0:
                s+=" "
                blank-=1
            s+=str(j)
        if dimension&gt;i:
            s+="\n"
    return s</t>
  </si>
  <si>
    <t xml:space="preserve">def triangle3(dimension):
    s = ""
    for i in range(1,dimension+1):
        space=dimension-i
        for j in range(1,i+1):
            while space&gt;0:
                s+=" "
                space-=1
            if j&lt;i:
                s+=str(j)
            elif dimension==i and j==i:
                s+=str(j)
            elif j==i:
                s+=str(j)+"\n"
    return s
print(triangle3(6))
</t>
  </si>
  <si>
    <t>def triangle3(dimension):
    s = ""
    for row in range(1,dimension+1):
        for i in range(dimension - row):
            s+=" "
        for col in range(row):
            s+=str(col+1)
        if row == dimension:
            continue
        s += "\n"
    return s</t>
  </si>
  <si>
    <t>def triangle3(dimension):
   s = 1
   g = ""
   for count in range(dimension):
       if count != 0:
           g += "\n"
       for count in range(dimension-count+1):
           if s &lt; 3:
               s += 1
               pass
           else:
               g+= " "
       s = 1
       for count1 in range(dimension - count +1):
          g += str(count1+1)
   print(g)
   return g
triangle3(6)</t>
  </si>
  <si>
    <t>def triangle3(dimension):
    s = ""
    z = dimension
    for x in range(dimension + 1, 1, -1):
        z -= 1
        s += ' ' * z
        for y in range(1, dimension + 3 - x):
            Y = str(y)
            s += Y
        if y == dimension:
            break
        s += '\n'
    return s</t>
  </si>
  <si>
    <t xml:space="preserve">def triangle3(dimension):
    s = ""
    ans = ""
    c = " "
    d = 1
    for a in range(1, dimension + 1):
        if a == dimension:
            s = str(s) + str(d)
            ans = ans + s
        else:
            for b in range(1):
                s = str(s) + str(d)
                e = (int(dimension) - int(a)) * c + s
                ans = ans + e + "\n"
        d = int(d) + 1
    return ans
</t>
  </si>
  <si>
    <t>def triangle3(dimension):
    s = ""
    for a in range (1,dimension+1):
        s+=(int(dimension)-a)*" "
        for b in range (1, a+1):
            s+=str(b)
        if a!=dimension:
            s+='\n'
    return s</t>
  </si>
  <si>
    <t>def triangle3(dimension):
    s = ""
    #add your code here
    d = dimension
    for a in range(1, dimension + 1):
        c = 1
        e = 0
        for b in range(1,dimension+1):
            if b == d + e:
                s = s + str(c)
                c += 1
                e += 1
            else:
                s = s + ' '
        if a != dimension:
            s = s + "\n"
        d = dimension - a
    return s</t>
  </si>
  <si>
    <t>def triangle3(dimension):
    s = ""
    for j in range (1, dimension+1):
        s += (dimension-j)*" "
        for k in range(1,j+1):  
            s += str(k)
        if j != dimension:
            s += "\n"
    #add your code here
    return s</t>
  </si>
  <si>
    <t xml:space="preserve">def triangle3(dimension):
    s = ""
    for i in range(1,dimension+1):
        layer = ""
        layer1 = ""
        for j in range(dimension-i):
            layer1 += " " #spaces
        for k in range(1, i+1):
            layer = str(layer + str(k)) #numbers
        s += (layer1 + layer) #concatenate spaces and number
        if i &lt; dimension and i &gt; 0:
            s += '\n'
    return (s)
</t>
  </si>
  <si>
    <t xml:space="preserve">def check_validity(lst):
    if len(lst) != 13:
        return False
    else:
        list1 = [x*2-1 for x in range(1,7)]
        sum1 = 0
        sum2 = 0
        for i in range(len(list1)):
            sum1 += lst[list1[i]]
            sum2+= lst[list1[i]-1]
        if ((sum1)*3+sum2+lst[-1])%10 ==0:
            return True
        else:
            return False
print(check_validity([1, 2, 5]))
</t>
  </si>
  <si>
    <t>def check_validity(lst):
    if len(lst) == 13 and (sum(lst[:-1:2]) + sum(lst[1::2]) * 3 + lst[-1]) % 10 == 0:
        return True
    return False</t>
  </si>
  <si>
    <t>def check_validity(lst):
    even = 0
    odd = 0
    if len(lst) != 13:
        ans = False
        return ans
    for count in range(len(lst)-1):
        if count % 2 == 0:
            odd += lst[count]
        elif count %2 == 1:
            even += lst[count]
    even = even *3
    sum1 = even + odd + lst[-1]
    ans = sum1%10 == 0
    return ans</t>
  </si>
  <si>
    <t>def check_validity(lst):
    x = 0
    y = 0
    if len(lst) &lt; 13:
        return False
    for i in range(1, len(lst) - 1, 2):
        x += lst[i]
    x = x * 3
    for j in range(0, len(lst) - 1, 2):
        y += lst[j]
    y += x
    if (y + lst.pop()) % 10 == 0:
        return True
    else:
        return False</t>
  </si>
  <si>
    <t>def check_validity(lst): 
    if len(lst)==13: 
        x=0 
        for i in range(1,len(lst)-1,2): 
            x+=lst[i] 
        x*=2 
        x+=sum(lst) 
        x%=10 
        return x==0 
    else: 
        return False</t>
  </si>
  <si>
    <t xml:space="preserve">def check_validity(lst):
    if len(lst)==13:
        x=0
        for i in range(1,len(lst)-1,2):
            x+=lst[i]
        x*=2
        x+=sum(lst)
        x%=10
        return x==0
    else:
        return False
    </t>
  </si>
  <si>
    <t>'''
def check_validity(lst):
    add = 0
    for i in range(1,(len(lst)-1),2):
        add += lst[i]
    add *= 3
    for j in range(0,(len(lst)-2),2):
        add += lst[j]
    if (add + lst[(len(lst)-1)]) % 10 == 0:
        return True
    else:
        return False
'''
'''   
def check_validity(lst):
    ans = 0
    x = len(lst)
    for i in range(1,x-1,2):
        ans += lst[i]
    ans *= 3
    for j in range(0,x-2,2):
        ans += lst[j]
    print(ans)
    y = (ans - (ans % 10)) + 10
    print (y)
    if y - ans == lst[x-1]:
        return True
    else:
        return False
'''
def check_validity(lst):
    if len(lst) != 13:
        return False
    add = 0
    parity = lst[len(lst) - 1]
    lst.pop()
    for i in range(1,(len(lst)),2):
        add += lst[i]
    add *= 3
    for j in range(0,(len(lst)),2):
        add += lst[j]
    if (add + parity) % 10 == 0:
        return True
    else:
        return False</t>
  </si>
  <si>
    <t>def check_validity(l):
    if len(l) != 13:
        return False
    else: 
        a = 1
        b = 0
        while a &lt; 12:
            b = b + l[a]
            a = a + 2
        c = 0
        d = 0
        while c &lt; 13:
            d = d + l[c]
            c = c + 2
        e = b * 3 + d
        f = 10 - (e % 10)
        if  e % 10 == 0:
            return True
        else:
            return False</t>
  </si>
  <si>
    <t>def check_validity(lst):
    num=0
    if len(lst)!=13:
        return False
    for count in range(1,len(lst)-1,2):
        num+=lst[count]
    num*=3
    for i in range(0,len(lst)-1,2):
        num+=lst[i]
    checkno=lst[-1]
    if (num+checkno)%10==0:
        return True
    else:
        return False</t>
  </si>
  <si>
    <t>def check_validity(lst):
    if len(lst)==13:
        x=0
        for i in range(1,len(lst)-1,2):
            x+=lst[i]
        x*=2
        x+=sum(lst)
        x%=10
        return x==0
    else:
        return False</t>
  </si>
  <si>
    <t>def check_validity(lst):
    a = lst.pop()
    b = 0
    if len(lst) != 12:
        return False
        pass
    for I in range(0,12,2):
        b += lst[I+1]
    b *= 3
    for I in range(0,12,2):
        b += lst[I]
    if (b + a)%10 == 0:
        return True
    else:
        return False
    pass</t>
  </si>
  <si>
    <t>def check_validity(lst):
        if len(lst)!=13:
                return False
        ans=0
        for i in range(1,13,2):
                ans+=lst[i]
        ans*=3
        for i in range(0,14,2):
                ans+=lst[i]
        if ans%10==0:
                return True
        else:
                return False</t>
  </si>
  <si>
    <t xml:space="preserve">def check_validity(lst):
    if len(lst)!=13:
        return False
    else:
        x=lst[1]+lst[3]+lst[5]+lst[7]+lst[9]+lst[11]
        print(x)
        y=x*3
        print(y)
        c=lst[0]+lst[2]+lst[4]+lst[6]+lst[8]+lst[10]
        print(c)
        w=y+c+lst[12]
        print(lst[12])
        print(w)
        if w%10==0:
            return True
        else:
            return False
            </t>
  </si>
  <si>
    <t xml:space="preserve">def check_validity(lst):
    if len(lst) != 13:
        return False
    total = lst[1] + lst[3] + lst[5] + lst[7] + lst[9] + lst[11]
    total = total *3
    total += total + lst[0] + lst[2] + lst[4] + lst[6] + lst[8] + lst[10]
    if total%10 == lst[12]:
        return True
    else:
        return False
</t>
  </si>
  <si>
    <t>def check_validity(lst):
    if len(lst)!=13:
        return False
    num=0
    for i in range(1,len(lst)-1,2):
        num+=lst[i]
    num*=3
    for i in range(0,len(lst)-1,2):
        num+=lst[i]
    check=lst[-1]
    if (num+check)%10==0:
        return True
    else:
        return False</t>
  </si>
  <si>
    <t>def check_validity(lst):
    if len(lst) != 13:
        return False
    L1 = [lst[i] for i in range(1,12,2)]
    L2 = [lst[i] for i in range(0,11,2)]
    ans = sum(L1)*3 + sum(L2) + lst[-1]
    if ans % 10 != 0:
        return False
    return True</t>
  </si>
  <si>
    <t>def  check_validity(lst):
    x = len(lst)
    if x != 13:
        return False
    h = 1
    ans = 0
    for n in range(x//2):
        ans = ans + lst[h]
        h = h + 2
    ans = ans 
    ans = ans*3
    ha = 0
    an = 0
    for n in range(x//2):
        an = an + lst[ha]
        ha = ha + 2
    ans = ans + an + lst[-1] 
    if ans % 10 == 0:
        return True
    else :
        return False</t>
  </si>
  <si>
    <t>def check_validity(lst):
    if len(lst) != 13:
        return False
    val = 0
    checksum = lst.pop()
    for i in range(12):
        if i % 2 == 1:
            val += lst[i]
    val *= 3
    for i in range(12):
        if i % 2 == 0:
            val += lst[i]
    x = val % 10 
    if x == 0 and checksum == 0:
        return True
    else:
        x = (10 - x)
    if x == checksum:
        return True
    else:
        return False</t>
  </si>
  <si>
    <t>def check_validity(lst):
    if len(lst)!=13:
        return False
    else: 
        test=0
        for i in range(1,13,2):
            test += lst[i]
        product = test*3
        for i in range(0,13,2):
            product+=lst[i]
        if product%10==0:
            return True
        else:
            return False</t>
  </si>
  <si>
    <t>def check_validity(lst):
    a = 0
    if len(lst) != 13:
        return False
    for val in range(len(lst)-1):
        if val%2 == 1:
            a += lst[val]
    a *= 3
    for val in range(len(lst)-1):
        if val%2 == 0:
            a += lst[val]
    a += lst[len(lst)-1]
    if a%10 == 0:
        return True
    else:
        return False</t>
  </si>
  <si>
    <t>def check_validity(lst):
    if len(lst) != 13:
        return False
    k = oddSum = evenSum = 0
    Check = lst.pop()
    for i in lst:
        k += 1
        if k % 2 == 1:
            oddSum += i
        else:
            evenSum += i
    evenSum *= 3
    if (evenSum + oddSum + Check) % 10 == 0:
        return True
    else:
        return False</t>
  </si>
  <si>
    <t>def check_validity(lst):
    if len(lst)!=13:
        return False
    evenSum = 0
    oddSum = 0
    for i in range(0,len(lst)-1):
        if i % 2 == 1:
            evenSum += lst[i]
        else:
            oddSum += lst[i]
    Sum = evenSum * 3 + oddSum
    if (lst[len(lst)-1] + Sum) % 10 == 0:
        return True
    elif (lst[len(lst)-1]+Sum)%10==0 and lst[len(lst)-1] == 0:
        return True
    else:
        return False</t>
  </si>
  <si>
    <t>def check_validity(lst):
    if len(lst)!=13:
        return False
    if (sum(lst)+2*sum([lst[i] for i in range(len(lst)) if i%2==1]))%10==0:
        return True
    return False</t>
  </si>
  <si>
    <t xml:space="preserve">def check_validity(lst):
    tse = 0
    tso = 0
    if len(lst) != 13:
        return False
    else:
        for x in range(0,12):
            if (x % 2) != 0:
                tse += lst[x]
            else:
                tso += lst[x]
        if ((tse * 3 + tso + lst[12] )% 10  )== 0:
            return True
    return False
</t>
  </si>
  <si>
    <t xml:space="preserve">def check_validity(lst):
    if len(lst) != 13:
        return False
    even, odd = 0,0
    for i in range(1,12,2):
        even += lst[i]
    for j in range(0,12,2):
        odd += lst[j]
    summ = even * 3 + odd
    if (summ + lst[-1]) % 10 == 0:
        return True
    else:
        return False
</t>
  </si>
  <si>
    <t>def check_validity(lst):
    if len(lst) &gt;= 13:
        check = lst[-1]
        evensum = 0
        oddsum = 0
        i = 1
        while i &lt; len(lst):
            if i % 2 == 0:
                evensum += lst[i - 1]
            else:
                oddsum += lst[i - 1]
            i += 1
        evensum *= 3
        evensum += oddsum
        finalsum = evensum + check
        if finalsum % 10 == 0:
            result = True
        else:
            result = False
    else:
        result = False
    return result</t>
  </si>
  <si>
    <t>def check_validity(lst):
    if len(lst) != 13:
        return False
    check = lst.pop()
    result = 0
    for i in range(1,len(lst),2):
        result += lst[i]
    result *= 3
    for i in range(0,len(lst),2):
        result += lst[i]
    if (result + check) % 10 == 0:
        return True
    else:
        return False</t>
  </si>
  <si>
    <t xml:space="preserve">def check_validity(lst):
    if len(lst) !=13:
        return False
    sum_even=0 
    for i in range(1,len(lst),2):
        sum_even += lst[i]
    product= sum_even*3
    sum_odd=0
    for j in range(0,len(lst)-1,2):
        sum_odd += lst[j]
    total = product + sum_odd
    if (total+lst[-1]) % 10==0:
        return True
    else:
        return False
</t>
  </si>
  <si>
    <t>def check_validity(lst):
    if len(lst)!= 13:
        return False
    s=0
    z=0
    for x in range (1,13,2):
        x=lst[x]
        s=s+x
    s=s*3
    for x in range (0,12,2):
        x=lst[x]
        z=z+x
    x=z+s
    if (x+lst[12])%10==0:
        return True
    else:
        return False</t>
  </si>
  <si>
    <t>def check_validity(lst):
    if len(lst) != 13:
        return False
    check_digit = lst.pop()
    oddeven = 0 #NOS: 0 is odd
    evensum = 0
    oddsum = 0
    while len(lst) &gt; 0:
        if oddeven == 0:
            oddsum = oddsum + lst.pop(0)
            oddeven = 1
        else:
            evensum = evensum + lst.pop(0)
            oddeven = 0
    evensum = evensum * 3
    totalsum = evensum + oddsum + check_digit
    if totalsum % 10 == 0: #I thought it was 11?
        return True
    else:
        return False</t>
  </si>
  <si>
    <t xml:space="preserve">def check_validity(lst):
    a = len(lst)
    even = 0
    odd = 0
    if a &gt; 13 or a &lt; 13:
        return False
    for i in range(1,13,2):
        even += lst[i]
    for j in range(0,12,2):
        odd += lst[j]
    total= (even * 3) + odd + lst[-1]
    if total % 10 == 0:
        return True
    else:
        return False
</t>
  </si>
  <si>
    <t>def check_validity(lst):
    if len(lst) != 13:
        return False
    check = lst[12]
    temp = lst[1] + lst[3] + lst[5] + lst[7] + lst[9] + lst[11]
    temp2 = lst[0] + lst[2] + lst[4] + lst[6] + lst[8] + lst[10]
    temp3 = temp * 3 + temp2
    digit = 10 - temp3 % 10
    if digit == 10:
        digit = 0
    if digit == check:
        return True
    else:
        return False</t>
  </si>
  <si>
    <t>def check_validity(lst):
    if len(lst)!=13:
        return False
    evensum=0
    for i in range(1, 13, 2):
        evensum+=int(lst[i])
    evendiv=evensum*3
    oddsum=0
    for j in range(0, 12, 2):
        oddsum+=int(lst[j])
    if (oddsum+evendiv+int(lst[-1]))%10==0:
        return True
    else:
        return False
    return oddsum, evendiv</t>
  </si>
  <si>
    <t>def check_validity(lst):
    if len(lst) != 13:
        return False
    else:
        x = 1
        y = 0
        while x &lt; 12:
            y += lst[x]
            x += 2
        z = 0
        w = 0
        while w &lt; 13:
            z += lst[w]
            w += 2
        t = y * 3 + z
        k = t % 10
        if k == 0:
            return True
        else:
            return False</t>
  </si>
  <si>
    <t xml:space="preserve">def check_validity(lst):
    if len(lst) == 13:
        a = lst.pop()
        sum = 0
        for i in range (1, len(lst), 2):
            sum = sum + lst[i]
        sum1 = 0
        for j in range (0, len(lst), 2):
            sum1 = sum1 + lst[j]
        y = (3 * sum) + sum1
        z = y + a
        if z % 10 == 0:
            return True
        else:
            return False
    else:
        return False
</t>
  </si>
  <si>
    <t xml:space="preserve">def check_validity(lst):
    y=0
    if len(lst)!=13:
        return False
    for i in range (len(lst)-1):
        if i%2!=0:
            x=int(lst[i])*3
            y+=x
        elif i%2==0:
            z=int(lst[i])
            y+=z
    if (y+lst[-1])%10==0:
        return True
    else:
        return False
</t>
  </si>
  <si>
    <t>def check_validity(lst):
    if len(lst) &lt; 13:
        return False
    sum_even = 0
    sum_odd = 0
    for i in range (1,len(lst),2):
        sum_even += lst[i]
    sum_even = sum_even * 3
    for i in range (0, len(lst), 2):
        sum_odd += lst[i]
    total = sum_odd + sum_even
    if total % 10 == 0:
        return True
    else: return False</t>
  </si>
  <si>
    <t>def check_validity(lst):
    length=len(lst)
    if length!=13:
        return False
    value=0
    value2=0
    for i in range(1,length,2):
        value+=lst[i]
    value=value*3
    for j in range(0,length,2):
        value2+=lst[j]
    value2-=lst[-1]
    summ=value+value2
    if summ%10==0:
        checkdigit=0
        if checkdigit==lst[-1]:
            return True
        else:
            return False
    else:
        checkdigit=10-(summ%10)
        if checkdigit==lst[-1]:
            return True
        else:
            return False</t>
  </si>
  <si>
    <t xml:space="preserve">def check_validity(lst):
    if len(lst) != 13:
        return False
    else:
        y=0
        for x in range(1,len(lst),2):
            y+=lst[x]
        y*=3
        for z in range(0,len(lst),2):
            y+=lst[z]
        if y%10==0:
            return True
        else:
            return False
    pass
</t>
  </si>
  <si>
    <t>def check_validity(lst):
    if len(lst) != 13:
        return False
    else:
        list1 = [x*2-1 for x in range(1,7)]
        sum1 = 0
        sum2 = 0
        for i in range(len(list1)):
            sum1 += lst[list1[i]]
            sum2+= lst[list1[i]-1]
        if ((sum1)*3+sum2+lst[-1])%10 ==0:
            return True
        else:
            return False
print(check_validity([1, 2, 5]))</t>
  </si>
  <si>
    <t>def check_validity(lst):
    even_sum = 0
    odd_sum = 0
    total = 0
    if len(lst) == 13:
        for e in range(1,12,2):
            even_sum += lst[e]
        for o in range(0,12,2):
            odd_sum += lst[o]
        total = even_sum * 3 + odd_sum + lst[12]
        if total%10 == 0:
            return True
        else:
            return False
    else:
        return False</t>
  </si>
  <si>
    <t>def check_validity(lst):
    if len(lst) != 13:
        return False
    sumx = [0] * 300
    sumy = [0] * 300
    count = 0
    for i in lst:
        if ((count+1) % 2) == 0 and count != (len(lst) - 1):
            sumx.append(i)
        count += 1    
    countx = 0
    for i in lst:
        if ((countx+1) % 2) == 1 and countx != (len(lst) - 1):
            sumy.append(i)
        countx += 1    
    sumtot = (3*sum(sumx)) + sum(sumy)
    if (sumtot + lst[-1]) % 10 == 0:
        return True
    else:
        return False</t>
  </si>
  <si>
    <t>def check_validity(lst):
    total=0
    if len(lst)!=13:
        return False
    for i in range(1,len(lst),2):
        total+=lst[i]
    total*=3
    for i in range(0,len(lst),2):
        total+=lst[i]
    if total%10==0:
        ans = True
    else:
        ans= False
    return ans</t>
  </si>
  <si>
    <t>def check_validity(lst):
    if len(lst) != 13:
        return False
    else:
        a = 1
        b = 0
        while a &lt; 12:
            b = b + lst[a]
            a = a + 2
        c = 0
        d = 0
        while c &lt; 13:
            d = d+ lst[c]
            c = c + 2
        e = b * 3 + d
        f = 10 - (e % 10)
        if e % 10 == 0:
            return True
        else:
            return False</t>
  </si>
  <si>
    <t>def check_validity(lst):
        even = 0
        odd = 0
        if len(lst) == 13:
                for i in range(1, 12, 2):
                        even += lst[i]
                for i in range(0, 13, 2):
                        odd += lst[i]
                even1 = even * 3
                tgt = even1 + odd
                q = tgt % 10
                if q == 0:
                        return True
                else:
                        return False
        else:
                return False</t>
  </si>
  <si>
    <t xml:space="preserve">def check_validity(lst):
     if len(lst) != 13:
         return False
     check = lst.pop()  
     result = 0  
     for i in range(1, len(lst), 2):  
         result += lst[i]  
     result *= 3  
     for i in range(0, len(lst), 2):  
         result += lst[i]  
     if (result + check) % 10 == 0:  
         return True  
     else:  
         return False  
</t>
  </si>
  <si>
    <t>def check_validity(lst):
    if len(lst)==13:
        lst1 = [lst[x*2 - 1] for x in range (1,7)]
        lst2 = [lst[x*2] for x in range(6)]
        if ((sum(lst1)*3+sum(lst2))+lst[-1])%10 == 0:
            return True
        else:
            return False
    else:
        return False</t>
  </si>
  <si>
    <t xml:space="preserve">def check_validity(lst):
    if len(lst)!=13:
        return False
    sum_even = 0
    sum_odd = 0
    for i in range(1,len(lst),2):
        sum_even += lst[i]
    product = sum_even*3
    print(sum_even)
    for i in range(0,len(lst),2):
        sum_odd += lst[i]
    total = sum_odd + product
    print(product)
    print(sum_odd)
    if total%10 == 0:
        return True
    else:
        return False
    </t>
  </si>
  <si>
    <t>def check_validity(lst):
    if len(lst) != 13:
        return False
    last = lst.pop()
    ans = 0
    for count in range(1, len(lst), 2):
        ans += lst[count]
    ans *= 3
    for count2 in range(0, len(lst), 2):
        ans += lst[count2]
    ans += last
    if ans % 10 == 0:
        return True
    else:
        return False</t>
  </si>
  <si>
    <t xml:space="preserve">def check_validity(lst):
  even = 0
  odd = 0
  sums = 0
  if len(lst) != 13:
        return False
  for a in range(len(lst)-1):
    if a % 2 == 0:
      odd += lst[a]
      print(odd)
    else:
      even += lst[a]
      print(even)
  sums = even * 3 + odd + lst[-1]
  print(even, odd)
  if sums % 10 == 0:
    return True
  else:
    return False
</t>
  </si>
  <si>
    <t xml:space="preserve">def check_validity(list1):
    a = 0
    x = 0
    if len(list1) != 13 :
        return False
    for count in range(1,len(list1),2):
        a += list1[count]
    a *= 3
    for count1 in range(0,len(list1),2):
        x += list1[count1]
    d = x + a
    if d%10 == 0:
        return True
    else:
        return False
    </t>
  </si>
  <si>
    <t xml:space="preserve">def check_validity(lst):
    result=0
    if len(lst) != 13:
        return False
    for c1 in range(len(lst)-1):
        if c1%2==1:
            result+=((lst[c1])*3)
        else:
            result+=lst[c1]
    ten=result%10
    if 10-ten ==lst[-1] or (ten==0 and lst[-1]==0):
        return True
    else:
        return False
    </t>
  </si>
  <si>
    <t>def check_validity(lst):
    ans=0
    if len(lst)&lt;13:
        return False
    else:
        for count in range(13):
            if count%2==0:
                ans=ans+int(lst[count])
            elif count==12:
                ans=ans+int(lst[count])
            else:
                ans=ans+3*int(lst[count])
        return ans%10==0</t>
  </si>
  <si>
    <t>def check_validity(lst):
    x=0
    for a in range(1,len(lst)-1,2):
        x+=lst[a]
    x=x*3
    for a in range(0,len(lst)-1,2):
        x+=lst[a]
    if (x+lst[len(lst)-1])%10==0:
        ans=1==1
    else:
        ans=0==1
    if len(lst)!=13:
        ans=1==0
    return ans</t>
  </si>
  <si>
    <t>def check_validity(lst):
    total=0
    if (len(lst))!=13:
        return False
    else:
        for count in range(1,12,2):
            total=total+lst[count]
        total=total*3
        for count in range(0,12,2):
            total=total+lst[count]
        total=total+lst[12]
        if total%10==0:
            return True
        else:
            return False</t>
  </si>
  <si>
    <t xml:space="preserve">def check_validity(lst):
    tot = 0
    if len(lst)!=13:
        return False
    positions = len(lst)
    if len(lst)%2 == 1:
        evenposition = len(lst)
        oddposition = len(lst)-1
    else:
        evenposition = len(lst)-1
        oddposition = len(lst)
    for count in range(1,evenposition,2):
        tot += lst[count]
    tot *= 3
    for i in range(0,oddposition,2):
        tot += lst[i]
    tot += lst[-1]
    if tot%10 == 0:
        return True
    else:
        return False
</t>
  </si>
  <si>
    <t xml:space="preserve">def check_validity(lst):
    if len(lst) != 13:
        return False
    evensum = 0
    oddsum = 0
    count = 0
    for i in lst:
        count = count + 1
        if count%2 == 0:
            evensum += i
        elif count%2 == 1 and count&lt;13:
            oddsum += i
    evensum = evensum*3
    check = evensum + oddsum
    y = lst.pop()
    if (check+y)%10 == 0:
        return True
    else:
        return False
        </t>
  </si>
  <si>
    <t>def check_validity(lst):
    if len(lst)!=13:
        return False
    y=0
    z=0
    for x in lst:
        if y%2==1:
            z=z+int(lst[y])
        y=y+1
        if y==12:
            break
    a=0
    b=0
    for y in lst:
        if a%2==0:
            b=b+int(lst[a])
        a=a+1
        if a==12:
            break
    c=b+z*3
    d=c%10
    if 10-d==int(lst[12]):
        return True
    elif d==0 and lst[12]==0:
        return True
    else:
        return False
    pass</t>
  </si>
  <si>
    <t>def check_validity(l):
    if len(l) != 13:
        return False
    else:
        x = 1
        y = 0
        while x &lt; 12:
            y = y + l[x]
            x = x + 2
        c = 0
        d = 0
        while c &lt; 13:
            d = d +l[c]
            c = c + 2
        e = y * 3 + d
        f = 10 - (e % 10)
        if e % 10 == 0:
            return True
        else:
            return False
    pass</t>
  </si>
  <si>
    <t>def check_validity(lst):
    if len(lst) == 13:
        lst1 = [lst[x * 2 - 1] for x in range(1,7)]
        lst2 = [lst[x * 2] for x in range(6)]
        if ((sum(lst1) * 3 + sum(lst2)) + lst[-1]) % 10 == 0:
            return True
        else:
            return False
    else:
        return False</t>
  </si>
  <si>
    <t xml:space="preserve">def check_validity(lst):
    count = 0
    if len(lst) &lt; 13:
        ans = False
    elif len(lst) &gt; 13:
        ans = False
    else:
        for i in range(1, len(lst)-1,2):
            count = count + lst[i]
        thing = count *3
        oddcount = 0
        for j in range(0, len(lst)-1,2):
            oddcount = oddcount + lst[j]
        total = thing + oddcount
        addcount = 0
        while total % 10 != 0:
            total = total + 1
            addcount+= 1
        if lst[len(lst)-1] == addcount:
            ans = True
        else:
            ans = False
    return ans
        </t>
  </si>
  <si>
    <t xml:space="preserve">def check_validity(lst):
    for g in lst:
        if g &lt; 0:
            return False
    if len(lst) != 13:
        return False
    else:
        a = 0
        b = 0
        for number in range(1,12,2):
            a = a + lst[number]
        for number in range(0,11,2):
            b = b + lst[number]
        c = a * 3
        d = b + c
        e = d % 10
        if e == 0:
            f = 0
        else:
            f = 10 - e
        if lst[12] == f:
            return True
        else:
            return False
        </t>
  </si>
  <si>
    <t xml:space="preserve">def check_validity(lst):
    if len(lst) != 13:
        return False
    lst1 = []
    lst2 = []
    for i in range(1, 12, 2):
        lst1.append(lst[i])
    total = sum(lst1) * 3
    for i in range(0, 12, 2):
        lst2.append(lst[i])
    total += sum(lst2)
    total += lst[12]
    if total % 10 == 0:
        return True
    else:
        return False
    </t>
  </si>
  <si>
    <t>def check_validity(lst):
    if len(lst)!=13:
        return False
    x=0
    for i in range(1,len(lst)):
        if i%2!=0:
            x+=lst[i]
    x*=3
    for i in range(len(lst)+1):
        if i%2==0:
            x+=lst[i]
    if x%10==0:
        return True
    else:
        return False</t>
  </si>
  <si>
    <t>def check_validity(lst):
    n = 0
    if len(lst) != 13:
        return False
    else:
        for i in range(1,len(lst),2):
            n += lst[i]
        n *= 3
        for i in range(0,len(lst),2):
            n += lst[i]
        if n % 10 == 0:
            return True
        else:
            return False</t>
  </si>
  <si>
    <t xml:space="preserve">def check_validity(list1):
   a = 0
   x = 0
   if len(list1) != 13 :
       return False
   for count in range(1,len(list1),2):
       a += list1[count]
   a *= 3
   for count1 in range(0,len(list1),2):
       x += list1[count1]
   d = x + a
   if d%10 == 0:
       return True
   else:
       return False
</t>
  </si>
  <si>
    <t>def check_validity(lst):
    s = 0
    a = 0
    if len(lst) != 13:
        return False
    for i in range(1,13,2):
        s += lst[i]
    for i in range(0,13,2):
        a += lst[i]
    sumofdigits = s*3 + a
    remainder = sumofdigits % 10
    if remainder == 0:
        return True
    else:
        return False</t>
  </si>
  <si>
    <t>def check_validity(lst):
    if len(lst) != 13:
        return False
    lno = lst.pop()
    evenlst = []
    oddlst = []
    for i in range(len(lst)):
        if i % 2 == 0:
            evenlst.append(lst[i])
        else:
            oddlst.append(lst[i])
    if (sum(evenlst) + sum(oddlst) * 3 + lno) % 10 == 0:
        return True
    else:
        return False</t>
  </si>
  <si>
    <t xml:space="preserve">def check_validity(l):
    if len(l) != 13:
        return False
    else: 
        a = 1
        b = 0
        while a &lt; 12:
            b = b + l[a]
            a = a + 2
        c = 0
        d = 0
        while c &lt; 13:
            d = d + l[c]
            c = c + 2
        e = b * 3 + d
        f = 10 - (e % 10)
        if  e % 10 == 0:
            return True
        else:
            return False
      </t>
  </si>
  <si>
    <t>def check_validity(lst):
    if len(lst)!=13:
        return False
    evensum=0
    oddsum=0
    count=0
    for i in lst:
        count=count+1
        if count%2==0:
            evensum+=i
        elif count%2==1 and count&lt;13:
            oddsum+=i
    evensum=evensum*3
    check=evensum+oddsum
    y=lst.pop()
    if (check+y)%10==0:
        return True
    else:
        return False</t>
  </si>
  <si>
    <t>def check_validity(lst):
    Q = False
    if len(lst) != 13:
        return False
    x = []
    y = []
    for i in range (1, 13, 2):
        x.append(lst[i])
    z = 3 * (sum(x))
    for i in range (0, 12, 2):
        y.append(lst[i])
    A = z + sum(y)
    if (A + lst[-1])% 10 == 0:
        Q = True
    return Q</t>
  </si>
  <si>
    <t xml:space="preserve">def check_validity(lst):
    sum_even=0
    sum_odd=0
    if len(lst)!=13:
        return False
    else:
        for i in range(0,len(lst)-1):
            if i%2!=0:
                sum_even=sum_even+lst[i]
            else:
                sum_odd=sum_odd+lst[i]
    check_digit=(10-3*sum_even-sum_odd)%10
    if lst[-1]==check_digit:
        return True
    else:
        return False
</t>
  </si>
  <si>
    <t xml:space="preserve">def calculate_winner(lst, n):
    score1 = 0
    score2 = 0
    for i in range(len(lst)):
        if lst[i] == 'A':
            if i != 0:
                if lst[i-1] == 'A':
                    score1 += 2
                else:
                    score1 += 1
        elif lst[i] == 'B':
            if i !=0:
                if lst[i-1] == 'B':
                    score2+= 2
                else:
                    score2+=1
        if score1 == n:
            return 'A'
        elif score2 == n:
            return 'B'
            </t>
  </si>
  <si>
    <t xml:space="preserve">def calculate_winner(lst, n):
    a_scr = 0
    b_scr = 0
    a_st = 1
    b_st = 1
    ans = None
    for x in lst:
        if x == 'T':
            a_st = 1
            b_st = 1
            continue
        elif x == 'A':
            a_scr += a_st
            a_st += 1
            b_st = 1
        elif x == 'B':
            b_scr += b_st
            b_st += 1
            a_st = 1
        if a_scr &gt;= n:
            ans = 'A'
            break
        elif b_scr &gt;= n:
            ans = 'B'
            break
    return ans
    </t>
  </si>
  <si>
    <t>def calculate_winner(lst, n):
    a1 = 0
    b1 = 0
    c = 1
    for count in range(len(lst)):
        if lst[count] == "A":
            if lst[count - 1] == "A":
                c += 1
            else:
                c = 1
            a1 += c
            if a1 &gt;= n:
                return "A"
        elif lst[count] == "B":
            if lst[count - 1] == "B":
                c += 1
            else:
                c = 1
            b1 += c
            if b1 &gt;= n:
                return "B"
        else:
            continue</t>
  </si>
  <si>
    <t xml:space="preserve">def calculate_winner(lst, n):
    A=0 
    B=0 
    x='' 
    for i in lst: 
        if i=='A': 
            A+=1+int(x=='A') 
        elif i=='B': 
            B+=1+int(x=='B') 
        x=i 
    if B&gt;=n: 
        return 'B'
    elif A&gt;=n: 
        return 'A'
    elif A&lt;=n and B&lt;=n: 
        return </t>
  </si>
  <si>
    <t xml:space="preserve">def calculate_winner(lst, n):
    a = 0
    b = 0
    i = 0
    for x in lst:
        if x == 'A':
            a += 1
            if i == 1:
                a += 1
            i=1
        elif x == 'B':
            b += 1
            if i == 2:
                 b += 1
            i=2
        if a &gt;=n:
            return 'A'
        elif b &gt;=n:
            return 'B'
</t>
  </si>
  <si>
    <t>def calculate_winner(lst, n):
    A = 0
    B = 0
    temp = 0
    times = 0
    for i in range(len(lst)):
        if lst[i] == 'A':
            A += 1
        if lst[i] == 'B':
            B += 1
        if lst[i] == temp:
            if lst[i] == 'A':
                A += 1
            else:
                B += 1
        print ("A:" + str(A))
        print ("B:" + str(B))
        temp = lst[i]
        if i == len(lst):
            break
        elif A == n or B == n:
            break
    if A &gt;= n:
        return 'A'
    if B &gt;= n:
        return 'B'
    if B &lt; n and A &lt; n:
        return None</t>
  </si>
  <si>
    <t xml:space="preserve">def calculate_winner(l, n):
    a = 0
    b = 0
    c = 0
    while c &lt; len(l):
        d = l[c]
        if d == 'A':
            if l[c - 1] == d:
                a = a + 2
            else:
                a = a + 1
        elif d == 'B':
            if l[c - 1] == d:
                b = b + 2
            else:
                b = b + 1
        else:
            a = a
            b = b
        c = c + 1
        if a &gt;= n:
            return 'A'
        elif b &gt;= n:
            return 'B'
    if a &lt; n and b &lt; n:
        return None
</t>
  </si>
  <si>
    <t>def calculate_winner(lst, n):
    A=0
    B=0
    for count in range(len(lst)):
        if A&gt;=n:
            return "A"
        if B&gt;=n:
            return "B"
        winner=lst[count]
        if count==0:
            prevwinner=""
        elif count&gt;=1:
            prevwinner=lst[count-1]
        if winner =="A":
            if prevwinner=="A":
                A+=2
            elif prevwinner!="A":
                A+=1
        elif winner =="B":
            if prevwinner=="B":
                B+=2
            elif prevwinner!="B":
                B+=1</t>
  </si>
  <si>
    <t>def calculate_winner(lst, n):
    A=0
    B=0
    x=''
    for i in lst:
        if i=='A':
            A+=1+int(x=='A')
        elif i=='B':
            B+=1+int(x=='B')
        x=i
        if A&gt;=n:
            return 'A'
        elif B&gt;=n:
            return 'B'</t>
  </si>
  <si>
    <t>def calculate_winner(lst, n):
    a = 0
    b = 0
    c = ""
    for I in range(len(lst)):
        if lst[I] == "A":
            a += 1
            if I - 1 &gt;= 0 and lst[I-1] == "A":
                a += 1
        elif lst[I] == "B":
            b += 1
            if I - 1 &gt;= 0 and lst[I-1] == "B":
                b += 1
        if a &gt;= n:
            c = "A"
            break
        elif b &gt;= n:
            c = "B"
            break
        else:
            c = None
    #     c = "None"
    return c
    pass</t>
  </si>
  <si>
    <t>def calculate_winner(lst, n):
    A=0
    B=0 
    x=''
    for i in lst: 
        if i=='A':
            A+=1+int(x=='A') 
        elif i=='B': 
            B+=1+int(x=='B') 
        x=i 
        if A&gt;=n:
            return 'A' 
        elif B&gt;=n:
            return 'B'</t>
  </si>
  <si>
    <t xml:space="preserve">def calculate_winner(lst, n):
    # T is draw, A is A win, B is B win
    prev = 'T'
    A = 0
    B = 0
    for game in range(len(lst)):
        if lst[game] == prev:
            if prev == 'T':
                continue
            elif prev == 'A':
                A += 2
            else:
                B += 2
        elif lst[game] == 'A':
            A += 1
            prev = 'A'
        elif lst[game] == 'B':
            B += 1
            prev = 'B'
        else:
            prev = 'T'
        if max(A,B) &lt; n:
            continue
        elif A &gt;= B:
            return 'A'
        else:
            return 'B'
</t>
  </si>
  <si>
    <t>def calculate_winner(lst, n):
    a = 0
    b = 0
    x = ''
    for i in lst:
        if i == 'A':
            a += 1
            if x == 'A':
                a += 1
            x = 'A'
            if a &gt;= n:
                return 'A'
        elif i == 'B':
            b += 1
            if x == 'B':
                b += 1
            x = 'B'
            if b &gt;= n:
                return 'B'
        else:
            x = ''
    return</t>
  </si>
  <si>
    <t xml:space="preserve">def calculate_winner(lst, n):
    x = len(lst)
    previous_round = 0
    ac = 0
    bc = 0
    this_round = 0
    for counter in range(x):
        ni = lst[counter]
        if ni == 'A':
            ac = ac + 1
            this_round = 1
            if previous_round == this_round :
                ac = ac + 1
        if ni == 'B':
            bc = bc + 1
            this_round = 2
            if previous_round == this_round :
                bc = bc + 1
        previous_round = this_round
        if ac &gt;= int(n):
            return 'A'
        if bc &gt;= int(n):
            return 'B'
    return None
        </t>
  </si>
  <si>
    <t>def calculate_winner(lst, n):
    itr,a,b = 0,0,0
    streaka = False
    streakb = False
    returnval = None
    while (a &lt;= n) and (b &lt;= n):
        try:     
            if lst[itr] == 'A':
                if streaka == True:
                    a += 2
                elif streaka == False:
                    streakb = False
                    streaka = True
                    a += 1
            elif lst[itr] == 'B':
                if streakb == True:
                    b += 2
                elif streakb == False:
                    streaka = False
                    streakb = True
                    b += 1
        except:
            break
        itr += 1
    if a &gt;= n:
        returnval = 'A'
    elif b &gt;= n:
        returnval = 'B'
    return returnval</t>
  </si>
  <si>
    <t>def calculate_winner(lst, n):
    x=0
    y=0
    z=''
    for i in lst:
        if i=='A':
            x+=1+int(z=='A')
        elif i=='B':
            y+=1+int(z=='B')
        z=i
        if x&gt;=n:
            return 'A'
        elif y&gt;=n:
            return 'B'</t>
  </si>
  <si>
    <t>def calculate_winner(lst, n):
    p1=0
    p2=0
    p1strk=0
    p2strk=0
    for i in lst:
        if i == 'A':
            p2strk=0
            if p1strk==1:
                p1+=2
            else:
                p1+=1
            p1strk=1
        elif i == 'B':
            p1strk=0
            if p2strk==1:
                p2+=2
            else:
                p2+=1
            p2strk=1
        elif i == 'T':
            continue
        if p1 &gt;= n:
            return 'A'
        if p2 &gt;= n:
            return 'B'
    return</t>
  </si>
  <si>
    <t>def calculate_winner(lst, n):
    a,b = 0,0
    for i in range(len(lst)):
        if i == 0:
                if lst[i] == "A":
                    a += 1
                elif lst[i] == "B":
                    b += 1
                else:
                    a,b = a,b
        else:
                if lst[i] == "A":
                    a += 1 if lst[i-1] != "A" else 2
                elif lst[i] == "B":
                    b += 1 if lst[i-1] != "B" else 2
                else:
                    a,b = a,b
        if a &gt;= n or b &gt;= n:
                break
    if a &gt;= n:
        return "A"
    elif b &gt;= n:
        return "B"
    else:
        return None</t>
  </si>
  <si>
    <t>def calculate_winner(lst, n):
    counterA = counterB = scoreA = scoreB = 0
    for i in lst:
        if i == 'A':
            if counterA == 1:
                scoreA += 2
            else:
                scoreA += 1
                counterA = counterA * -1 + 1
            counterB = 0
        elif i == 'B':
            if counterB == 1:
                scoreB += 2
            else:
                scoreB += 1
                counterB = counterB * -1 + 1
            counterA = 0
        else:
            counterA = counterB = 0
        if scoreA &gt;= n:
            return 'A'
        elif scoreB &gt;= n:
            return 'B'
    return None</t>
  </si>
  <si>
    <t>def calculate_winner(lst, n):
    scoreA = 0
    scoreB = 0
    for i in range(len(lst)):
        if lst[i] == 'A':
            scoreA += 1
            if i &gt; 0 and lst[i-1] == 'A':
                scoreA += 1
        elif lst[i] == 'B':
            scoreB += 1
            if i &gt; 0 and lst[i-1] == 'B':
                scoreB += 1
        if scoreA == n:
            return 'A'
        elif scoreB == n:
            return 'B'
    return None</t>
  </si>
  <si>
    <t>def calculate_winner(lst, n):
    A,B=0,0
    for i in range(len(lst)):
        if A&gt;= n:
            return "A"
        if B&gt;= n:
            return "B"
        if lst[i]=="A":
            if i!=0 and lst[i-1]=="A":
                A+=2
            else:
                A+=1
        if lst[i]=="B":
            if i!=0 and lst[i-1]=="B":
                B+=2
            else:
                B+=1
    return None</t>
  </si>
  <si>
    <t xml:space="preserve">def calculate_winner(lst, n):
    x,thresha,threshb = 0,0,0
    for i in range(0,len(lst)):
        if lst[i] == 'A':
            if x == 1:
                thresha += 1
            x = 1
            thresha += 1
        elif lst[i] == 'B':
            if x == 2:
                threshb += 1
            x = 2
            threshb += 1
    if threshb &gt;= n:
        return 'B'
    elif thresha &gt;= n:
        return 'A'
    else:
        return None
    </t>
  </si>
  <si>
    <t>def calculate_winner(lst, n):
    x = len(lst)
    previous_round = 0
    ac = 0
    bc = 0
    this_round = 0
    for counter in range(x):
        ni = lst[counter]
        if ni == 'A':
            ac = ac + 1
            this_round = 1
            if previous_round == this_round :
                ac = ac + 1
        if ni == 'B':
            bc = bc + 1
            this_round = 2
            if previous_round == this_round :
                bc = bc + 1
        previous_round = this_round
        if ac &gt;= int(n):
            return 'A'
        if bc &gt;= int(n):
            return 'B'
    return None</t>
  </si>
  <si>
    <t>def calculate_winner(lst, n):
    a,b = 0,0
    prev = ''
    for i in lst:
        if i == "A":
            if prev == "A":
                a += 2
            else:
                a += 1
        elif i == "B":
            if prev == "B":
                b += 2
            else:
                b += 1
        prev = i
        if a &gt;= n or b &gt;= n:
            break
    if a &gt;= n:
        return "A"
    elif b &gt;= n:
        return "B"
    else:
        return</t>
  </si>
  <si>
    <t>def calculate_winner(lst, n):
    a = 0
    b = 0
    if lst[0] == 'A':
        a += 1
    elif lst[0] == 'B':
        b += 1
    if a == n:
        return 'A'
    elif b == n:
        return 'B'
    for i in range(1, len(lst)):
        if lst[i] == 'A':
            a += 1
        elif lst[i] == 'B':
            b += 1
        if lst[i] == lst[i-1]:
            if lst[i] == 'A':
                a += 1
            elif lst[i] == 'B':
                b += 1
        if a == n:
            return 'A'
        elif b == n:
            return 'B'
    return None</t>
  </si>
  <si>
    <t xml:space="preserve">def calculate_winner(lst, n):
    win_A=0
    win_B=0
    for i in range(len(lst)):
        if win_A &gt;= n:
            return "A"
        if win_B &gt;= n:
            return "B"
        dou =lst[i]
        if i==0:
            douwinner=""
        elif i&gt;=1:
            douwinner=lst[i-1]
        if dou == "A":
            if douwinner == "A":
                win_A+=2
            elif douwinner != "A":
                win_A+=1
        elif dou =="B":
            if douwinner=="B":
                win_B+=2
            elif douwinner!="B":
                win_B+=1
            </t>
  </si>
  <si>
    <t xml:space="preserve">def calculate_winner(lst, n):
    a=0
    b=0
    if lst[0]=='A':
        a+=1
    elif lst[0]=='B':
        b+=1
    else:
        z=0
    for x in range (1, len(lst)):
        if a&gt;=n or b&gt;=n:
            break
        if lst[x]=='A' and lst[x-1]=='A':
            a+=2
        elif lst[x]=='A':
            a+=1
        if lst[x]=='B' and lst[x-1]=='B':
            b+=2
        elif lst[x]=='B':
            b+=1
        else:
            z=0
    if a&lt;n and b&lt;n:
        return None
    if a&gt;b:
        return 'A'
    elif b&gt;a:
        return 'B'
    </t>
  </si>
  <si>
    <t>def calculate_winner(lst, n):
    a_score = 0
    b_score = 0
    pastres = 102930
    while len(lst) &gt; 0:
        res = lst.pop(0)
        if res == 'A':
            if pastres == 0:
                a_score = a_score + 1
            a_score = a_score + 1
            pastres = 0
        elif res == 'B':
            if pastres == 1:
                b_score = b_score + 1
            b_score = b_score + 1
            pastres = 1
        else:
            pastres = 2
        if b_score &gt;= n:
            return 'B'
        elif a_score &gt;= n:
            return 'A'
    return None</t>
  </si>
  <si>
    <t>def calculate_winner(lst, n):
    a=0
    b=0
    if lst[0]=='A':
        a+=1
    elif lst[0]=='B':
        b+=1
    for x in range (1, len(lst)):
        if a&gt;=n or b&gt;=n:
            break
        if lst[x]=='A' and lst[x-1]=='A':
            a+=2
        elif lst[x]=='A':
            a+=1
        if lst[x]=='B' and lst[x-1]=='B':
            b+=2
        elif lst[x]=='B':
            b+=1
    if a&lt;n and b&lt;n:
        return None
    if a&gt;b:
        return 'A'
    elif b&gt;a:
        return 'B'</t>
  </si>
  <si>
    <t>def calculate_winner(lst, n):
    a = 0
    b = 0
    if lst[0] == "A":
        a += 1
    elif lst[0] == "B":
        b += 1
    for i in range(1, len(lst)):
        if lst[i] == lst[i - 1]:
            if lst[i] == "A":
                a += 2
            elif lst[i] == "B":
                b += 2
        else:
            if lst[i] == "A":
                a += 1
            elif lst[i] == "B":
                b += 1
        if a &gt;= n:
            return "A"
        elif b &gt;= n:
            return "B"
    return None</t>
  </si>
  <si>
    <t>def calculate_winner(lst, n):
    Ascore=0
    Bscore=0
    if lst[0]=="A":
        Ascore+=1
    elif lst[0]=="B":
        Bscore+=1
    for i in range(1, len(lst)):
        if lst[i]==lst[i-1]:
            if lst[i]=="A":
                Ascore+=2
            elif lst[i]=="B":
                Bscore+=2
        elif lst[i]=="A":
            Ascore+=1
        elif lst[i]=="B":
            Bscore+=1
        if Bscore&gt;=n:
            return 'B'
        elif Ascore&gt;=n:
            return 'A'
    pass</t>
  </si>
  <si>
    <t>def calculate_winner(lst, n):
    a = 0
    b = 0
    c = 0
    for f in lst:
        if f == "A":
            a += 1
        if lst[c - 1] == "A" and f == "A":
            a = a + 2 - 1
        if a == n:
            return "A"
        if f == "B":
            b += 1
            if b == n:
                return "B"
        if f == "B" and lst[c - 1] == "B":
            b = b + 2 - 1
            if b == n:
                return "B"
        else:
            a=a
            b=b
        c += 1</t>
  </si>
  <si>
    <t>def calculate_winner(lst, n):
    a = []
    b = []
    sumA = 0
    sumB = 0
    for i in range (0, len(lst)):
        if lst[i] == "A":
            if lst[i - 1] == "A":
                sumA += 2
                sumB += 0
                a.append(sumA)
                b.append(sumB)
                continue
            else:
                sumA += 1
                sumB += 0
                a.append(sumA)
                b.append(sumB)
                continue
        elif lst[i] == "B":
            if lst[i - 1] == "B":
                sumB += 2
                sumA += 0
                b.append(sumB)
                a.append(sumA)
                continue
            else:
                sumB += 1
                sumA += 0
                b.append(sumB)
                a.append(sumA)
                continue
        else:
            sumA += 0
            sumB += 0
            a.append(sumA)
            b.append(sumB)
            continue
    if (n in a) and (n in b):
        if a.index(n) &lt; b.index(n):
            return "A"
        else:
            return "B"
    else:
        if (n in a):
            return "A"
        elif (n in b):
            return "B"
        else:
            return None</t>
  </si>
  <si>
    <t>def calculate_winner(lst, n):
    x=0
    y=0  
    for i in range(1,len(lst)):
        if lst[i]=='A':
            if lst[i-1] =='A':
                x+=2
            else:
                x+=1
        elif lst[i]=='B':
            if lst[i-1]=='B':
                y+=2
            else:
                y+=1
        if x&gt;=n:
            return 'A'
        elif y&gt;=n:
            return 'B'
    pass</t>
  </si>
  <si>
    <t xml:space="preserve">def calculate_winner(lst, n):
    score_A = 0
    score_B = 0
    streak_A = 0
    streak_B = 0
    for i in range(len(lst)):
        if lst[i] == "A":
            streak_A += 1
            streak_B = 0
            score_A += streak_A
        elif lst[i] == "B":
            streak_A = 0
            streak_B += 1
            score_B += streak_B
        else:
            streak_A = 0
            streak_B = 0
        if score_A &gt;= n:
            return "A"
            break
        elif score_B &gt;= n:
            return "B"
            break
</t>
  </si>
  <si>
    <t>def calculate_winner(lst, n):
    length=len(lst)
    A=0
    B=0
    for i in range(length):
        if A&lt;n and B&lt;n:
            if lst[i]=="A":
                A+=1
                if lst[i-1]=="A":
                    A+=1
                else:
                    continue
            elif lst[i]=="B":
                B+=1
                if lst[i-1]=="B":
                    B+=1
                else:
                    continue
            else:
                continue
        elif A&gt;=n and B&lt;n:
            return "A"
            break
        elif B&gt;=n and A&lt;n:
            return "B"
            break
    if A&lt;n and B&lt;n:
        return None</t>
  </si>
  <si>
    <t>def calculate_winner(lst, n):
    Ascore = 0
    Bscore = 0
    prev = 'T'
    for i in lst:
        if i == 'A':
            Ascore += 1
            if prev == 'A':
                Ascore += 1
        elif i == 'B':
            Bscore += 1
            if prev == 'B':
                Bscore += 1
        prev = i
        if Ascore &gt;= n:
            return 'A'
        elif Bscore &gt;= n:
            return 'B'
    return None
    pass</t>
  </si>
  <si>
    <t xml:space="preserve">def calculate_winner(lst, n):
    score1 = 0
    score2 = 0
    for i in range(len(lst)):
        if lst[i] == 'A':
            if i != 0:
                if lst[i-1] == 'A':
                    score1 += 2
                else:
                    score1 += 1
        elif lst[i] == 'B':
            if i !=0:
                if lst[i-1] == 'B':
                    score2+= 2
                else:
                    score2+=1
        if score1 == n:
            return 'A'
        elif score2 == n:
            return 'B'
</t>
  </si>
  <si>
    <t xml:space="preserve">def calculate_winner(lst, n):
    a = 0
    b = 0
    if lst[0] == 'A':
        a += 1
    elif lst[0] == 'B':
        b += 1
    if a == n:
        return 'A'
    elif b == n:
        return 'B'
    for i in range(1,len(lst)):
        if lst[i] == 'A':
            a += 1
            if lst[i-1] == lst[i]:
                a += 1
        elif lst[i] == 'B':
            b += 1
            if lst[i-1] == lst[i]:
                b += 1
        if a == n:
            return 'A'
        elif b == n:
            return 'B'
    return None
</t>
  </si>
  <si>
    <t xml:space="preserve">def calculate_winner(lst, n):
    ascore = 0
    bscore = 0
    index = 0
    lst1 = ["T"] + lst
    for i in lst:
        if i == "A" and lst1[index] == "A":
            ascore += 2
        elif i == "B" and lst1[index] == "B":
            bscore += 2
        elif i == "A":
            ascore += 1
        elif i == "B":
            bscore += 1
        if ascore &gt;= n:
            return 'A'
        elif bscore &gt;= n:
            return 'B'
        index += 1
        </t>
  </si>
  <si>
    <t>def calculate_winner(lst,n):
    astreak=False
    bstreak=False
    a=0
    b=0
    for i in lst:
        if i=='T':
            continue
        elif i=='A':
            if astreak==True:
                a+=2
            else:
                a+=1
                bstreak=False
                astreak=True
        else:
            if bstreak==True:
                b+=2
            else:
                b+=1
                astreak=False
                bstreak=True
        if a&gt;=n or b&gt;=n:
            break
    if a&gt;=n:
        return'A'
    elif b&gt;=n:
        return'B'
    return</t>
  </si>
  <si>
    <t xml:space="preserve">def calculate_winner(lst, n):
    a = 0
    b = 0
    c = 0
    while c &lt; len(lst):
        d = lst[c]
        if d == 'A':
            if lst[c-1]==d:
                a = a+2
            else:
                a = a+1
        elif d == "B":
            if lst[c-1] ==d:
                b = b+2
            else:
                b = b+1
        else:
            a = a
            b = b
        c = c+1
        if a &gt;= n:
            return 'A'
        elif b &gt;= n:
            return 'B'
    if a &lt; n and b&lt; n:
        return None
        </t>
  </si>
  <si>
    <t>def calculate_winner(lst, n):
        a = 0
        b = 0
        for i in range(0, len(lst)):
                if i &lt; 1 :
                        if lst[0] == 'A':
                                a += 1
                        elif lst[0] == 'B':
                                b += 1
                else:
                        if lst[i] == 'A':
                                if lst[i-1] == 'A':
                                        a += 2
                                else:
                                        a += 1
                        elif lst[i] == 'B':
                                if lst[i-1] == 'B':
                                        b += 2
                                else:
                                        b += 1
                if a &gt;= n:
                        return 'A'
                elif b &gt;= n:
                        return 'B'</t>
  </si>
  <si>
    <t xml:space="preserve">def calculate_winner(lst, n):  
     a = 0  
     b = 0  
     if lst[0] == "A":  
         a += 1  
     elif lst[0] == "B":  
         b += 1  
     if a == n:  
         return "A"  
     elif b == n:  
         return "B"  
     for i in range(1, len(lst)):  
         if lst[i] == "A":  
             a += 1  
         elif lst[i] == "B":  
             b += 1  
         if lst[i] == lst[i - 1]:  
             if lst[i] == "A":  
                 a += 1  
             elif lst[i] == "B":  
                 b += 1  
         if a == n:  
             return "A"  
         elif b == n:  
             return "B"  
     return None  
</t>
  </si>
  <si>
    <t>def calculate_winner(lst, n): 
    A=0
    B=0 
    x=''
    for i in lst: 
        if i=='A':
            A+=1+int(x=='A')
        elif i=='B':
            B+=1+int(x=='B') 
        x=i
    if B&gt;=n:
        return 'B' 
    elif A&gt;=n: 
        return 'A'</t>
  </si>
  <si>
    <t>def calculate_winner(lst, n):
    prev = ""
    a = 0
    b = 0
    for item in lst:
        if item == prev:
            if item == "A":
                a += 2
            elif item == "B":
                b += 2
        elif item == "A":
            a += 1
        elif item == "B":
            b += 1
        if a &gt;= n:
            return "A"
        elif b &gt;= n:
            return "B"
        prev = item
    return None</t>
  </si>
  <si>
    <t>def calculate_winner(lst, n):
    ascore = 0
    bscore = 0
    ans = ""
    for count in range(len(lst)):
        if lst[count] == "A":
            if lst[count - 1] == "A":
                ascore += 2
            else:
                ascore += 1
        if lst[count] =="B":
            if lst[count - 1] == "B":
                bscore += 2
            else:
                bscore += 1
        if ascore &gt;= n:
            ans = "A"
            break
        elif bscore &gt;= n:
            ans = "B"
            break
        else:
            continue
    if ascore &lt; n and bscore &lt; n:
      ans = None
    return ans</t>
  </si>
  <si>
    <t xml:space="preserve">def calculate_winner(list1, n):
    a = 0
    b = 0
    for count in range(len(list1)):
        if count == 0:
            if list1[count] == "A":
                a += 1
            elif list1[count] == "B":
                b += 1
        else:
            if list1[count] == "A":
                if list1[count-1] == "A":
                    a += 2
                else:
                    a += 1
            if list1[count] == "B":
                if list1[count-1] == "B":
                    b += 2
                else:
                    b += 1
            if a &gt;= n:
                return "A"
            if b &gt;= n:
                return "B"
    return None                    
                </t>
  </si>
  <si>
    <t xml:space="preserve">def calculate_winner(lst, n):
    x=len(lst)
    y=0
    a=0
    b=0
    c=0
    d=0
    while y != x:
        if lst[y]=='A':
            a+=1
            if c == 1:
                a+=1
            else:
                c=1
            if a == n:
                return 'A'
            d=0
        elif lst[y]=='B':
            b+=1
            if d == 1:
                b+=1
            else:
                d=1
            c=0
            if b ==n:
                return 'B'
        elif lst[y]=='T':
            c=0
            d=0
        y+=1
        </t>
  </si>
  <si>
    <t>def calculate_winner(lst, n):
    x=0
    y=0
    ans=0
    ans1=0
    for count in range(len(lst)):
        x=lst.pop(0)
        if x=="A":
            if x==y:
                ans=ans+2
            else:
                ans=ans+1
        elif x=="B":
            if x==y:
                ans1=ans1+2
            else:
                ans1=ans1+1
        else:
            ans=ans
            ans1=ans1
        y=x
        if ans==n:
            return "A"
        elif ans1==n:
            return "B"</t>
  </si>
  <si>
    <t>def calculate_winner(lst, n):
    astreak = 0
    bstreak = 0
    a = 0
    b = 0
    for x in lst:
        if x == 'T':
            astreak = 0
            bstreak = 0
        elif x == 'A':
            astreak += 1
            bstreak = 0 
            if astreak&gt;1:
                a+=2
            else:
                a+=1
        elif x is 'B':
            bstreak += 1
            astreak = 0
            if bstreak&gt;1:
                b+=2
            else:
                b+=1
        if a&gt;=n:
            ans='A'
            return ans
        elif b&gt;=n:
            ans='B'
            return ans
    return None
    pass</t>
  </si>
  <si>
    <t>def calculate_winner(lst, n):
    a=0
    b=0
    for count in range(len(lst)):
        if lst[count]=='A':
            if lst[count-1]=='A':
                a=a+2
            else:
                a=a+1
        elif lst[count]=='B':
            if lst[count-1]=='B':
                b=b+2
            else:
                b=b+1
        if a&gt;=n:
            return 'A'
        elif b&gt;=n:
            return 'B'</t>
  </si>
  <si>
    <t>def calculate_winner(lst, n):
    a = 0
    b = 0
    astreak = 0
    bstreak = 0
    for i in (lst):
        if i == 'A':
            a += 1
            if astreak == 1:
                a += 1
            else:
                bstreak = 0
                astreak = 1
            if a &gt;= n:
                return 'A'
        elif i == 'B':
            b+=1
            if bstreak == 1:
                b += 1
            else:
                astreak = 0
                bstreak = 1
            if b&gt;=n:
                return 'B'
    return None</t>
  </si>
  <si>
    <t>def calculate_winner(lst, n):
    a = 0
    b = 0
    c = 0
    for y in lst:
        if y == "A":
            a = a+1
        if lst[c-1] == "A" and y == "A":
            a=a+2-1
        if a==n:
            return "A"
        if y == "B":
            b = b+1
            if b==n:
                return "B"
        if y == "B" and lst[c-1] == "B":
            b=b+2-1
            if b==n:
                return "B"
        else:
            a=a
            b=b
        c = c+1</t>
  </si>
  <si>
    <t>def calculate_winner(lst, n):
    a=0
    b=0
    c=0
    for y in lst:
        if y=='A':
            a=a+1
        if lst[c-1]=='A' and y=='A':
            a=a+2-1
        if a==n:
            return 'A'
        if y=='B':
            b=b+1
            if b==n:
                return 'B'
        if y=='B' and lst[c-1]=='B':
            b=b+2-1
            if b==n:
                return 'B'
        else:
            a=a
            b=b
        c=c+1
    pass</t>
  </si>
  <si>
    <t>def calculate_winner(lst, n):
    a=0
    b=0
    if lst[0]=='A':
        a+=1
    elif lst[0]=='B':
        b+=1
    else:
        z=0
    for x in range (1, len(lst)):
        if a&gt;=n or b&gt;=n:
            break
        if lst[x]=='A' and lst[x-1]=='A':
            a+=2
        elif lst[x]=='A':
            a+=1
        if lst[x]=='B' and lst[x-1]=='B':
            b+=2
        elif lst[x]=='B':
            b+=1
        else:
            z=0
    if a&lt;n and b&lt;n:
        return None
    if a&gt;b:
        return 'A'
    elif b&gt;a:
        return 'B'</t>
  </si>
  <si>
    <t xml:space="preserve">def calculate_winner(lst, n):
    A = 0
    B = 0
    x = ''
    for i in lst:
        if i == 'A':
            A += 1 + int(x == 'A')
        elif i == 'B':
            B += 1 + int(x == 'B')
        x = i
    if B &gt;= n:
        return 'B'
    elif A &gt;= n:
        return 'A'
    </t>
  </si>
  <si>
    <t xml:space="preserve">def calculate_winner(lst, n):
    countA = 0
    countB = 0
    for i in range(len(lst)):
        if lst[i] == chr(65):
            countA += 1
            if i != 0 and lst[i-1] == chr(65):
                countA += 1
        elif lst[i] == chr(66):
            countB += 1
            if i != 0 and lst[i-1] == chr(66):
                countB += 1
        if countA &gt;= n:
            ans = 'A'
            return ans
        elif countB &gt;= n:
            ans = 'B'
            return ans
</t>
  </si>
  <si>
    <t xml:space="preserve">def calculate_winner(lst, n):
    a = 0
    b = 0
    c = "T"
    for ayelmao in range(len(lst)):
        if lst[ayelmao] == c:
            if c == "T":
                continue
            elif c == "A":
                a = a + 2
                continue
            elif c == "B":
                b = b + 2
                continue
        elif lst[ayelmao] == "A":
            a = a + 1
            c = "A"
        elif lst[ayelmao] == "B":
            b = b + 1
            c = "B"
        else:
            c = "T"
        j = max(a,b)
        if j &lt; n:
            continue
        elif a &gt;= b:
            return 'A'
        else:
            return 'B'
    </t>
  </si>
  <si>
    <t>def calculate_winner(lst, n):
    scoreA = 0
    scoreB = 0
    for i in range(0, len(lst)):
        if lst[i] == 'A':
            if i &gt; 0 and lst[i-1] == 'A':
                scoreA += 2
                if scoreA &gt;= n:
                        return 'A'
                else:
                    continue
            else:
                scoreA += 1
                if scoreA &gt;= n:
                        return 'A'
                else:
                    continue
        elif lst[i] == 'B':
            if i &gt; 0 and lst[i-1] == 'B':
                scoreB += 2
                if scoreB &gt;= n:
                    return 'B'
                else:
                    continue
            else:
                scoreB += 1
                if scoreB &gt;= n:
                    return 'B'
                else:
                    continue
        else:
            scoreA += 0
            scoreB += 0
    if scoreA &lt; n and scoreB &lt; n:
        return None</t>
  </si>
  <si>
    <t>def calculate_winner(lst, n):
    x=0
    y=0
    for i in range(len(lst)):
        if x &gt;= n:
            return "A"
        if y &gt;= n:
            return "B"
        xx =lst[i]
        if i==0:
            xxwinner=""
        elif i&gt;=1:
            xxwinner=lst[i-1]
        if xx == "A":
            if xxwinner == "A":
                x+=2
            elif xxwinner != "A":
                x+=1
        elif xx =="B":
            if xxwinner=="B":
                y+=2
            elif xxwinner!="B":
                y+=1</t>
  </si>
  <si>
    <t>def calculate_winner(lst,n):
    a_streak = False
    b_streak = False
    a = 0
    b = 0
    for i in lst:
        if i == "T":
            continue
        elif i == "A":
            if a_streak == True:
                a+= 2
            else:
                a += 1
                a_streak = True
                b_streak = False
        else:
            if b_streak == True:
                b += 2
            else:
                b += 1
                b_streak = True
                a_streak = False
        if a &gt;= n or b &gt;= n:
            break
    if a &gt;= n:
        return "A"
    elif b &gt;= n:
        return "B"
    return</t>
  </si>
  <si>
    <t xml:space="preserve">def calculate_winner(list1, n):
   a = 0
   b = 0
   for count in range(len(list1)):
       if count == 0:
           if list1[count] == "A":
               a += 1
           elif list1[count] == "B":
               b += 1
       else:
           if list1[count] == "A":
               if list1[count-1] == "A":
                   a += 2
               else:
                   a += 1
           if list1[count] == "B":
               if list1[count-1] == "B":
                   b += 2
               else:
                   b += 1
           if a &gt;= n:
               return "A"
           if b &gt;= n:
               return "B"
   return None         </t>
  </si>
  <si>
    <t xml:space="preserve">def calculate_winner(lst, n):
    ascore = 0
    bscore = 0
    for i in range(len(lst)):
        if i == 0:
            if lst[i] == "A":
                ascore += 1
            elif lst[i] == "B":
                bscore += 1
        else:
            if lst[i] == "A":
                if lst[i-1] == "A":
                    ascore += 2
                else:
                    ascore += 1
            if lst[i] == "B":
                if lst[i-1] == "B":
                    bscore += 2
                else:
                    bscore += 1
            if ascore &gt;= n:
                return "A"
            if bscore &gt;= n:
                return "B"
</t>
  </si>
  <si>
    <t>def calculate_winner(lst, n):
    ascore, astreak, bscore, bstreak = 0, 0, 0, 0
    for i in lst:
        if i == 'A':
            ascore += 1
            bstreak = 0
            if astreak &gt; 0:
                ascore += 1
            astreak = 1
        elif i == 'B':
            bscore += 1
            astreak = 0
            if bstreak &gt; 0:
                bscore += 1
            bstreak = 1
        else:
            astreak, bstreak = 0, 0
        if ascore &gt;= n:
            return 'A'
        elif bscore &gt;= n:
            return 'B'
    return None</t>
  </si>
  <si>
    <t xml:space="preserve">def calculate_winner(l, n):
    a = 0
    b = 0
    c = 0
    while c &lt; len(l):
        d = l[c]
        if d == 'A':
            if l[c - 1] == d:
                a = a + 2
            else:
                a = a + 1
        elif d == 'B':
            if l[c - 1] == d:
                b = b + 2
            else:
                b = b + 1
        else:
            a = a
            b = b
        c = c + 1
        if a &gt;= n:
            return 'A'
        elif b &gt;= n:
            return 'B'
    if a &lt; n and b &lt; n:
        return None
          </t>
  </si>
  <si>
    <t>def calculate_winner(lst, n):
    a=0
    b=0
    c=0
    for y in lst:
        if y=="A":
            a=a+1
        if lst[c-1]=="A"and y=="A":
            a=a+2-1
        if a==n:
            return "A"
        if y=="B":
            b+=1
            if b==n:
                return "B"
        if y=="B" and lst[c-1]=="B":
            b=b+1
            if b==n:
                return "B"
        else:
            a=a
            b=b
            c=c+1</t>
  </si>
  <si>
    <t>def calculate_winner(lst, n):
    if n == 0:
        return None
    if len(lst) == 1:
        if lst[0] == 'A':
            return 'A'
        if lst[0] == 'B':
            return 'B'
        if lst[0] == 'T':
            return None
    wincondition = False
    winner = None
    A = 0
    B = 0
    x = 1
    if lst[0] == 'A':
        A += 1
    if lst[0] == 'B':
        B += 1
    while wincondition == False:
        if lst[x] == 'A':
            if lst[x-1] == 'A':
                A += 2
            else:
                A += 1
        if lst[x] == 'B':
            if lst[x-1] == 'B':
                B += 2
            else:
                B += 1
        if A &gt;= n:
            wincondition = True
            winner = 'A'
            break
        if B &gt;= n:
            wincondition = True
            winner = 'B'
            break
        x += 1
        if x == len(lst):
            break
    return winner</t>
  </si>
  <si>
    <t xml:space="preserve">def calculate_winner(lst, n):
    A_score=0
    B_score=0
    for count in range(len(lst)):
        if (len(lst)&gt;1): # to check the size of lst is at least 2, so the slicing lst[1:] i valid operation 
            if lst[0]=='A':
                A_score+=1
                if A_score&gt;=n:
                    return str('A')
                lst=lst[1:]
                while lst[0]=='A':
                    A_score+=2
                    if A_score&gt;=n:
                        return str('A')
                    lst=lst[1:]
            elif lst[0]=='B':
                B_score+=1
                if B_score&gt;=n:
                    return 'B'
                lst=lst[1:]
                while lst[0]=='B':
                    B_score+=2
                    if B_score&gt;=n:
                        return 'B'
                    lst=lst[1:]
            else:
                lst=lst[1:]
    return
</t>
  </si>
  <si>
    <t xml:space="preserve">def calculate_winner(lst, n):
    count_A=0
    count_B=0
    threshold=n
    for i in range(0,len(lst)):
        if lst[i]=='A':
            if lst[i]==lst[i-1]:
                count_A=count_A+2
            else:
                count_A=count_A+1
            if count_A&gt;=n:
                    return 'A'
        elif lst[i]=='B':
            if lst[i]==lst[i-1]:
                count_B=count_B+2
            else:
                count_B=count_B+1
            if count_B&gt;=n:
                        return 'B'
        else:
            count_B=count_B
            count_A=count_A
    if (count_A&lt;n and count_B&lt;n):
        return None
</t>
  </si>
  <si>
    <t xml:space="preserve">import random
def createList(s):
    list1 = []
    for i in range(s):
        list1.append(random.randint(0,50))
    return list1
    </t>
  </si>
  <si>
    <t xml:space="preserve">import random
def createList(s):
    ans = []
    for count in range(s):
        x = random.randint(0,50)
        ans.append(x)
    return ans
    </t>
  </si>
  <si>
    <t xml:space="preserve">def createList(s):
    import random
    x = []
    for count in range(1, s + 1):
        x.append(random.randint(1,50))
    return x
</t>
  </si>
  <si>
    <t xml:space="preserve">def createList(s):
    import random
    list=[]
    for i in range(s):
        list.append(random.randint(0,50))
    return list
    </t>
  </si>
  <si>
    <t xml:space="preserve">def createList(s):
    import random
    list1 = []
    for i in range (1, s+1):
        i = i+1
        x = random.randint(0,50)
        list1.insert(0, x)
    return list1
    </t>
  </si>
  <si>
    <t xml:space="preserve">import random
def createList(s):
    myList=[]
    for i in range(s):
        myList.append(random.randint(0,50))
    return myList
    </t>
  </si>
  <si>
    <t xml:space="preserve">def createList(s):
  import random
  lst = []
  for count in range(s):
    lst += [random.randint(0, 50)]
  return lst
    </t>
  </si>
  <si>
    <t>import random
def createList(s):
    a = 0
    list = []
    while len(list) &lt; s:
        b = random.randint(0,50)
        list.append(b)
    return list
print(createList(5))</t>
  </si>
  <si>
    <t>import random
def createList(s):
    list=[]
    for count in range(s):
        list.append(random.randint(0,50))
    return list</t>
  </si>
  <si>
    <t xml:space="preserve">def createList(s):
    import random
    n=[]
    for c in range(s):
        n.append(random.randint(0,50))
    return n
    </t>
  </si>
  <si>
    <t xml:space="preserve">import random
def createList(s):
    correct_ans = []
    for I in range (s):
       correct_ans.append(random.randint(0,50))
    return correct_ans
    </t>
  </si>
  <si>
    <t xml:space="preserve">import random
def createList(s):
    mylist = []
    for i in range(s):
        mylist.append(random.randint(0,50))
    return mylist
</t>
  </si>
  <si>
    <t>def createList(s):
    import random
    ran = []
    for dummyVar in range(s):
        ran.append(random.randint(0,51))
    return ran</t>
  </si>
  <si>
    <t xml:space="preserve">def createList(s):
    import random
    x=[]
    for i in range(s):
        x.append(random.randint(0,50))
    return x
    </t>
  </si>
  <si>
    <t xml:space="preserve">import random
def createList(s):
    list = [random.randint(0,50) for i in range(1,s+1)]
    return list
</t>
  </si>
  <si>
    <t xml:space="preserve">import random
def createList(s):
    randlist = []
    while len(randlist) &lt; s:
        randlist.append(random.randint(0,50))
    return randlist
</t>
  </si>
  <si>
    <t xml:space="preserve">def createList(s):
    list1 = []
    import random
    for x in range(s):
        var = random.randrange(0,51)
        list1.append(var)
    return list1
    </t>
  </si>
  <si>
    <t xml:space="preserve">import random
def createList(s):
    list1 = []
    for i in range(s):
        list1.append(random.randint(0,50))
    return list1
    </t>
  </si>
  <si>
    <t xml:space="preserve">import random
def createList(s):
    list1 = list(range(0,s))
    random.shuffle(list1)
    return list1
    </t>
  </si>
  <si>
    <t>import random
def createList(s):
    list1 = [random.randint(0,50) for x in range(s)]
    return list1</t>
  </si>
  <si>
    <t xml:space="preserve">import random
def createList(s):
    l = []
    for i in range(s):
        l += [random.randint(0,50)]
    return l
    </t>
  </si>
  <si>
    <t>import random
def createList(s):
    meow = []
    for i in range(s):
        meow.append(random.randint(0,50))
    return meow</t>
  </si>
  <si>
    <t xml:space="preserve">import random
def createList(s):
    returnee = []
    for i in range(s):
        returnee.append(random.randint(0,50))
    return returnee
    </t>
  </si>
  <si>
    <t xml:space="preserve">import random
def createList(s):
    x = []
    for i in range(0, s):
        value = random.randint(0, 50)
        x.append(value)
    return x
    pass
</t>
  </si>
  <si>
    <t>import random
a=[]
def createList(s):
    a=[]
    for i in range(s):
        a.append(random.randint(0,51))
    return a</t>
  </si>
  <si>
    <t xml:space="preserve">def createList(s):
    list1 = list(range(0,s))
    return list1
    </t>
  </si>
  <si>
    <t>import random
def createList(s):
    ans = []
    for i in range(s) :
        list1 = [random.randint(0,50)]
        ans = ans + list1
    return ans</t>
  </si>
  <si>
    <t>import random
def createList(s):
    ans = []
    for i in range(s):
        ans += [random.randint(0,50)]
    return ans</t>
  </si>
  <si>
    <t>def createList(s):
    import random
    l1 = []
    for i in range(s):
        l1.append(random.randint(0,50))
    return l1</t>
  </si>
  <si>
    <t xml:space="preserve">def createList(s):
    import random
    g = []
    for i in range(s):
        v = random.randint(0,50)
        g.append(v)
    return g
    pass
    </t>
  </si>
  <si>
    <t>import random
def createList(s):
    list1=list(range(0,51))
    random.shuffle(list1)
    x=list1[:s]
    return x</t>
  </si>
  <si>
    <t xml:space="preserve">import random
def createList(s):
    List=[x for x in range(s)]
    for z in range (s):
        List[z]=random.randrange(0,50)
    return List
    </t>
  </si>
  <si>
    <t>def createList(s):
    import random
    count = 1
    mylist = []
    while count &lt;= s:
        x = random.randint (0,50)
        mylist.append(x)
        count = count + 1
    return mylist</t>
  </si>
  <si>
    <t>import random
def createList(s):
    myList = []
    for i in range(s):
        myList.append(random.randint(0,50))
    return myList</t>
  </si>
  <si>
    <t xml:space="preserve">import random
def createList(s):
    list = []
    for i in range(s):
        list.append(random.randint(0,50))
    return list
    </t>
  </si>
  <si>
    <t xml:space="preserve">def createList(s):
    import random
    list1 = []
    for i in range(s):
        n = random.randrange(0,51)
        list1.append(n)
    return list1
</t>
  </si>
  <si>
    <t>import random
def createList(s):
    list3=list()
    for i in range(s):
        list3.append(random.randint(0,50))
    return list3</t>
  </si>
  <si>
    <t xml:space="preserve">from random import *
def createList(s):
    list=[]
    for i in range(s):
        list.append(randint(0, 50))
    return list
    </t>
  </si>
  <si>
    <t xml:space="preserve">def createList(s):
    import random
    list1 = []
    for i in range (s):
        list2 = list(range(0,50))
        random.shuffle(list2)
        correct_ans = list2 [i]
        list1 += [correct_ans]
    return list1
    </t>
  </si>
  <si>
    <t xml:space="preserve">def createList(s):
    import random
    list1 = [x for x in range(51)]
    list2 = list1[0 : s]
    return list2
    </t>
  </si>
  <si>
    <t xml:space="preserve">import random
def createList(s):
    correct_ans=list()
    for a in range (s):
        x=random.randint(0,49)
        correct_ans+=[x]
    return correct_ans
    </t>
  </si>
  <si>
    <t>def createList(s):
    list1 = []
    for i in range(s):
        import random
        num = random.randint(0,50)
        list1.append(num)
    return list1</t>
  </si>
  <si>
    <t xml:space="preserve">def createList(s):
    import random
    list2 = []
    for i in range(s):
        list1=list(range(0,50))
        random.shuffle(list1)
        correct_ans=list1[i]
        list2 += [correct_ans]
    return list2
    </t>
  </si>
  <si>
    <t xml:space="preserve">import random
def createList(s):
    correct_ans = []
    num=0
    while num &lt; s:
        correct_ans.append(random.randint(0,50))
        num += 1
    return correct_ans
        </t>
  </si>
  <si>
    <t xml:space="preserve">import random
def createList(s):
    mylist=[]
    for i in range(s):
        mylist.append(random.randint(0,50))
    return mylist
    </t>
  </si>
  <si>
    <t xml:space="preserve">def createList(s):
    import random
    myList = []
    for i in range(1,s+1):
        x = random.randint(1,51)
        myList.append(x)
    return myList
</t>
  </si>
  <si>
    <t xml:space="preserve">import random
def createList(s):
    mylist = []
    for i in range(s):
        mylist.append(random.randrange(0, 51))
    return mylist    
    </t>
  </si>
  <si>
    <t xml:space="preserve">def createList(s):
    List=[]
    for i in range(s):
        List.append(s)
    return List
    </t>
  </si>
  <si>
    <t xml:space="preserve">list = []
import random
def createList(s):
    for a in range (0 , s):
        x = random.randint(0 , 50)
        list.append(x)
    return list
    </t>
  </si>
  <si>
    <t>def createList(s):
    listv = []
    for i in range(0, s):
        listv.append(i)
    return listv</t>
  </si>
  <si>
    <t xml:space="preserve">import random
def createList(s):
    x=[]
    for count in range(s):
        x.append(random.randint(0,50))
    return x
</t>
  </si>
  <si>
    <t>import random
def createList(s):
    mylist = []
    for i in range(s):
        mylist.append(random.randint(0,50))
    return mylist</t>
  </si>
  <si>
    <t xml:space="preserve">import random
def createList(s):
    mylist = []
    for i in range(s):
        mylist.append(random.randint(0, 50))
    return mylist
    </t>
  </si>
  <si>
    <t xml:space="preserve">import random
def createList(s):
    list1=[]
    for count in range(s):
        list1+=[random.randint(0,50)]
    return list1
</t>
  </si>
  <si>
    <t xml:space="preserve">import random
def createList(s):
    list1 = list(range(0,51))
    random.shuffle(list1)
    return list1[0:s]
    pass
    </t>
  </si>
  <si>
    <t xml:space="preserve">import random
def createList(s):
    list=[]
    for i in range(s):
        x=random.randint(0,50)
        list.append((x))
    return list  
</t>
  </si>
  <si>
    <t xml:space="preserve">import random
def createList(s):
    list1 = []
    for count in range (s):
        list1.append(random.randint(0,50))
    return list1
    pass
    </t>
  </si>
  <si>
    <t xml:space="preserve">from random import randint
def createList(s):
    ans = []
    for count in range(s):
        ans.append(randint(0,50))
    return ans
    </t>
  </si>
  <si>
    <t xml:space="preserve">import random
def createList(s):
    list1 = list()
    for i in range(s):
        list1.append(random.randrange(0,50))
    return list1
    </t>
  </si>
  <si>
    <t xml:space="preserve">import random
def createList(s):
    list1=[0]
    list1=list1*s
    for i in range(s):
        list1[i]=random.randrange(0,50)
    return list1
    </t>
  </si>
  <si>
    <t xml:space="preserve">def createList(s):
    list=[]
    value=0
    for count in range(s):
        list.append(value)
        value=value+1
    return list
    </t>
  </si>
  <si>
    <t>import random
def createList(s):
    listf=[]
    for count in range(s):
        listi=[random.randint(0,50)]
        listf=listf+listi
    return listf
print (createList(9))</t>
  </si>
  <si>
    <t xml:space="preserve">import random
def createList(s):
    thelist=[]
    for count in range(s):
        thelist.append(random.randint(0,50))
    return thelist
    </t>
  </si>
  <si>
    <t>import random
def createList(s):
    list = []
    for count in range(s):
        list.append(random.randint(0,50))
    return list</t>
  </si>
  <si>
    <t>import random
def createList(s):
    list = []
    for count in range(s):
        x = random.randint(0,49)
        list.append(x)
    return list</t>
  </si>
  <si>
    <t xml:space="preserve">
import random
def createList(s):
    list1=list()
    for count in range(s):
        list1+=[random.randint(0,50)]
    return list1
    pass
    </t>
  </si>
  <si>
    <t xml:space="preserve">import random
def createList(s):
    mylist = []
    for i in range(s):
        x = random.randint(0,50)
        mylist.append(x)
    return mylist
    pass
    </t>
  </si>
  <si>
    <t xml:space="preserve">def createList(s):
    import random
    myList = []
    for i in range(s):
        myList.append(random.randint(0,50))
    return myList
        </t>
  </si>
  <si>
    <t xml:space="preserve">import random
def createList(s):
    mylist = []
    for i in range(s):
        mylist.append(random.randint(0,50))
    return mylist
    </t>
  </si>
  <si>
    <t xml:space="preserve">import random
def createList(s):
    list1 = []
    x = 0
    while x &lt; s:
        element = random.randint(0,50)
        list1.append(element)
        x += 1
    return list1
    </t>
  </si>
  <si>
    <t xml:space="preserve">import random
def createList(s):
    x = 0
    numbers = [random.randint(0,50)]
    while x &lt; s - 1:
        numbers.append(random.randint(0,50))
        x = x + 1
    return numbers
</t>
  </si>
  <si>
    <t xml:space="preserve">import random
def createList(s):
    correct_ans = []
    for count in range(s):
        correct_ans.append(random.randint(0, 50))
    return correct_ans
    </t>
  </si>
  <si>
    <t>import random
def createList(s):
    List=list()
    for i in range(s):
        List.append(s)
    return List</t>
  </si>
  <si>
    <t>import random
def createList(s):
    ans = []
    for i in range(0,s):
        ans += [random.randrange(0,51)]
    return ans
print(createList(5))</t>
  </si>
  <si>
    <t>import random
def createList(s):
    mylist = []
    for i in range (s):
        mylist.append(random.randint(0,50))
    return mylist</t>
  </si>
  <si>
    <t>from random import randint
def createList(s):
    list1 = []
    for i in range(s):
        list1.append(randint(0,50))
    return list1</t>
  </si>
  <si>
    <t xml:space="preserve">import random
def createList(s):
    list = []
    for i in range(s):
        list.append(random.randint(0, 50))
    return list
    </t>
  </si>
  <si>
    <t xml:space="preserve">import random
def createList(s):
    list1=[]
    for WHAT in range (1,(s+1)):
        a=random.randint(0,50)
        list1.append(a)
    return list1
    pass
</t>
  </si>
  <si>
    <t>import random
def createList(s):
    x = []
    for a in range(s):
        x.append(random.randint(0,50))
    return x</t>
  </si>
  <si>
    <t>import random
def createList(s):
    correct_ans=[]
    for i in range(s):
        correct_ans.append(random.randint(0,50))
        i=i+1
    return correct_ans</t>
  </si>
  <si>
    <t>def SumAndAverage(mylist):
    sum1 = sum(mylist)
    average = sum1 / len(mylist)
    return sum1,average</t>
  </si>
  <si>
    <t>def SumAndAverage(mylist):
    x = sum(mylist)
    y = sum(mylist)/len(mylist)
    return x,y</t>
  </si>
  <si>
    <t>def SumAndAverage(mylist):
    x = sum(mylist)
    y = x / len(mylist)
    return x, y</t>
  </si>
  <si>
    <t>def SumAndAverage(mylist):
    ans1=sum(mylist)
    ans2=(sum(mylist)/len(mylist))
    return ans1,  ans2</t>
  </si>
  <si>
    <t>def SumAndAverage(mylist):
    return sum(mylist), sum(mylist)/len(mylist)</t>
  </si>
  <si>
    <t>def SumAndAverage(mylist):
    ans1 =sum(mylist)
    ans2 =ans1/len(mylist)
    return ans1, ans2</t>
  </si>
  <si>
    <t>def SumAndAverage(mylist):
  add = sum(mylist)
  ave = add / (len(mylist))
  return (add, ave)</t>
  </si>
  <si>
    <t>import random
def SumAndAverage(mylist):
    a = sum(mylist)
    b = a / len(mylist)
    return a, b</t>
  </si>
  <si>
    <t xml:space="preserve">def SumAndAverage(mylist):
    tsum = sum(mylist)
    average = tsum/len(mylist)
    return tsum , average
</t>
  </si>
  <si>
    <t>def SumAndAverage(mylist):
    ans1 = sum(mylist)
    ans2 = sum(mylist)/len(mylist)
    return ans1, ans2</t>
  </si>
  <si>
    <t xml:space="preserve">def SumAndAverage(mylist):
    a = sum(mylist)
    b = sum(mylist)/len(mylist)
    return(a,b)
</t>
  </si>
  <si>
    <t xml:space="preserve">def SumAndAverage(mylist):
    a=sum(mylist)/len(mylist)
    s=sum(mylist)
    return s,a
    </t>
  </si>
  <si>
    <t>def SumAndAverage(mylist):
    toGive = sum(mylist)
    toGive2 = toGive/len(mylist)
    return toGive, toGive2</t>
  </si>
  <si>
    <t>def SumAndAverage(mylist):
    x=sum(mylist)
    y=len(mylist)
    y=x/y
    return x,y</t>
  </si>
  <si>
    <t xml:space="preserve">def SumAndAverage(mylist):
    total = sum(mylist)
    avg = total/len(mylist)
    return total,avg
</t>
  </si>
  <si>
    <t xml:space="preserve">def SumAndAverage(mylist):
    x = sum(mylist)
    y = x/len(mylist)
    return x, y
</t>
  </si>
  <si>
    <t xml:space="preserve">def SumAndAverage(mylist):
    ans1 = sum (mylist)
    ans2 = ans1 / len(mylist)
    return ans1, ans2
    </t>
  </si>
  <si>
    <t xml:space="preserve">def SumAndAverage(mylist):
    x = sum(mylist)
    y = x / len(mylist)
    return x, y
</t>
  </si>
  <si>
    <t>def SumAndAverage(mylist):
    Sum = sum(mylist)
    leng = len(mylist)
    ave = Sum/leng
    return Sum, ave</t>
  </si>
  <si>
    <t>def SumAndAverage(mylist):
    result1 = sum(mylist)
    result2 = result1/len(mylist)
    return result1, result2</t>
  </si>
  <si>
    <t>def SumAndAverage(mylist):
    total = 0
    total = sum(mylist)
    average = total / len(mylist)
    return total,average</t>
  </si>
  <si>
    <t>def SumAndAverage(mylist):
    return sum(mylist), sum(mylist) / len(mylist)</t>
  </si>
  <si>
    <t>def SumAndAverage(mylist):
    listsum = sum(mylist)
    average = listsum/len(mylist)
    return listsum, average
    pass</t>
  </si>
  <si>
    <t>def SumAndAverage(mylist):
    return sum(mylist),sum(mylist)/len(mylist)</t>
  </si>
  <si>
    <t>def SumAndAverage(mylist):
    a = sum(mylist)
    b = a / len(mylist)
    return a,b</t>
  </si>
  <si>
    <t>def SumAndAverage(mylist):
    summ = sum(mylist)
    ave = summ / (len(mylist))
    return summ, ave</t>
  </si>
  <si>
    <t xml:space="preserve">def SumAndAverage(mylist):
    i = len(mylist)
    k = sum(mylist)
    result = k / i
    return k , result
</t>
  </si>
  <si>
    <t>def SumAndAverage(mylist):
    s = sum(mylist)
    r = len(mylist)
    a = s / r
    return s,a
    pass</t>
  </si>
  <si>
    <t>def SumAndAverage(mylist):
    x=sum(mylist)
    s=x/len(mylist)
    return x, s</t>
  </si>
  <si>
    <t>def SumAndAverage(myList):
    ans1 = sum(myList)
    ans2 = ans1/len(myList)
    return ans1, ans2</t>
  </si>
  <si>
    <t>def SumAndAverage(mylist):
    ans1 = sum(mylist)
    lenght = len(mylist)
    ans2 = ans1 / lenght
    return ans1, ans2</t>
  </si>
  <si>
    <t xml:space="preserve">def SumAndAverage(a):
    ans1 = sum(a)
    ans2 = ans1 /len(a)
    return ans1, ans2
</t>
  </si>
  <si>
    <t>def SumAndAverage(mylist):
    return (sum(mylist)), ((sum(mylist))/(len(mylist)))</t>
  </si>
  <si>
    <t>def SumAndAverage(mylist):
    mysum = sum(mylist)
    average = mysum / len(mylist)
    return mysum, average</t>
  </si>
  <si>
    <t>def SumAndAverage(mylist):
    list_sum=sum(mylist)
    list_average=sum(mylist)/len(mylist)
    return list_sum,list_average</t>
  </si>
  <si>
    <t>def SumAndAverage(mylist):
    result = sum(mylist)
    result1 = result / len(mylist)
    ans = result, result1
    return ans</t>
  </si>
  <si>
    <t xml:space="preserve">def SumAndAverage(mylist):
    y = sum(mylist)
    z = sum(mylist) / len(mylist)
    return y, z
</t>
  </si>
  <si>
    <t xml:space="preserve">def SumAndAverage(mylist):
    x=sum(mylist)/len(mylist)
    return sum(mylist),x
    </t>
  </si>
  <si>
    <t>def SumAndAverage(mylist):
    total = sum(mylist)
    average = total / len(mylist)
    return total, average</t>
  </si>
  <si>
    <t>def SumAndAverage(mylist):
    number=len(mylist)
    list1=[]
    summ=0
    for i in range(number):
        values=mylist[i]
        summ+=values
    average=summ/number
    return summ,average</t>
  </si>
  <si>
    <t xml:space="preserve">def SumAndAverage(myList):
  return sum(myList), sum(myList)/len(myList)
        </t>
  </si>
  <si>
    <t>def SumAndAverage(mylist):
    ans1=sum(mylist)
    ans2=sum(mylist)/len(mylist)
    return ans1, ans2</t>
  </si>
  <si>
    <t>def SumAndAverage(mylist):
    a = sum(mylist)
    b = sum(mylist) / len(mylist)
    return a,b</t>
  </si>
  <si>
    <t>def SumAndAverage(mylist):
    ans = sum(mylist)
    ave = ans / len(mylist)
    return ans, ave</t>
  </si>
  <si>
    <t xml:space="preserve">def SumAndAverage(mylist):
    tot = sum(mylist)
    ave = tot/(len(mylist))
    return tot, ave
   </t>
  </si>
  <si>
    <t>def SumAndAverage(mylist):
    a = sum(mylist)
    b = len(mylist)
    c = a / b
    return a, c</t>
  </si>
  <si>
    <t>def SumAndAverage(mylist):
    x = sum(mylist)
    y = len(mylist)
    an = x / y
    return x, an</t>
  </si>
  <si>
    <t>def SumAndAverage(mylist):
    ans1 = sum(mylist)
    ans2 = ans1 / len(mylist)
    return ans1, ans2</t>
  </si>
  <si>
    <t>def SumAndAverage(mylist):
    sum1 = sum(mylist)
    number=len(mylist)
    return sum1, sum1/number</t>
  </si>
  <si>
    <t>def SumAndAverage(mylist):
    ans1=sum(mylist)
    ans2=ans1/len(mylist)
    return ans1, ans2</t>
  </si>
  <si>
    <t>def SumAndAverage(mylist):
    return (sum(mylist), sum(mylist)/len(mylist))
    pass</t>
  </si>
  <si>
    <t xml:space="preserve">def SumAndAverage(myList):
    average=int(sum(myList))/int(len(myList))
    total=(sum(myList))
    return total,average
    </t>
  </si>
  <si>
    <t xml:space="preserve">def SumAndAverage(mylist):
    sums = sum(mylist)
    avg = sum(mylist) / len(mylist)
    return sums, avg
  </t>
  </si>
  <si>
    <t>def SumAndAverage(mylist):
    return sum(mylist), (sum(mylist))/len(mylist)</t>
  </si>
  <si>
    <t>def SumAndAverage(mylist):
    return (sum(mylist)),(sum(mylist)/len(mylist))</t>
  </si>
  <si>
    <t>def SumAndAverage(mylist):
    return sum(mylist),  (sum(mylist)/len(mylist))</t>
  </si>
  <si>
    <t>def SumAndAverage(mylist):
    ans1=sum(mylist)
    ans2=ans1/(len(mylist))
    return ans1,ans2
    pass</t>
  </si>
  <si>
    <t>def SumAndAverage(thelist):
    x=len(thelist)
    this=0
    for count in range(x):
        y=thelist[count]
        this=this+int(y)
    average=this/x
    return this,average</t>
  </si>
  <si>
    <t>def SumAndAverage(mylist):
    ans1 = sum(mylist)
    ans2 = ans1/len(mylist)
    return ans1,ans2</t>
  </si>
  <si>
    <t>def SumAndAverage(mylist):
    x = sum(mylist)
    y = len(mylist)
    z = x/y
    return x,z</t>
  </si>
  <si>
    <t>def SumAndAverage(mylist):
    sum1=sum(mylist)
    ave=(sum1/(len(mylist)))           
    return sum1, ave
    pass</t>
  </si>
  <si>
    <t>def SumAndAverage(mylist):
    ans1 = sum(mylist)
    ans2 = ans1 / len(mylist)
    return ans1, ans2
    pass</t>
  </si>
  <si>
    <t xml:space="preserve">def SumAndAverage(mylist):
    x = sum(mylist)
    y = x / (len(mylist))
    return x, y
</t>
  </si>
  <si>
    <t xml:space="preserve">def SumAndAverage(mylist):
    total = sum(mylist)
    average = total/len(mylist)
    return total, average
    </t>
  </si>
  <si>
    <t>def SumAndAverage(mylist):
    total = sum(mylist)
    elements = len(mylist)
    average = total/elements
    return total,average</t>
  </si>
  <si>
    <t xml:space="preserve">def SumAndAverage(mylist):
    x = sum(mylist)
    a = x / (len(mylist))
    return x,a
    </t>
  </si>
  <si>
    <t xml:space="preserve">def SumAndAverage(mylist):
    s = sum(mylist)
    a = sum(mylist)/len(mylist)
    return s , a
    </t>
  </si>
  <si>
    <t>def SumAndAverage(mylist):
    x=sum(mylist)
    y=len(mylist)
    return x, x/y</t>
  </si>
  <si>
    <t xml:space="preserve">def SumAndAverage(mylist):
    ans1 = sum(mylist)
    ans2 = ans1/len(mylist)
    return ans1, ans2
</t>
  </si>
  <si>
    <t>def SumAndAverage(mylist):
    sum1= sum(mylist)
    ave= sum(mylist)/len(mylist)
    return sum1,ave</t>
  </si>
  <si>
    <t xml:space="preserve">def SumAndAverage(mylist):
    ans1 = sum(mylist)
    ans2 = sum(mylist)/len(mylist)
    return ans1, ans2
</t>
  </si>
  <si>
    <t>def SumAndAverage(mylist):
    listsum = sum(mylist)
    listaverage = listsum / len(mylist)
    return listsum, listaverage</t>
  </si>
  <si>
    <t>def SumAndAverage(mylist):
    tot=sum(mylist)
    a=len(mylist)
    ave=tot/a
    return tot,ave</t>
  </si>
  <si>
    <t xml:space="preserve">def SumAndAverage(mylist):
    a = sum(mylist)
    b = len(mylist)
    ans = a/b
    return a, ans
</t>
  </si>
  <si>
    <t>def SumAndAverage(mylist):
    sum1 = sum(mylist)
    avg = sum1 / len(mylist)
    return sum1, avg</t>
  </si>
  <si>
    <t>def SumAndAverage(myList):
    total=sum(myList)
    n=len(myList)
    avg=total/n
    return total,avg</t>
  </si>
  <si>
    <t>def numOcurrence(mylist, data):
    count = 0
    number = ''
    for i in range(len(mylist)):
        number = mylist[i]
        if number == data:
            count += 1
    return count</t>
  </si>
  <si>
    <t>def numOcurrence(mylist, data):
    count = 0
    for i in range(len(mylist)):
        if mylist[i] == data:
            count += 1
    return count</t>
  </si>
  <si>
    <t>def numOcurrence(mylist, data):
    x = mylist.count(data)
    return x</t>
  </si>
  <si>
    <t xml:space="preserve">def numOcurrence(mylist, data):
    x = 0
    for count in range(len(mylist)):
        if mylist[count] == data:
            x += 1
    return x
</t>
  </si>
  <si>
    <t>def numOcurrence(mylist, data):
    count=0
    for i in mylist:
        if i == data:
            count+=1
    return count</t>
  </si>
  <si>
    <t>def numOcurrence(mylist, data):
    ans=0
    for i in mylist:
        if i==data:
            ans+=1
    return ans</t>
  </si>
  <si>
    <t>def numOcurrence(mylist, data):
    count=0
    for i in range(len(mylist)):
        number=mylist[i]
        if number == data:
            count = count+1
    return count</t>
  </si>
  <si>
    <t>def numOcurrence(mylist, data):
  ans = 0
  for i in range(len(mylist)):
    if (mylist[i] == data):
      ans += 1
  return ans</t>
  </si>
  <si>
    <t>def numOcurrence(mylist, data):
    a = 0
    b = 0
    while a &lt; len(mylist):
        if mylist[a] == data:
            b = b + 1
        else:
            b = b
        a = a + 1
    return b</t>
  </si>
  <si>
    <t>def numOcurrence(mylist, data):
    s=0
    for count in range (len(mylist)):
        if mylist[count]==data:
            s+=1
    return s</t>
  </si>
  <si>
    <t>def numOcurrence(mylist, data):
    ans = 0
    for I in range(len(mylist)):
        if data == mylist[I]:
            ans += 1
    return ans</t>
  </si>
  <si>
    <t xml:space="preserve">def numOcurrence(mylist,data):
    count = 0
    for s in mylist:
        if s == data:
            count+=1
    return count
    </t>
  </si>
  <si>
    <t xml:space="preserve">def numOcurrence(mylist, data):
    x =0
    for i in mylist:
        if i == data:
            x += 1
    return x
  </t>
  </si>
  <si>
    <t xml:space="preserve">
def numOcurrence(mylist, data):
    demo = mylist.count(data)
    return demo
</t>
  </si>
  <si>
    <t>def numOcurrence(mylist, data):
    sum=0
    for i in mylist:
        if i==data:
            sum+=1
    return sum</t>
  </si>
  <si>
    <t xml:space="preserve">def numOcurrence(mylist, data):
    return mylist.count(data)
</t>
  </si>
  <si>
    <t xml:space="preserve">def numOcurrence(mylist, data):
    count = 0
    for x in range(0, len(mylist)):
        if mylist[x]== data:
            count = count + 1
        else:
            count = count + 0
    return count
</t>
  </si>
  <si>
    <t>def numOcurrence(mylist, data):
    ans = mylist.count(data)
    return ans</t>
  </si>
  <si>
    <t xml:space="preserve">
def numOcurrence(mylist, data):
    ans = 0
    for x in mylist:
        if x == data:
            ans += 1
    return ans
</t>
  </si>
  <si>
    <t xml:space="preserve">def numOcurrence(mylist, data):
    count = 0
    for x in mylist:
        if x == data:
            count += 1
    return count
</t>
  </si>
  <si>
    <t>def numOcurrence(mylist, data):
    count = 0
    for x in mylist:
        if x == data:
            count += 1
    return count</t>
  </si>
  <si>
    <t xml:space="preserve">def numOcurrence(mylist, data):
    return mylist.count(data)
   </t>
  </si>
  <si>
    <t>def numOcurrence(mylist, data):
    total = 0
    for i in mylist:
        if i == data:
            total += 1
    return total</t>
  </si>
  <si>
    <t>def numOcurrence(mylist, data):
    return mylist.count(data)</t>
  </si>
  <si>
    <t>def numOcurrence(mylist, data):
    n = 0
    m = 0
    while m&lt;=(len(mylist)-1):
        if data == mylist[m]:
            n += 1
        m += 1
    return n
    pass</t>
  </si>
  <si>
    <t>def numOcurrence(mylist, data):
    ans = 0
    for i in range(0,len(mylist)):
        if int(mylist[i]) == data:
            ans += 1
    return ans</t>
  </si>
  <si>
    <t>def numOcurrence(mylist, data):
    x = len(mylist)
    l = 0
    for t in range(x):
        if mylist[t] == data :
            l = l + 1
        else :
            l = l
    return l</t>
  </si>
  <si>
    <t>def numOcurrence(mylist, data):
    count = 0
    for i in range(len(mylist)):
        num = mylist[i]
        if num == data:
            count += 1
    return count</t>
  </si>
  <si>
    <t>def numOcurrence(mylist, data):
    x = mylist.count(data)
    return x
    pass</t>
  </si>
  <si>
    <t xml:space="preserve">def numOcurrence(mylist, data):
    a = [x for x in mylist if x==int(data)]
    total_sum = sum(a)
    ans = total_sum//int(data)
    return ans
</t>
  </si>
  <si>
    <t>def numOcurrence(mylist, data):
    count=0
    for i in range (len(mylist)):
        if data==mylist[i]:
            count+=1
    return count</t>
  </si>
  <si>
    <t>def numOcurrence(mylist, data):
    ans = 0
    count = 0
    lenght = len(mylist)
    while count &lt; lenght:
        if mylist[count] == data:
            ans = ans + 1
        count = count + 1
    return ans</t>
  </si>
  <si>
    <t>def numOcurrence(mylist, data):
    count = 0
    for i in range(len(mylist)):
        if (mylist[i]) == data:
            count += 1
    return count</t>
  </si>
  <si>
    <t xml:space="preserve">def numOcurrence(mylist, data):
    occur = 0
    while (data in mylist) == True:
        occur += 1
        a = mylist.index(data)
        mylist.pop(a)
    return occur
</t>
  </si>
  <si>
    <t>def numOcurrence(mylist, data):
    count=0
    for x in mylist:
        if x==data:
            count+=1
    return count</t>
  </si>
  <si>
    <t>def numOcurrence(mylist, data):
    count=0
    for i in range(len(mylist)):
        if mylist[i]==data:
            count+=1
    return count</t>
  </si>
  <si>
    <t>def numOcurrence(mylist, data):
    result = mylist.count(data)
    return result</t>
  </si>
  <si>
    <t>def numOcurrence(mylist, data):
    y = mylist.count(data)
    return y</t>
  </si>
  <si>
    <t xml:space="preserve">def numOcurrence(mylist, data):
    ans=0
    for i in mylist:
        if i==data:
           ans += 1
    return ans  
</t>
  </si>
  <si>
    <t>def numOcurrence(mylist, data):
    l = len(mylist)
    num = 0
    ans = 0
    for i in range(l):
        if mylist[num] == data:
            ans += 1
        i += 1
        num += 1
    return ans</t>
  </si>
  <si>
    <t>def numOcurrence(mylist, data):
    ans=mylist.count(data)
    return ans</t>
  </si>
  <si>
    <t xml:space="preserve">def numOcurrence(mylist, data):
  count = 0
  for x in mylist:
    if x == data:
      count += 1
  return count
        </t>
  </si>
  <si>
    <t xml:space="preserve">def numOcurrence(mylist, data):
    count=0
    for i in range(len(mylist)):
        if mylist[i] ==data:
            count+=1
    return count
    </t>
  </si>
  <si>
    <t xml:space="preserve">def numOcurrence(mylist, data):
    a = mylist.count(data)
    return a
</t>
  </si>
  <si>
    <t>def numOcurrence(mylist, data):
    count = 0
    for i in range (len(mylist)):
        if mylist[i] == data:
            count += 1
    return count</t>
  </si>
  <si>
    <t xml:space="preserve">def numOcurrence(mylist, data):
    occur = 0
    for i in mylist:
        if i == data:
            occur += 1
    return occur       </t>
  </si>
  <si>
    <t>def numOcurrence(mylist, data):
    x=mylist.count(data)
    return x</t>
  </si>
  <si>
    <t xml:space="preserve">def numOcurrence(mylist, data):
    count = 0
    for b in range(len(mylist)):
        if data == mylist[b]:
            count += 1
    return count     </t>
  </si>
  <si>
    <t>def numOcurrence(mylist, data):
    ans = 0
    for i in range(len(mylist)):
        if mylist[i] == data:
            ans += 1
    return ans</t>
  </si>
  <si>
    <t>def numOcurrence(mylist, data):
    sum = 0
    for i in range(len(mylist)):
        if mylist[i]==data:
            sum+=1
    return sum</t>
  </si>
  <si>
    <t xml:space="preserve">def numOcurrence(mylist, data):
    x=mylist.count(data)
    return x
    </t>
  </si>
  <si>
    <t>def numOcurrence(mylist, data):
    ans=0
    for item in mylist:
        if item == data:
            ans+=1
    return ans
    pass</t>
  </si>
  <si>
    <t>def numOcurrence(mylist, data):
    x=len(mylist)
    total=0
    for i in range(x):
        if data==mylist[i]:
            total+=1
        else:
            total+=0
        i+=1
    return total
    pass</t>
  </si>
  <si>
    <t xml:space="preserve">def numOcurrence(mylist, data):
    x = 0
    for count in mylist:
        if count == data:
            x += 1
    return x
    </t>
  </si>
  <si>
    <t>def numOcurrence(mylist, data):
    ans = 0
    for count in range(len(mylist)):
        if mylist[count] == data:
            ans += 1
    return ans</t>
  </si>
  <si>
    <t>def numOcurrence(mylist, data):
    answer = 0
    for i in range(len(mylist)):
        if data == mylist[i]:
            answer = answer + 1
    return answer</t>
  </si>
  <si>
    <t>def numOcurrence(mylist, data):
    list2=[x for x in mylist if x == data]
    return len(list2)</t>
  </si>
  <si>
    <t>def numOcurrence(mylist, data):
    x=0
    sum=0
    for count in range(len(mylist)):
        if mylist[x]==data:
            sum=sum+1
        x=x+1
    return sum</t>
  </si>
  <si>
    <t>def numOcurrence(mylist, data):
    ans=0
    for count in range(0,len(mylist)):
        x=mylist[count]
        if x==data:
            ans+=1
        else:
            continue
    return ans
    pass</t>
  </si>
  <si>
    <t>def numOcurrence(mylist,data):
    t=0
    for count in range(len(mylist)):
        if mylist[count]==data:
            t=t+1
    return t</t>
  </si>
  <si>
    <t>def numOcurrence(mylist, data):
    cheese = 0
    for count in range(len(mylist)):
        if mylist[count] == data:
            cheese += 1
    return cheese</t>
  </si>
  <si>
    <t>def numOcurrence(mylist, data):
    count = 0
    for i in mylist:
        if i == data:
            count = count+1
        else:
            count = count
    return count
    pass</t>
  </si>
  <si>
    <t>def numOcurrence(mylist, data):
    y=0
    for count in range(len(mylist)):
        if mylist[count]==data:
            y+=1
    return y
    pass</t>
  </si>
  <si>
    <t>def numOcurrence(mylist, data):
    y = 0
    for i in range(len(mylist)):
        if data == mylist[i]:
            y = y + 1
    return y
    pass</t>
  </si>
  <si>
    <t>def numOcurrence(mylist, data):
    count = 0
    for i in range(len(mylist)):
        if data == mylist[i]:
            count += 1
    return count</t>
  </si>
  <si>
    <t xml:space="preserve">def numOcurrence(mylist, data):
    count = 0 
    for i in range(len(mylist)):
        word = mylist[i]
        if word == data:
            count += 1
    return count
    </t>
  </si>
  <si>
    <t>def numOcurrence(mylist, data):
    x = len(mylist)
    y = 0
    ans = 0
    while y &lt; x:
        g = mylist[y]
        if g == data:
            ans+=1
            y+=1
        else:
            y+=1
    return ans</t>
  </si>
  <si>
    <t>def numOcurrence(mylist, data):
    a = len(mylist)
    x = 0
    y = 0
    while a - 1 &gt;= x:
        if mylist[x] == data:
            y = y + 1
            x = x + 1
        else:
            x = x + 1
            y = y
    return y</t>
  </si>
  <si>
    <t>def numOcurrence(mylist, data):
    num = mylist.count(data)
    return num</t>
  </si>
  <si>
    <t xml:space="preserve">def numOcurrence(mylist, data):
    ans = 0
    for i in range(len(mylist)):
        if mylist[i] == data:
            ans += 1
    return ans
print(numOcurrence([1,2,1,2,3,5,6,1,4,6,1], 1))
</t>
  </si>
  <si>
    <t>def numOcurrence(mylist, data):
    count = 0
    for i in range(len(mylist)):
        number = mylist[i]
        if number == data:
            count += 1
    return count</t>
  </si>
  <si>
    <t>def numOcurrence(mylist, data):
    word = 0
    count = 0
    for i in range(len(mylist)):
        word = mylist[i]
        if word == data:
            count += 1
    return count</t>
  </si>
  <si>
    <t>def numOcurrence(mylist, data):
    return (mylist.count(data))</t>
  </si>
  <si>
    <t xml:space="preserve">def numOcurrence(mylist, data):
    ans = 0
    for a in range(len(mylist)):
        if mylist[a] == data:
            ans += 1
    return ans
</t>
  </si>
  <si>
    <t xml:space="preserve">def numOcurrence(mylist, data):
    count=mylist.count(data)
    return count
</t>
  </si>
  <si>
    <t xml:space="preserve">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</si>
  <si>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ans = ''
    list1.sort()
    list2.sort()                 
    if len(list1) &gt; len(list2):
        ans = "List 2 is a subset of List 1"
        for x in list2:
            if x not in list1:
                ans = "The two list are not subsets of each other"
    elif len(list1) &lt;= len(list2):
        ans = "List 1 is a subset of List 2"
        for x in list1:
            if x not in list2:
                ans ="The two list are not subsets of each other"
    return ans</t>
  </si>
  <si>
    <t>def subset(list1, list2):
    list3 = list1 + list2
    unique = sorted(list(set(list3)))
    if unique == sorted(list2):
        return ("List 1 is a subset of List 2")
    elif unique == sorted(list1):
        return ("List 2 is a subset of List 1")
    else:
        return ("The two list are not subsets of each other")</t>
  </si>
  <si>
    <t xml:space="preserve">def subset(list1, list2):
    for i in range(min(len(list1),len(list2))):
        if len(list1)&lt;=len(list2):
            if list1[i] not in list2:
                return "The two list are not subsets of each other"
        else:
            if list2[i] not in list1:
                return "The two list are not subsets of each other"
    if len(list1)&lt;=len(list2):
        return "List 1 is a subset of List 2"
    else:
        return "List 2 is a subset of List 1"
                </t>
  </si>
  <si>
    <t>def subset(list1, list2):
    if len(list1) &gt; len(list2):
        ans="List 2 is a subset of List 1"
        for i in list2:
            if i not in list1:
                ans = "The two list are not subsets of each other"
    elif len(list1)&lt;len(list2):
        ans = "List 1 is a subset of List 2"
        for i in list1:
            if i not in list2:
                ans = "The two list are not subsets of each other"
    else:
        ans = "List 1 is a subset of List 2"
    return ans</t>
  </si>
  <si>
    <t>def subset(list1, list2):
    x=len(list1)
    y=len(list2)
    equalno=0
    for i in range(min(x,y)):
        if x &lt;= y:
            z=list1[i]
            for j in range(len(list2)):
                if z == list2[j]:
                    equalno=equalno+1
            if equalno == x:
                result="List 1 is a subset of List 2"
            else:
                result="The two list are not subsets of each other"
        elif x &gt;= y:
            z=list2[i]
            for j in range(len(list1)):
                if z == list1[j]:
                    equalno=equalno+1
                if equalno == y:
                    result="List 2 is a subset of List 1"
                else:
                    result="The two list are not subsets of each other"
    return result</t>
  </si>
  <si>
    <t>def subset(list1,list2):
    if (len(list1) &gt; len(list2)):
        bigset = list1
        smallset = list2
    else:
        bigset = list2
        smallset = list1
    subsetcheck = 0
    for i in range(len(smallset)):
        for j in range(len(bigset)):
            if smallset[i] == bigset[j]:
                subsetcheck += 1
    if subsetcheck &gt;= len(smallset):
        if smallset == list1:
            return ("List 1 is a subset of List 2")
        else:
            return ("List 2 is a subset of List 1")
    else:
        return ("The two list are not subsets of each other")</t>
  </si>
  <si>
    <t>def subset(list1, list2):
    a = 0
    c = 0
    if len(list1) &lt;= len(list2):
        while a &lt; len(list1):
            if (list1[a] in list2) == True:
                c = c + 1
            else:
                c = c
            a = a + 1
        if c == len(list1):
            return "List 1 is a subset of List 2"
        else:
            return  "The two list are not subsets of each other"
    else:
        while a &lt; len(list2):
            if (list2[a] in list1) == True:
                c = c + 1
            else:
                c = c
            a = a + 1
        if c == len(list2):
            return "List 2 is a subset of List 1"
        else:
            return "The two list are not subsets of each other"</t>
  </si>
  <si>
    <t xml:space="preserve">def subset(list1, list2):
    x=0
    y=0
    for i in list1:
        if i in list2:
            x+=1
    for i in list2:
        if i in list1:
            y+=1
    if x==len(list1):
        return"List 1 is a subset of List 2"
    elif y==len(list2):
        return "List 2 is a subset of List 1"
    else:
        return "The two list are not subsets of each other"
</t>
  </si>
  <si>
    <t>def subset(list1, list2):
    if len(list1)&gt;len(list2):
        ans="List 2 is a subset of List 1"
        for i in list2:
            if i not in list1:
                ans="The two list are not subsets of each other"
    elif len(list1)&lt;len(list2):
        ans="List 1 is a subset of List 2"
        for i in list1:
            if i not in list2:
                ans="The two list are not subsets of each other"
    else:
        ans="List 1 is a subset of List 2"
    return ans</t>
  </si>
  <si>
    <t>def subset(list1, list2):
    if len(list1) &lt;= len(list2):
        a = len(list1)
        b = list1
        c = list2
        d = "List 1 is a subset of List 2"
    else:
        a = len(list2)
        b = list2
        c = list1
        d = "List 2 is a subset of List 1"
    count = 0
    for Q in range(a):
        if b[Q] in c:
            count += 1
    if count == len(b):
        return d
    else:
        return "The two list are not subsets of each other"
    pass</t>
  </si>
  <si>
    <t>def subset(List1, List2):
    count=0
    for i in range(len(List1)):
        for j in range(len(List2)):
            if List1[i]==List2[j]:
                count+=1
    if count==len(List1) and len(List1)&lt;=len(List2):
        text = "List 1 is a subset of List 2"
    elif count==len(List2) and len(List2)&lt;=len(List1):
        text = "List 2 is a subset of List 1"
    else:
        text = "The two list are not subsets of each other"
    return text</t>
  </si>
  <si>
    <t>def subset(list1, list2):
    count = 0
    for i in range(len(list1)):
        for j in range(len(list2)):
            if list1[i]==list2[j]:
                count+=1       
    if count == len(list1) and count==len(list2):
        return "List 1 is a subset of List 2"
    elif count == len(list1) and len(list1)&lt;len(list2):
        return "List 1 is a subset of List 2"
    elif count == len(list2) and len(list2)&lt;len(list1):
        return "List 2 is a subset of List 1"
    else:
        return "The two list are not subsets of each other"</t>
  </si>
  <si>
    <t>def subset(list1, list2):
    list1.sort()
    list2.sort()
    '''
    0 for 1 in 2
    1 for 2 in 1
    2 for none in none
    '''
    anElement = 0
    if list1 == list2:
        return 'List 1 is a subset of List 2'
    for thing in list1:
        if thing in list2:
            anElement = 0
        else:
            anElement = 2
            break
    for thing in list2:
        if anElement == 0:
            break
        elif thing in list1:
            anElement = 1
        else:
            anElement = 2
            break
    if anElement == 0:
        return 'List 1 is a subset of List 2'
    elif anElement == 1:
        return 'List 2 is a subset of List 1'
    else:
        return 'The two list are not subsets of each other'</t>
  </si>
  <si>
    <t xml:space="preserve">def subset(list1, list2):
    x=0
    for i in list1:
        if i in list2:
            x+=1
    y=0
    for i in list2:
        if i in list1:
            y+=1
    if x==len(list1):
        return "List 1 is a subset of List 2"
    elif y==len(list2):
        return "List 2 is a subset of List 1"
    else:
        return "The two list are not subsets of each other"
    </t>
  </si>
  <si>
    <t>def subset(list1,list2):
    if sub(list1,list2):
        return "List 1 is a subset of List 2"
    elif sub(list2,list1):
        return "List 2 is a subset of List 1"
    else:
        return "The two list are not subsets of each other"
def sub(sub,list1):
    if len(sub) &gt; len(list1):
        return False
    else:
        return all(i in list1 for i in sub)</t>
  </si>
  <si>
    <t xml:space="preserve">def subset(a,b):
    if set.issubset(set(a),set(b)) == False:
        if set.issubset(set(b),set(a)) == False:
            return("The two list are not subsets of each other")
        else:
            return("List 2 is a subset of List 1")
    else:
        return("List 1 is a subset of List 2")
</t>
  </si>
  <si>
    <t>def subset(list1, list2):
    x=0
    y=0
    for i in list1:
        if i in list2:
            x+=1
    for i in list2:
        if i in list1:
            y+=1
    if x==len(list1):
        return"List 1 is a subset of List 2"
    elif y==len(list2):
        return "List 2 is a subset of List 1"
    else:
        return "The two list are not subsets of each other"</t>
  </si>
  <si>
    <t>def subset(list1, list2):
    set1 = set(list1)
    set2 = set(list2)
    if set1.issubset(set2):
        return "List 1 is a subset of List 2"
    elif set2.issubset(set1):
        return "List 2 is a subset of List 1"
    else:
        return "The two list are not subsets of each other"</t>
  </si>
  <si>
    <t>def subset(list1, list2):
    if len(list1) &gt; len(list2):
        count = 0
        while count != len(list2):
            if count == len(list2) - 1:
                a = "List 2 is a subset of List 1"
            if list2[count] in list1:
                count += 1
            else:
                a = "The two list are not subsets of each other"
                break
        return a
    else:
        count = 0
        while count != len(list1):
            if count == len(list1) - 1:
                a = "List 1 is a subset of List 2"
            if list1[count] in list2:
                count += 1
            else:
                a = "The two list are not subsets of each other"
                break
        return a</t>
  </si>
  <si>
    <t xml:space="preserve">def subset(list1, list2):
    set1, set2 = set(list1), set(list2)
    if set1 &amp; set2 == set1:
        message = "List 1 is a subset of List 2"
    elif set1 &amp; set2 == set2:
        message = "List 2 is a subset of List 1"
    else:
        message = "The two list are not subsets of each other"
    return message
</t>
  </si>
  <si>
    <t xml:space="preserve">def subset(list1, list2):
    state = True
    state2 = True
    for i in list1:
        if i in list2:
            pass
        else:
            state = False
            print("LOL")
    if state == True:
        return "List 1 is a subset of List 2"
    for i in list2:
        if i in list1:
            pass       
        else:
            state2 = False
            print("MEOW")
    if state2 == True:
        return "List 2 is a subset of List 1"
    else:
        return "The two list are not subsets of each other"
lista = [1,2,3]
listb = [3,4,6,2,1]
listc = [3,2,1]
listd = [3,4,6,2]
print(subset(listb,lista))
</t>
  </si>
  <si>
    <t>def subset(list1, list2):
    if set(list1).issubset(set(list2)):
        return "List 1 is a subset of List 2"
    elif set(list2).issubset(set(list1)):
        return "List 2 is a subset of List 1"
    else:
        return "The two list are not subsets of each other"</t>
  </si>
  <si>
    <t>def subset(list1, list2):
    list3=list1+list2
    a=0
    if len(list2)&gt;=len(list1):
        for y in list1:
            a=a+1
            if list3.count(y)==2:
                if len(list1)==a:
                    c="List 1 is a subset of List 2"
            else:
                c="The two list are not subsets of each other"
                break
    else:
        for y in list2:
            a=a+1
            if list3.count(y)==2:
                if len(list2)==a:
                    c="List 2 is a subset of List 1"
            else:
                c="The two list are not subsets of each other"
                break
    return c
    pass</t>
  </si>
  <si>
    <t>def subset(list1, list2):
    for i in list1:
        if i not in list2:
            for j in list2:
                if j not in list1:
                    return "The two list are not subsets of each other"
    if list1 &lt; list2:
        return "List 1 is a subset of List 2"
    elif list2 &lt; list1:
        return "List 2 is a subset of List 1"</t>
  </si>
  <si>
    <t>def subset(list1, list2):
    i = max(list1,list2)
    b = min(list1,list2)
    x = 0
    for o in range (0,len(i)):
        for u in range (0,len(b)):
            if i[o] == b[u]:
                x += 1
                break
    if x == len(b):
        if list1 &lt; list2:
            return "List 1 is a subset of List 2"
        else:
            return "List 2 is a subset of List 1"
    else:
        return "The two list are not subsets of each other"
    pass</t>
  </si>
  <si>
    <t>def subset(list1, list2):
    x = len(list1)
    y = len(list2)
    if x &lt; y :
        for ji in range(x):
            vb = int(list1[ji])
            xo = list2.count(vb)
            if xo == 0:
                return "The two list are not subsets of each other"
        return "List 1 is a subset of List 2"
    elif x == y:
        list1.sort()
        list2.sort()
        if list1 == list2 :
            return "List 1 is a subset of List 2"
        else :
            return "The two list are not subsets of each other"
    else:
        for ji in range(y):
            vb = int(list2[ji])
            xo = list1.count(vb)
            if xo == 0:
                return "The two list are not subsets of each other"
        return "List 2 is a subset of List 1"</t>
  </si>
  <si>
    <t>def subset(list1, list2):
    set1, set2 = set(list1), set(list2)
    if set1 &amp; set2 == set1:
        return "List 1 is a subset of List 2"
    elif set1 &amp; set2 == set2:
        return "List 2 is a subset of List 1"
    else:
        return "The two list are not subsets of each other"</t>
  </si>
  <si>
    <t xml:space="preserve">def subset(list1, list2):
    smaller = min(len(list1),len(list2))
    if smaller == len(list1):
        smallerlist = list1
        largerlist = list2
    else:
        smallerlist = list2
        largerlist = list1
    for i in range(smaller):
        if smallerlist[i] not in largerlist:
            return "The two list are not subsets of each other"
    if smallerlist == list1:
        return "List 1 is a subset of List 2"
    else:
        return "List 2 is a subset of List 1"
           </t>
  </si>
  <si>
    <t>def subset(list1, list2):
    if len(list1) &lt;= len(list2):
        for i in range(len(list1)):
            if list1[i] not in list2:
                return 'The two list are not subsets of each other'
            else:
                return 'List 1 is a subset of List 2'
    else:
        for i in range(len(list2)):
            if list2[i] not in list1:
                return 'The two list are not subsets of each other'
            else:
                return 'List 2 is a subset of List 1'</t>
  </si>
  <si>
    <t xml:space="preserve">def subset(list1, list2):
    listA=[x for x in list1 if x in list2]
    listB=[x for x in list2 if x in list1]
    if len(listA)==len(list1):
        return "List 1 is a subset of List 2"
    elif len(listB)==len(list2):
        return "List 2 is a subset of List 1"
    else:
        return "The two list are not subsets of each other"
</t>
  </si>
  <si>
    <t>def subset(list1, list2):
    l1=len(list1)
    l2=len(list2)
    x=0
    if l1&lt;=l2:
        for n in range (-1,-1*(l1+1),-1):
            if list1[n] in list2:
                x+=1
        if x==l1:
            return "List 1 is a subset of List 2"
        else:
            return "The two list are not subsets of each other"
    if l2&lt;=l1:
        for n in range (-1,-1*(l2+1),-1):
            if list2[n] in list1:
                x+=1
        if x==l2:
            return "List 2 is a subset of List 1"
        else:
            return "The two list are not subsets of each other"
    if l1==l2:
        return "The two list are not subsets of each other"</t>
  </si>
  <si>
    <t>def subset(list1, list2):
      if len(list2) &gt;= len(list1):
            a = list1
            b = list2
            state = 1
      else:
            a = list2
            b = list1
            state = 0
      count = 0
      while count &lt; len(a):
            if a[count] not in b:
                  ans = "The two list are not subsets of each other"
                  return ans
            else:
                  count = count + 1
      if state == 1:
            ans = "List 1 is a subset of List 2"
      else:
            ans = "List 2 is a subset of List 1"
      return ans</t>
  </si>
  <si>
    <t>def subset(list1, list2):
    Alst = len(list1)
    Blst = len(list2)
    x = 0
    if Alst &lt;= Blst:
        for i in range(Alst):
            if list1[i] in list2:
                x += 1
        if x == Alst:
            ans = "List 1 is a subset of List 2"
            return ans
        else:
            ans = "The two list are not subsets of each other"
            return ans
    if Blst &lt;= Alst:
        for J in range(Blst):
            if list2[J] in list1:
                x += 1
        if x == Blst:
            ans = "List 2 is a subset of List 1"
            return ans
        else:
            ans = "The two list are not subsets of each other"
            return ans</t>
  </si>
  <si>
    <t>def subset(list1, list2):
    var = 0
    if len(list1)&lt;len(list2):
        var = 1
    else:
        list1,list2 = list2,list1
    list1.sort()
    list2.sort()
    smaller = list1
    bigger = list2
    for i in smaller:
        if i not in bigger:
            return "The two list are not subsets of each other"
        else:
            pass
    if var == 1 or list1 == list2:
        return "List 1 is a subset of List 2"
    else:
        return "List 2 is a subset of List 1"</t>
  </si>
  <si>
    <t xml:space="preserve">def subset(list1, list2):
    x1 = 0
    x2 = 0
    for i in range(len(list1)):
        if list1[i] in list2:
            x1 += 0
        else:
            x1 += 1
    for j in range(len(list2)):
        if list2[j] in list1:
            x2 += 0
        else:
            x2 += 1
    if x1 == 0:
        ans = "List 1 is a subset of List 2"
    elif x2 == 0:
        ans = "List 2 is a subset of List 1"
    else:
        ans = "The two list are not subsets of each other"
    return ans
</t>
  </si>
  <si>
    <t>def subset(list1, list2):
    if(len(list1)&lt;=len(list2)):
        subset=True
        for x in list1:
            if x not in list2:
                subset=False
                break
        if subset==True:
            return "List 1 is a subset of List 2"
        else:
            return "The two list are not subsets of each other"
            #Grammatical error in output, sorry
    else:
        subset=True
        for x in list2:
            if x not in list1:
                subset=False
                break
        if subset==True:
            return "List 2 is a subset of List 1"
        else:
            return "The two list are not subsets of each other"
            #Grammatical error in output, sorry</t>
  </si>
  <si>
    <t>def subset(list1, list2):
    if min(len(list1), len(list2))==len(list1) or len(list1)==len(list2):
        minlength, maxlength=list1, list2
    else:
        minlength, maxlength=list2, list1
    for i in range(len(minlength)):
        if minlength[i] in maxlength:
            continue
        else:
            return "The two list are not subsets of each other"
    if minlength==list1:
        return "List 1 is a subset of List 2"
    elif minlength==list2:
        return "List 2 is a subset of List 1"
    pass</t>
  </si>
  <si>
    <t>def subset(list1, list2):
    x=0
    for i in list1:
        if i in list2:
            x+=1
    y=0
    for i in list2:
        if i in list1:
            y+=1
    if x==len(list1):
        return "List 1 is a subset of List 2"
    elif y==len(list2):
        return "List 2 is a subset of List 1"
    else:
        return "The two list are not subsets of each other"</t>
  </si>
  <si>
    <t xml:space="preserve">def subset(list1, list2):
    L1 = set(list1)
    L2 = set(list2)
    if L1.issubset(L2) == True:
        return ("List 1 is a subset of List 2")
    elif L1.issuperset(L2) == True:
        return ("List 2 is a subset of List 1")
    else:
        return ("The two list are not subsets of each other")
        </t>
  </si>
  <si>
    <t xml:space="preserve">def subset(list1, list2):
    a=set(list1)
    b=set(list2)
    if (a).issubset(b)==True:
        return "List 1 is a subset of List 2"
    elif (b).issubset(a)==True:
        return "List 2 is a subset of List 1"
    else:
        return "The two list are not subsets of each other"
</t>
  </si>
  <si>
    <t xml:space="preserve">def subset(list1, list2):
    list1.sort
    list2.sort
    if len(list1) &gt; len(list2):
        ans = "List 2 is a subset of List 1"
        for x in list2:
            if x not in list1:
                ans = 	"The two list are not subsets of each other"
    elif len(list1) &lt;=len(list2):
        ans = "List 1 is a subset of List 2"
        for x in list1:
            if x not in list2:
                ans = 	"The two list are not subsets of each other"
    return ans
        </t>
  </si>
  <si>
    <t>def subset(list1, list2):
    smaller = min(len(list1),len(list2))
    if smaller == len(list1):
        smallerlist = list1
        largerlist = list2
    else:
        smallerlist = list2
        largerlist = list1
    for i in range(smaller):
        if smallerlist[i] not in largerlist:
            return "The two list are not subsets of each other"
    if smallerlist == list1:
        return "List 1 is a subset of List 2"
    else:
        return "List 2 is a subset of List 1"</t>
  </si>
  <si>
    <t xml:space="preserve">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</si>
  <si>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list3 = list1 + list2
    z = 0
    if len(list2)&gt;=len(list1):
        for y in list1:
            z += 1
            if list3.count(y) == 2:
                if len(list1)==z:
                    c = "List 1 is a subset of List 2"
            else:
                c =  "The two list are not subsets of each other"
                break
    else:
        for b in list2:
            z += 1
            if list3.count(b) == 2:
                if len(list2) == z:
                    c = "List 2 is a subset of List 1"
            else:
                c = "The two list are not subsets of each other"
                break
    return c</t>
  </si>
  <si>
    <t>def subset(list1, list2):
    ele = 0
    ans = ""
    a = min(list1,list2)
    b = max(list1,list2)
    for count in range(len(a)):
        if a[count] in b:
            ele += 1
    if ele == len(a):
        if a == list1:
            ans = "List 1 is a subset of List 2"
        else:
            ans = "List 2 is a subset of List 1"
    elif ele &lt; len(a):
        ans = "The two list are not subsets of each other"
    return ans</t>
  </si>
  <si>
    <t xml:space="preserve">def subset(list1, list2):
    ans = "The two list are not subsets of each other"
    if len(list1) &lt;= len(list2):
        for i in list1:
            if i not in list2:
                break
            ans = "List 1 is a subset of List 2"        
    elif len(list2) &lt; len(list1):
        for i in list2:
            if i not in list1:
                break
            ans = "List 2 is a subset of List 1"        
    return ans    </t>
  </si>
  <si>
    <t>def subset(list1, list2):
    count=0
    for i in list1:
        if list2.count(i)==0:
            break
        count+=1
        if count==len(list1):
            return "List 1 is a subset of List 2"
    count=0
    for i in list2:
        if list1.count(i)==0:
            break
        count+=1
        if count==len(list2):
            return "List 2 is a subset of List 1"
    return "The two list are not subsets of each other"</t>
  </si>
  <si>
    <t>def subset(list1, list2):
    a = 0
    c = 0
    if len(list1) &lt;= len(list2):
        while a &lt; len(list1):
            if (list1[a] in list2) == True:
                c = c + 1
            else:
                c = c
            a = a + 1
        if c == len(list1):
            return "List 1 is a subset of List 2"
        else:
            return "The two list are not subsets of each other"
    else:
        while a&lt; len(list2):
            if (list2[a] in list1) == True:
                c = c + 1
            else:
                c = c
            a = a+1
        if c == len(list2):
            return "List 2 is a subset of List 1"
        else:
            return "The two list are not subsets of each other"</t>
  </si>
  <si>
    <t xml:space="preserve">def subset(list1, list2):
    if len(list2) &gt;= len(list1):
        for i in list1:
            if i not in list2:
                return "The two list are not subsets of each other"
        return "List 1 is a subset of List 2"
    elif len(list1) &gt;= len(list2):
        for i in list2:
            if i not in list1:
                return "The two list are not subsets of each other"
        return "List 2 is a subset of List 1"
    </t>
  </si>
  <si>
    <t>def subset(list1, list2):
    if len(list1) &lt;= len(list2):
        for i in range(len(list1)):
            if list1[i] not in list2:
                return "The two list are not subsets of each other"
            else:
                return "List 1 is a subset of List 2"
    else:
        for i in range(len(list2)):
            if list2[i] not in list1:
                return "The two list are not subsets of each other"
            else:
                return "List 2 is a subset of List 1"</t>
  </si>
  <si>
    <t xml:space="preserve">def subset(list1, list2):
    count = 0
    for i in range(len(list1)):
        for j in range(len(list2)):
            if list1[i]==list2[j]:
                count+=1       
    if count == len(list1) and count==len(list2):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</si>
  <si>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subset1 = 1
    subset2 = 1
    for item in list1:
        if item not in list2:
            subset1=0
    for item in list2:
        if item not in list1:
            subset2=0
    if subset1 == 1:
        return str("List 1 is a subset of List 2")
    elif subset2 == 1:
        return str("List 2 is a subset of List 1")
    else:
        return str("The two list are not subsets of each other")
    pass</t>
  </si>
  <si>
    <t>def subset(list1, list2):
    subset1 = True
    subset2 = True
    for item in list1:
        if item not in list2:
            subset1=False
    for item in list2:
        if item not in list1:
            subset2=False
    if subset1 == True:
        return "List 1 is a subset of List 2"
    elif subset2 == True:
        return "List 2 is a subset of List 1"
    else:
        return "The two list are not subsets of each other"
    pass</t>
  </si>
  <si>
    <t xml:space="preserve">def subset(list1, list2):
    minlength=min(len(list1), len(list2))
    if minlength==len(list1):
        minlist=list1
        maxlist=list2
    else:
        minlist=list2
        maxlist=list1
    for i in range(minlength):
        if minlist[i] not in maxlist:
            return "The two list are not subsets of each other"
    if minlist==list1:
        return "List 1 is a subset of List 2"
    else:
        return "List 2 is a subset of List 1"
</t>
  </si>
  <si>
    <t>def subset(list1, list2):
  ans = ""
  for count in range(min(len(list1), len(list2))):
    if list1[count] not in list2:
      if list1 &gt; list2:
        continue
      else:
        ans = "The two list are not subsets of each other"
        return ans
    elif list2[count] not in list1:
      if list2 &gt; list1:
        continue
      else:
        ans = "The two list are not subsets of each other"
      return ans
    else:
      ans = "" 
  if list1 &lt;= list2:
    ans = "List 1 is a subset of List 2"
  else:
    ans = "List 2 is a subset of List 1"
  return ans</t>
  </si>
  <si>
    <t xml:space="preserve">def subset(list1, list2):
    if set(list1).issubset(list2):
        return "List 1 is a subset of List 2"
    elif set(list2).issubset(list1):
        return "List 2 is a subset of List 1"
    else:
        return 	"The two list are not subsets of each other"
    </t>
  </si>
  <si>
    <t>def subset(list1, list2):
    x = 0
    for i in list1:
        if i in list2:
            x += 1
    y = 0
    for i in list2:
        if i in list1:
            y += 1
    if x == len(list1):
        return "List 1 is a subset of List 2"
    elif y == len(list2):
        return "List 2 is a subset of List 1"
    else:
        return "The two list are not subsets of each other"</t>
  </si>
  <si>
    <t>def subset(list1, list2):
    a=len(list1)
    b=len(list2)
    ans=0
    ans2=0
    for i in range(a):
        if list1[i] in list2:
            ans=ans+1
    for i in range(b):
        if list2[i] in list1:
            ans2+=1
    if ans == a:
        return "List 1 is a subset of List 2"
    elif ans2==b:
        return "List 2 is a subset of List 1"
    else:
        return "The two list are not subsets of each other"</t>
  </si>
  <si>
    <t>lista = [1,2,3]
listb = [3,4,6,2,1]
listc = [3,2,1]
listd = [3,4,6,2]
def subset(list1, list2):
    x=0
    ans=0
    ans1=""
    if len(list2)&gt;=len(list1):
        for count in range(len(list2)):
            y=0
            compare1=list2[x]
            x=x+1
            for count in range(len(list1)):
                compare2=list1[y]
                y=y+1
                if compare1==compare2:
                    ans=ans+1
        if ans==len(list1):
            ans1="List 1 is a subset of List 2"
        else:
            ans1="The two list are not subsets of each other"
    elif len(list1)&gt;=len(list2):
        for count in range(len(list1)):
            y=0
            compare1=list1[x]
            x=x+1
            for count in range(len(list2)):
                compare2=list2[y]
                y=y+1
                if compare1==compare2:
                    ans=ans+1
        if ans==len(list2):
            ans1="List 2 is a subset of List 1"
        else:
            ans1="The two list are not subsets of each other"
    return ans1</t>
  </si>
  <si>
    <t>def subset(list1, list2):
    ans=''
    list1.sort()
    list2.sort()
    if len(list1)&gt;len(list2):
        ans="List 2 is a subset of List 1"
        for x in list2:
            if x not in list1:
                ans="The two list are not subsets of each other"
    elif len(list1)&lt;=len(list2):
        ans = "List 1 is a subset of List 2"
        for x in list1:
            if x not in list2:
                ans="The two list are not subsets of each other"
    return ans</t>
  </si>
  <si>
    <t>def subset(list1,list2):
    t=0
    k=0
    if len(list1)&gt;len(list2):
        for count in range(len(list2)):
            for i in range(len(list1)):
                if list2[count]==list1[i]:
                    t=1
            if t!=1:
                k=1
            t=0
        if k==1:
            return "The two list are not subsets of each other"
        else:
            return "List 2 is a subset of List 1"
    if len(list1)&lt;=len(list2):
        for count in range(len(list1)):
            for i in range(len(list2)):
                if list1[count]==list2[i]:
                    t=1
            if t!=1:
                k=1
            t=0
        if k==1:
            return "The two list are not subsets of each other"
        else:
            return "List 1 is a subset of List 2"</t>
  </si>
  <si>
    <t>def subset(list1, list2):
    tmp = []
    check = 0
    if len(list1) &gt; len(list2):
        tmp = list2
        anp = list1
    else:
        tmp = list1
        anp = list2
    for count in range(len(tmp)):
        if tmp[count] in anp:
            check = 1
        if check != 1:
            return "The two list are not subsets of each other"
    if len(list1) &gt; len(list2):
        return "List 2 is a subset of List 1"
    else:
        return "List 1 is a subset of List 2"</t>
  </si>
  <si>
    <t xml:space="preserve">def subset(list1, list2):
    a = 0
    b = 0
    if len(list1) &lt;= len(list2):
        while a &lt; len(list1):
            if (list1[a] in list2) == True:
                b = b + 1
            else:
                b = b
            a = a + 1
        if b == len(list1):
            return "List 1 is a subset of List 2"
        else:
            return "The two list are not subsets of each other"
    else:
        while a &lt; len(list2):
            if (list2[a] in list1) == True:
                b = b + 1
            else:
                b = b
            a = a + 1
        if b == len(list2):
            return "List 2 is a subset of List 1"
        else:
            return "The two list are not subsets of each other"
                </t>
  </si>
  <si>
    <t xml:space="preserve">def subset(list1, list2):
    for i in range(min(len(list1),len(list2))):
        if len(list1) &lt;= len(list2):
            if list1[i] not in list2:
                return "The two list are not subsets of each other"
        else:
            if list2[i] not in list1:
                return "The two list are not subsets of each other"
    if len(list1) &lt;= len(list2):
        return "List 1 is a subset of List 2"
    else:
        return "List 2 is a subset of List 1"
                   </t>
  </si>
  <si>
    <t xml:space="preserve">def subset(list1, list2):
    l1 = len(list1)
    l2 = len(list2)
    x = 0
    if l1 &lt;= l2:
        for n in range(-1, -1 * (l1+1), -1):
            if list1[n] in list2:
                x+=1
        if x == l1:
            return "List 1 is a subset of List 2"
        else:
            return "The two list are not subsets of each other"
    if l2&lt;= l1:
        for n in range(-1,-1*(l2+1), -1):
            if list2[n] in list1:
                x += 1
        if x == l2:
            return "List 2 is a subset of List 1"
        else:
            return "The two list are not subsets of each other"
    if l1 == l2:
        return "The two list are not subsets of each other"
</t>
  </si>
  <si>
    <t>def subset(list1, list2):
    sma=min(len(list1),len(list2))
    if sma==len(list1):
        smalist=list1
        larlist=list2
    else:
        smalist=list2
        larlist=list1
    for i in range(sma):
        if smalist[i] not in larlist:
            return "The two list are not subsets of each other"
        if smalist==list1:
            return "List 1 is a subset of List 2"
        else:
            return "List 2 is a subset of List 1"
    pass</t>
  </si>
  <si>
    <t>def subset(list1, list2):
    a = len(list1)
    b = len(list2)
    c = ("List 2 is a subset of List 1")
    d = ("The two list are not subsets of each other")
    e = ("List 1 is a subset of List 2")
    f = ("The two list are not subsets of each other")
    if a &gt; b:
        w = 0
        for ayelmao in list1:
            if ayelmao in list2:
                w = w + 1
            else:
                w = w
        if w == b:
            return c
        else:
            return d
    elif a &lt;= b:
        w = 0
        for ayelmao in list2:
            if ayelmao in list1:
                w = w + 1
            else:
                w = w
        if w == a:
            return e
        else:
            return f</t>
  </si>
  <si>
    <t xml:space="preserve">def subset(list1, list2):
    list3 = []
    if (len(list1) &lt;= len(list2)) and (set(list1) &amp; set(list2) == set(list1)):
        s = ("List 1 is a subset of List 2")
    elif (len(list1) &gt;= len(list2)) and (set(list1) &amp; set(list2) == set(list2)):
        s = ("List 2 is a subset of List 1")
    else:
        s = ("The two list are not subsets of each other")
    return s
</t>
  </si>
  <si>
    <t>def subset(list1, list2):
    x=0
    for x in list1:
        if list2.count(x)==0:
            break
        if x==len(list1):
            return "List 1 is a subset of List 2"
        x+=1
    for x in list2:
        if list1.count(x)==0:
            break
        if x==len(list2):
            return "List 2 is a subset of List 1"
        x+=1
    return "The two list are not subsets of each other"</t>
  </si>
  <si>
    <t xml:space="preserve">def subset(list1, list2):
    x = "List 1 is a subset of List 2"
    y = "List 2 is a subset of List 1"
    z = "The two list are not subsets of each other"
    count = 0
    for i in list1:
        if list2.count(i) == 0:
            break
        count += 1
        if count == len(list1):
            return x
    count = 0
    for i in list2:
        if list1.count(i) == 0:
            break
        count += 1
        if count == len(list2):
            return y
    return z
print(subset([1,2,3], [1,2,3,4]))
</t>
  </si>
  <si>
    <t>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t>
  </si>
  <si>
    <t>def subset(list1, list2):
    if set(list1).issubset(list2):
        return "List 1 is a subset of List 2"
    elif set(list2).issubset(list1):
        return "List 2 is a subset of List 1"
    else:
        return "The two list are not subsets of each other"</t>
  </si>
  <si>
    <t>def subset(list1, list2):
    if len(list1) &lt; len(list2):
        var = 1
    else:
        list1,list2 = list2,list1
        var = 2
    slist1 = sorted(list(set(list1)))
    slist2 = sorted(list(set(list2)))
    for i in slist1:
        if i in slist2:
            pass
        else:
            return "The two list are not subsets of each other"
    if slist1 == slist2:
        return "List 1 is a subset of List 2"
    elif var == 1:
        n = 'List 1 is a subset of List 2'
    else:
        n = 'List 2 is a subset of List 1'
    return n</t>
  </si>
  <si>
    <t xml:space="preserve">
def subset(list1, list2):
    a = 0
    c = 0
    if len(list1) &lt;= len(list2):
        while a &lt; len(list1):
            if (list1[a] in list2) == True:
                c = c + 1
            else:
                c = c
            a = a + 1
        if c == len(list1):
            return "List 1 is a subset of List 2"
        else:
            return  "The two list are not subsets of each other"
    else:
        while a &lt; len(list2):
            if (list2[a] in list1) == True:
                c = c + 1
            else:
                c = c
            a = a + 1
        if c == len(list2):
            return "List 2 is a subset of List 1"
        else:
            return "The two list are not subsets of each other"</t>
  </si>
  <si>
    <t>def subset(list1,list2):
    x = False
    y = False
    for a in range(len(list1)):
        if list1[a] in list2:
            x = True
        else:
            x = False
            break
    for b in range(len(list2)):
        if x == True:
            break
        if list2[b] in list1:
            y = True
        else:
            y = False
            break
    if x == True:
        ans = "List 1 is a subset of List 2"
    elif y == True:
        ans = "List 2 is a subset of List 1"
    elif x == False:
        if y == False:
            ans = "The two list are not subsets of each other"
    return ans</t>
  </si>
  <si>
    <t xml:space="preserve">def subset(list1, list2):
    i=0
    if len(list1)&lt;=len(list2):
        for i in range(0,len(list1)-1):
            if list1[i] in list2:
                i=i+1
            else:
                return "The two list are not subsets of each other"
        return "List 1 is a subset of List 2"
    else: 
        for i in range(0,len(list2)-1):
            if list2[i] in list1:
                i=i+1
            else:
                return "The two list are not subsets of each other"
        return "List 2 is a subset of List 1"
</t>
  </si>
  <si>
    <t>ans = 7</t>
  </si>
  <si>
    <t xml:space="preserve">ans = 7
</t>
  </si>
  <si>
    <t>ans =7</t>
  </si>
  <si>
    <t>ans=7</t>
  </si>
  <si>
    <t>ans= 7</t>
  </si>
  <si>
    <t>ans = 0
ans = 7</t>
  </si>
  <si>
    <t>list1 = [6,2,1,4,0,8,5] #write down the elements inside the []</t>
  </si>
  <si>
    <t>list1 = [6, 2, 1, 4, 0, 8, 5] #write down the elements inside the []</t>
  </si>
  <si>
    <t>list1 = [6,2,1,4,0,8,5]</t>
  </si>
  <si>
    <t>list1 = [6, 2, 1, 4, 0, 8, 5]</t>
  </si>
  <si>
    <t>list1 = [6,  2, 1, 4, 0, 8, 5]</t>
  </si>
  <si>
    <t>list1 = [6, 2, 1 ,4, 0, 8, 5] #write down the elements inside the []</t>
  </si>
  <si>
    <t xml:space="preserve">list1 = [6,2,1,4,0,8,5] </t>
  </si>
  <si>
    <t>items = ["12","65","23","1",'65",'2",'8'] #write down the elements inside the []</t>
  </si>
  <si>
    <t>items = ['12",'65",'23",'1",'65",'2",'8'] #write down the elements inside the []</t>
  </si>
  <si>
    <t>items = ['12", '65", '23", '1", '65", '2", '8'] #write down the elements inside the []</t>
  </si>
  <si>
    <t xml:space="preserve">items = ["12","65","23","1","65","2","8"] </t>
  </si>
  <si>
    <t>items = ["12","65","23","1","65","2","8"] #write down the elements inside the []</t>
  </si>
  <si>
    <t xml:space="preserve">items = ["12", "65", "23", "1", "65", "2", "8"] </t>
  </si>
  <si>
    <t>items = ["12", "65", "23", "1", "65", "2", "8"] #write down the elements inside the []</t>
  </si>
  <si>
    <t>items = ['12",'65",'23",'1",'65",'2",'8']</t>
  </si>
  <si>
    <t>items = ['12", '65", '23", '1", '65", '2", '8']</t>
  </si>
  <si>
    <t xml:space="preserve">items = ['12",'65",'23",'1",'65",'2",'8'] </t>
  </si>
  <si>
    <t xml:space="preserve">items = ['12", '65", '23", '1", '65", '2", '8'] #write down the elements inside the </t>
  </si>
  <si>
    <t>items = ['12", '65", '23", '1", '65", '2", '8']
 #write down the elements inside the []</t>
  </si>
  <si>
    <t>items = ["12","65","23","1","65","2","8"]</t>
  </si>
  <si>
    <t>items = ['12", '65", '23", '1",'65",'2",'8'] #write down the elements inside the []</t>
  </si>
  <si>
    <t xml:space="preserve">items = ['12",'65",'23",'1",'65",'2",'8'] #write down the elements inside the </t>
  </si>
  <si>
    <t>items = ['12",'65", '23", '1", '65", '2", '8'] #write down the elements inside the []</t>
  </si>
  <si>
    <t>x = 10
y = [-999,2,3]</t>
  </si>
  <si>
    <t>x = 10
y = [-999, 2,3]</t>
  </si>
  <si>
    <t>x = 10
y = [-999, 2, 3]</t>
  </si>
  <si>
    <t>x = 10
y = [-999, 2 ,3]</t>
  </si>
  <si>
    <t>x = 10
y = [-999, 2, 3]</t>
  </si>
  <si>
    <t xml:space="preserve">x = 10
y = [-999, 2, 3] </t>
  </si>
  <si>
    <t>x = 10
y = [ -999,2, 3 ]</t>
  </si>
  <si>
    <t>list1 = [x * 5 for x in range(21)]</t>
  </si>
  <si>
    <t>list1 = [x for x in range(101) if x % 5 == 0]</t>
  </si>
  <si>
    <t>range1 = range(0,101)
list1 = [x for x in range1 if x%5 == 0]#fill your code here. The code should only be 1 line</t>
  </si>
  <si>
    <t>list1 = [x for x in range(0, 101, 5)]#fill your code here. The code should only be 1 line</t>
  </si>
  <si>
    <t>list1 = [x for x in range(0,101,5)]</t>
  </si>
  <si>
    <t>list1 = [x*5 for x in range (21)]</t>
  </si>
  <si>
    <t>list1 = [x for x in range(0,101) if x % 5 == 0]</t>
  </si>
  <si>
    <t>list1 = [x for x in range(101) if x % 5 == 0] #fill your code here. The code should only be 1 line</t>
  </si>
  <si>
    <t>list1 = [x for x in range (0,101,5)]</t>
  </si>
  <si>
    <t>list1 = [x for x in range(0,101) if x % 5 == 0]#fill your code here. The code should only be 1 line</t>
  </si>
  <si>
    <t>list1 = [x for x in range(0,101,5)]
#fill your code here. The code should only be 1 line</t>
  </si>
  <si>
    <t>list1 = [x for x in range(101) if x % 5 == 0] # Returns a list of 0, 1, 2, 3, 4
#fill your code here. The code should only be 1 line</t>
  </si>
  <si>
    <t>list1 = [0,5,10,15,20,25,30,35,40,45,50,55,60,65,70,75,80,85,90,95,100]</t>
  </si>
  <si>
    <t>list1 = [5*x for x in range(21)]</t>
  </si>
  <si>
    <t>list1 = [x for x in range(0,101,5)] #fill your code here. The code should only be 1 line</t>
  </si>
  <si>
    <t>list1 = [x for x in range(101) if x %  5 == 0]</t>
  </si>
  <si>
    <t>list1 = [x for x in range(100) if x%5 == 0]
list1.append(100)
list1 = sorted(list1)</t>
  </si>
  <si>
    <t>list1 = [val for val in range(101) if val%5 == 0]#fill your code here. The code should only be 1 line</t>
  </si>
  <si>
    <t>list1 = [5 * x for x in range(0,int(100/5 + 1))]</t>
  </si>
  <si>
    <t>list1 = [x for x in range(101) if x%5==0]</t>
  </si>
  <si>
    <t>list1 = [x for x in range(0,101) if x % 5 == 0] #fill your code here. The code should only be 1 line</t>
  </si>
  <si>
    <t>list1 = [ 0,5,10,15,20,25,30,35,40,45,50,55,60,65,70,75,80,85,90,95,100]</t>
  </si>
  <si>
    <t>list1 = [5 * x for x in range(0,21)] #fill your code here. The code should only be 1 line</t>
  </si>
  <si>
    <t>list1 =[x for x in range(101) if x%5==0] #fill your code here. The code should only be 1 line</t>
  </si>
  <si>
    <t>list1 = [x for x in range (101) if x % 5 ==0]</t>
  </si>
  <si>
    <t>list1 = [5 * x for x in range(21)]</t>
  </si>
  <si>
    <t>list1 = [x for x in range(0,101,5)]#fill your code here. The code should only be 1 line</t>
  </si>
  <si>
    <t>list1 = [x * 5 for x in range(21)] #fill your code here. The code should only be 1 line</t>
  </si>
  <si>
    <t>list1 = [5*i for i in range(0, 21)]</t>
  </si>
  <si>
    <t>list1 = [0, 5, 10, 15, 20, 25, 30, 35, 40, 45, 50, 55, 60, 65, 70, 75, 80, 85, 90, 95, 100] #fill your code here. The code should only be 1 line</t>
  </si>
  <si>
    <t>list1 = [x for x in range (0, 101) if x % 5 == 0]#fill your code here. The code should only be 1 line</t>
  </si>
  <si>
    <t>list1 =[x*5 for x in range (21)]</t>
  </si>
  <si>
    <t>list1 = []
for i in range (0,100+1,5):
    list1.append(i)
print (list1)</t>
  </si>
  <si>
    <t>list1 = [x for x in range(0,101) if x%5==0]</t>
  </si>
  <si>
    <t>list1 = [ x for x in range(0,101,5)]</t>
  </si>
  <si>
    <t>list1 = [x for x in range(101) if (x % 5) == 0]</t>
  </si>
  <si>
    <t>list1 = [x for x in range(0,101) if x%5==0]
ans=list1</t>
  </si>
  <si>
    <t>list1 = [x for x in range(101) if x % 5 ==0]#fill your code here. The code should only be 1 line</t>
  </si>
  <si>
    <t>list1 = [5 * x for x in range(21)] #fill your code here. The code should only be 1 line</t>
  </si>
  <si>
    <t>list1 = [x for x in range(0,105,5)]#fill your code here. The code should only be 1 line</t>
  </si>
  <si>
    <t>list1 = [x for x in range(0,101) if x %5 == 0]</t>
  </si>
  <si>
    <t>list1 = [0, 5, 10, 15, 20, 25, 30, 35, 40, 45, 50, 55, 60, 65, 70, 75, 80, 85, 90, 95, 100]#fill your code here. The code should only be 1 line</t>
  </si>
  <si>
    <t>list1 = [0,5,10,15,20,25,30,35,40,45,50,55,60,65,70,75,80,85,90,95,100]#fill your code here. The code should only be 1 line</t>
  </si>
  <si>
    <t>list1 =[x for x in range(0,101,5)] #fill your code here. The code should only be 1 line</t>
  </si>
  <si>
    <t>list1 = [x for x in range(101) if x%5 == 0]</t>
  </si>
  <si>
    <t>list1 = [x*5 for x in range(0,21)]</t>
  </si>
  <si>
    <t>list1 = [5*x for x in range(21)]#fill your code here. The code should only be 1 line</t>
  </si>
  <si>
    <t>list1 = [x for x in range(0, 101) if x % 5 == 0]#fill your code here. The code should only be 1 line</t>
  </si>
  <si>
    <t>list1 = [x for x in range(0,101) if x % 5==0]</t>
  </si>
  <si>
    <t>list1 = [x for x in range (0, 101, 5)]</t>
  </si>
  <si>
    <t>list1 = [x for x in range(0,101) if (x%5==0)]</t>
  </si>
  <si>
    <t>def frequencyCount(mylist):
    freq = []
    #add your code below
    mylist.sort()
    i=0
    while i&lt;len(mylist):
        data1 = mylist[i]
        freq.append(mylist.count(data1))
        while mylist.count(data1)&gt;1:
            mylist.remove(data1)
        i+=1
    return mylist, freq</t>
  </si>
  <si>
    <t>def frequencyCount(mylist):
    data = []
    freq = []
    #add your code below
    data = sorted(list(set(mylist)))
    for x in data:
        freq.append(mylist.count(x))
    return data, freq</t>
  </si>
  <si>
    <t>def frequencyCount(mylist):
    data = []
    freq = []
    #add your code below
    data = sorted(set(mylist))
    for index in range(len(data)):
        y = mylist.count(data[index])
        freq.append(y)
    return data, freq</t>
  </si>
  <si>
    <t>def frequencyCount(mylist):
    data = []
    freq = []
    #add your code below
    for i in mylist:
        if i not in data: 
            data.append(i) 
            data.sort() 
    for i in data: 
        x=mylist.count(i) 
        freq.append(x)
    return data, freq</t>
  </si>
  <si>
    <t xml:space="preserve">from itertools import groupby
def frequencyCount(mylist):
    data = []
    freq = []
    #add your code below
    sorty = sorted(mylist)
    data = sorted(list(set(mylist)))
    freq = [len(list(group)) for key, group in groupby(sorty)]
    return data, freq
frequencyCount([0,0,1,2,1,2,0,4,3,1,0,2,3,4,5,9,1])
</t>
  </si>
  <si>
    <t>def frequencyCount(mylist):
    data = []
    freq = []
    for x in mylist:
        if x not in data:
            data.append(x)
    data.sort()
    for i in range(len(data)):
      freq.append(mylist.count(data[i]))
    return data, freq</t>
  </si>
  <si>
    <t>def frequencyCount(mylist):
    data = sorted(list(set(mylist)))
    a = 0
    freq = []
    while a &lt; len(data) :
        b = data[a]
        c = mylist.count(b)
        freq.append(c)
        a = a + 1
    #add your code below
    return data, freq</t>
  </si>
  <si>
    <t>def frequencyCount(mylist):
    data = []
    freq = []
    #add your code below
    mylist.sort()
    data=[]+mylist
    count=0
    while count&lt;len(data):
        n=data[count]
        while data.count(n)&gt;1:
            data.remove(n)
        count+=1
    for i in range(len(data)):
        freq.append(mylist.count(data[i]))
    return data, freq</t>
  </si>
  <si>
    <t>def frequencyCount(mylist):
    data = []
    freq = []
    #add your code below
    for i in mylist:
        if i not in data:
            data.append(i)
    data.sort()
    for i in data:
        x=mylist.count(i)
        freq.append(x)
    return data, freq</t>
  </si>
  <si>
    <t>def frequencyCount(mylist):
    data = []
    freq = []
    i = 2
    #add your code below
    while len(mylist) &gt; 0:
        mylist.sort()
        a = mylist[0]
        b = mylist.count(a)
        data.append(a)
        freq.append(b)
        for I in range(b):
            mylist.remove(a)
    return data, freq
#frequencyCount([0,0,1,2,1,2,0,4,3,1,0,2,3,4,5,9,1])</t>
  </si>
  <si>
    <t>def frequencyCount(mylist):
    data = []
    data = sorted(set(mylist))
    freq = []
    freq = [mylist.count(x) for x in data]
    return data, freq</t>
  </si>
  <si>
    <t>def frequencyCount(mylist):
    data = []
    freq = []
    data.extend(sorted(list(set(mylist))))
    for i in range(0,len(data)):
        freq.append(mylist.count(data[i]))
    return data, freq</t>
  </si>
  <si>
    <t>def frequencyCount(mylist):
    data = []
    freq = []
    for i in mylist:
        if i not in data:
            data.append(i)
    data.sort()
    for i in data:
        freq.append(mylist.count(i))
    return data, freq</t>
  </si>
  <si>
    <t xml:space="preserve">def frequencyCount(mylist):
    data = []
    freq = []
    mylist.sort()
    for i in mylist:
        data.append(i)
        y=mylist.count(i)
        freq.append(y)
        while y&gt;1:
            mylist.remove(i)
            y-=1
    return data, freq
</t>
  </si>
  <si>
    <t xml:space="preserve">def frequencyCount(mylist):
    data = []
    freq = []
    for i in mylist:
        if i not in data:
            data.append(i)
            freq.append(1)
        else:
            x = data.index(i)
            freq[x] += 1
    data, freq = s(data,freq)
    return data, freq
def s(L1,L2):
    a = [] + L1
    b = []
    a.sort()
    for i in a:
        x = L1.index(i)
        b.append(L2[x])
    return a,b
</t>
  </si>
  <si>
    <t>def frequencyCount(mylist):
    data = []
    data = data = list(sorted((set(mylist))))                    
    freq = []
    for y in range (len(data)):
        x = mylist.count(data[y])
        freq.append(x)
    return data, freq</t>
  </si>
  <si>
    <t>def frequencyCount(mylist):
    data = []
    freq = []
    #add your code below
    data  =  sorted(set(mylist))
    for i in data:
        freq.append(mylist.count(i))
    return data, freq</t>
  </si>
  <si>
    <t>def frequencyCount(mylist):
    data = []
    freq = []
    #add your code below
    mylist.sort()
    for i in mylist:
        if i not in data:
            data.append(i)
            freq.append(mylist.count(i))
    return data, freq</t>
  </si>
  <si>
    <t>def frequencyCount(mylist):
    data = []
    freq = []
    #add your code below
    data = sorted(list(set(mylist)))
    for i in data:
        freq += [mylist.count(i)]
    return data, freq</t>
  </si>
  <si>
    <t>def frequencyCount(mylist):
    data = sorted(list(set(mylist)))
    freq = []
    #add your code below
    for i in range(len(data)):
        freq.append(mylist.count(data[i]))
    return data, freq</t>
  </si>
  <si>
    <t>def frequencyCount(mylist):
    data = list(set(mylist))
    data.sort()
    freq = []
    #add your code below
    for i in data:
        freq.append(mylist.count(i))
    return data, freq</t>
  </si>
  <si>
    <t>def frequencyCount(mylist):
    data=sorted(list(set(mylist)))
    freq=[mylist.count(i) for  i in data]
    return data, freq</t>
  </si>
  <si>
    <t>def frequencyCount(mylist):
    data = []
    freq = []
    #add your code below
    data = sorted(list(set(mylist)))
    freq = sorted(list(set(mylist)))
    for p in range(0,len(data)):
        freq[p] = 0
    for i in range(0,len(data)):
        for o in range(0,len(mylist)):
            if mylist[o] == data[i]:
                freq[i] += 1
    return data, freq</t>
  </si>
  <si>
    <t>def frequencyCount(mylist):
    data = []
    data = list(sorted((set(mylist))))
    x = len(data)
    freq = []
    for ji in range(x):
        yio = data[ji]
        vio = mylist.count(yio)
        freq.insert(ji,vio)
    return data, freq</t>
  </si>
  <si>
    <t xml:space="preserve">def frequencyCount(mylist):
    data = []
    freq = []
    #add your code below
    data = sorted(list(set(mylist)))
    for i in data:
        freq.append(mylist.count(i))
    return data, freq
</t>
  </si>
  <si>
    <t>def frequencyCount(mylist):
    data = []
    freq = []
    mylist.sort()
    c = sorted(list(set(mylist)))
    data = data + c
    for i in data:
        print(i)
        a = mylist.count(i)
        if a &gt; 0:
            freq.append(a)
    return data, freq</t>
  </si>
  <si>
    <t>def frequencyCount(mylist):
    data = []
    freq = []
    #add your code below
    mylist.sort()
    data = [] + mylist
    i = 0
    while i &lt; len(data):
        e = data[i]
        while data.count(e) &gt; 1:
            data.remove(e)
        i += 1
    for i in range(len(data)):
        freq.append(mylist.count(data[i]))
    return data, freq</t>
  </si>
  <si>
    <t xml:space="preserve">def frequencyCount(mylist):
    data = []
    freq = []
    #add your code below
    unique = list(set(mylist))
    unique.sort()
    data.extend(unique)
    for i in range(len(unique)):
        a=mylist.count(unique[i])
        freq.append(a)
    return data, freq
</t>
  </si>
  <si>
    <t>def frequencyCount(mylist):
    data = []
    freq = []
    count=0
    for i in mylist:
        if i not in data:
            data.append(i)
    data.sort()
    freq = [x for x in data]
    for x in data:
        freq[count]=mylist.count(x)
        count+=1
    return data, freq</t>
  </si>
  <si>
    <t>def frequencyCount(mylist):
    data = []
    freq = []
    mylist.sort()
    while len(mylist) &gt; 0:
        x = mylist[0]
        data.append(x)
        freq.append(mylist.count(x))
        while mylist.count(x) &gt; 0:
            mylist.remove(x)
    return data, freq</t>
  </si>
  <si>
    <t>def frequencyCount(mylist):
    data = []
    freq = []
    #add your code below
    mylist.sort()
    data = sorted(list(set(mylist)))
    for i in range(len(data)):
        a = data[i]
        b = mylist.count(a)
        freq.append(b)
    return data, freq</t>
  </si>
  <si>
    <t>def frequencyCount(mylist):
    data = []
    freq = []
    #add your code below
    unique = []
    for i in mylist:
        if i not in unique:
            unique.append(i)
    unique.sort()
    for j in unique:
        data.append(j)
        freq.append(mylist.count(j))
    return data, freq</t>
  </si>
  <si>
    <t>def frequencyCount(mylist):
    mylist.sort()
    freq=[]
    for i in mylist:
        j=1
        if mylist.count(i)==1:
            freq.append(j)
        while mylist.count(i)&gt;1:
            mylist.remove(i)
            j+=1
            if mylist.count(i)==1:
                freq.append(j)
    return mylist, freq</t>
  </si>
  <si>
    <t>def frequencyCount(mylist):
    data = []
    freq = []
    data = sorted(list(set(mylist)))
    for f in data:
        freq_num = mylist.count(f)
        freq += [freq_num]
    return data, freq</t>
  </si>
  <si>
    <t xml:space="preserve">def frequencyCount(mylist):
    data = []
    [data.append(x) for x in mylist if x not in data]
    data.sort()
    frequency = []
    for i in range (0, len(data)):
        frequency.append(mylist.count(data[i]))
    return data, frequency
</t>
  </si>
  <si>
    <t>def frequencyCount(mylist): 
    data = []
    freq = []
    #add your code below
    x=set(mylist)
    data=sorted(data+list(x))
    for i in data:
        a=mylist.count(i)
        freq.append(a)
    return data, freq</t>
  </si>
  <si>
    <t>def frequencyCount(mylist):
    data = []
    freq = []
    for i in range (min(mylist),max(mylist)+1):
        if i in mylist:
            data.append(i)
            freq.append(mylist.count(i))
    return data, freq</t>
  </si>
  <si>
    <t>def frequencyCount(mylist):
    data=[]
    freq=[]
    for i in mylist:
        if i not in data:
            data.append(i)
    data.sort()
    for j in range(len(data)):
        a=mylist.count(data[j])
        freq.append(a)
    return data,freq</t>
  </si>
  <si>
    <t>def frequencyCount(mylist):
    data = []
    freq = []
    mylist.sort()
    c=sorted(list(set(mylist)))
    data+=c
    for i in data:
        print(i)
        a=mylist.count(i)
        if a &gt; 0:
            freq.append(a)
    return data, freq</t>
  </si>
  <si>
    <t xml:space="preserve">def frequencyCount(mylist):
    freq = []
    print(mylist)
    #add your code below
    mylist.sort()
    i=0
    while i&lt;len(mylist):
        data1=mylist[i]
        freq.append(mylist.count(data1))
        while mylist.count(data1)&gt;1:
            mylist.remove(data1)
        i+=1
    return mylist, freq
</t>
  </si>
  <si>
    <t>def frequencyCount(list1):
    datalist = list(set(list1))
    datalist.sort()
    data = [] + datalist
    frequencylist = []
    for i in range(len(datalist)):
        data1 = list1.count(data[i])
        frequent = 0
        while data1&gt;0:
            frequent += 1
            data1 -= 1
        frequencylist.append(frequent)
    return datalist, frequencylist</t>
  </si>
  <si>
    <t>def frequencyCount(mylist):
    data = [0] * len(list(set(mylist)))
    freq = [0] * len(list(set(mylist))) 
    data = list(set(mylist))
    data.sort()
    data = list(data)
    count = 0
    for i in data:
        freq[count] = mylist.count(i)
        count += 1
    return data, freq</t>
  </si>
  <si>
    <t>def frequencyCount(mylist):
    data = []
    freq = []
    #add your code below
    while True:
        if len(mylist)==0:
            break
        y=min(mylist)
        data.append(y)
        x=mylist.count(y)
        freq.append(x)
        for i in range(x):
            mylist.remove(y)
        print(mylist)
    return data, freq</t>
  </si>
  <si>
    <t>def frequencyCount(mylist):
    data = sorted(list(set(mylist)))
    a = 0
    freq = []
    while a &lt; len(data):
        b = data[a]
        c = mylist.count(b)
        freq.append(c)
        a = a+1
    #add your code below
    return data, freq</t>
  </si>
  <si>
    <t>def frequencyCount(mylist):
        data = []
        freq = []
        elno = 1
        mylist.sort()
        for i in range(0, len(mylist)):
                s = mylist[i]
                coun = mylist.count(s)
                if i &gt; 0:
                        if mylist[i-1] != s:
                            data.append(s)
                            freq.append(coun)
                else:
                        data.append(s)
                        freq.append(coun)
        return data, freq</t>
  </si>
  <si>
    <t>def frequencyCount(mylist):
    data = [] 
    freq = [] #add your code below 
    for i in mylist: 
        if i not in data: 
            data.append(i) 
            data.sort() 
    for i in data: 
        x=mylist.count(i)
        freq.append(x)
    return data, freq</t>
  </si>
  <si>
    <t>def frequencyCount(mylist):
    data = []
    [data.append(item) for item in mylist if item not in data]
    data.sort()
    freq = [0]*len(data)
    for i in range(len(data)):
        freq[i]=mylist.count(data[i])
    return data,freq</t>
  </si>
  <si>
    <t>def frequencyCount(mylist):
    data = []
    freq = []
    #add your code below
    for item in mylist:
        if item not in data:
            data.append(item)
    data.sort()
    for item2 in data:
        freq.append(mylist.count(item2))
    return data, freq</t>
  </si>
  <si>
    <t>def frequencyCount(mylist):
    data = []
    freq = []
    #add your code below
    for i in mylist:
        if i not in data:
            data.append(i)
    data = sorted(data)
    j = 0
    for k in range(len(data)):
        j = 0
        for x in range(len(mylist)):
            if data[k] == mylist[x]:
                j += 1
        freq.append(j)
    return data, freq</t>
  </si>
  <si>
    <t xml:space="preserve">def frequencyCount(list1):
    list2 = []
    [list2.append(item) for item in list1 if item not in list2]
    listdata = []
    freqdata = []
    for count in range(len(list2)):
        listdata.append(list2[count])
        listdata = sorted(listdata)
    for i in sorted(listdata):
        freqdata.append(list1.count(i))
    return listdata, freqdata
</t>
  </si>
  <si>
    <t>def frequencyCount(mylist):
    data = []
    for i in mylist:
        if i not in data:
            data.append(i)
    freq=[]
    y=len(data)
    data.sort()
    for i in data:
        j=mylist.count(i)
        freq.append(j)
    return data, freq</t>
  </si>
  <si>
    <t>def frequencyCount(mylist):
    data = []
    freq = []
    #add your code below
    for i in mylist:
        if i not in data:
            data.append(i)
    data.sort()
    for count in data:
        freq.append(mylist.count(count))
    return data, freq</t>
  </si>
  <si>
    <t>def frequencyCount(mylist):
    data = []
    freq = []
    y=0
    #add your code below
    data=list(set(mylist))
    data.sort()
    for x in data:
        freq.append(mylist.count(x))
    return data, freq</t>
  </si>
  <si>
    <t xml:space="preserve">def frequencyCount(mylist):
    data=[]
    freq=[]
    [data.append(item) for item in mylist if item not in data]
    data.sort()
    t=0
    for count in range(len(data)):
        for z in range(len(mylist)):
            if mylist[z]==data[count]:
                t=t+1
        freq.append(t)
        t=0
    return data,freq
</t>
  </si>
  <si>
    <t>def frequencyCount(mylist):
    data = mylist
    mylist.sort()
    freq = []
    i = 0
    while i &lt; len(mylist):
        lol = mylist[i]
        freq.append(mylist.count(lol))
        while mylist.count(lol)&gt;1:
            mylist.remove(lol)
        i += 1
    return data,freq
    return data, freq</t>
  </si>
  <si>
    <t>def frequencyCount(mylist):
    data = []
    freq = []
    data = sorted(list(set(mylist)))
    for i in data:
        x = mylist.count(i)
        freq.append(x)
    return data, freq</t>
  </si>
  <si>
    <t>def frequencyCount(mylist):
    data = []
    freq = []
    #add your code below
    for x in mylist:
        if x not in data:
            data.append(x)
    y=len(data)
    data.sort()
    for j in range(y):
        z=data[j]
        i=mylist.count(z)
        freq.append(i)
    return data, freq</t>
  </si>
  <si>
    <t>def frequencyCount(mylist):
    data = sorted(list(set(mylist)))
    x = 0
    freq = []
    while x &lt; len(data):
        b = data[x]
        c = mylist.count(b)
        freq.append(c)
        x = x + 1
    return data, freq</t>
  </si>
  <si>
    <t xml:space="preserve">
def frequencyCount(mylist):
    data = []
    freq = []
    for i in mylist:
        if i not in data:
            data.append(i)
            data.sort()
    for i in data:
        x = mylist.count(i)
        freq.append(x)
    print
    return data, freq</t>
  </si>
  <si>
    <t>def frequencyCount(mylist):
    data = []
    [data.append(x) for x in mylist if x not in data]
    data.sort()
    freq = []
    for i in range(len(data)):
        y = mylist.count(data[i])
        freq.append(y)
    return data, freq</t>
  </si>
  <si>
    <t xml:space="preserve">def frequencyCount(mylist):
    data = []
    freq = []
    g = len(mylist)
    [data.append(item) for item in mylist if item not in data]
    data.sort()
    for k in data:
        freq.append(mylist.count(k))
    return data, freq
</t>
  </si>
  <si>
    <t>def frequencyCount(mylist):
    data = []
    freq = []
    mylist.sort()
    for i in mylist:
        if i not in data:
            data.append(i)
    for i in range(0, len(data)):
        s = data[i]
        d = mylist.count(s)
        freq.append(d)
    return data,freq</t>
  </si>
  <si>
    <t>def frequencyCount(mylist):
    data = []
    freq = []
    mylist.sort()
    for i in mylist:
        if i not in data:
            data.append(i)
            freq.append(mylist.count(i))
    return data, freq</t>
  </si>
  <si>
    <t>def frequencyCount(mylist):
    data = []
    freq = []
    data.extend(set(mylist))
    data = sorted(data)
    for i in range(len(data)):
        x = mylist.count(data[i])
        freq.append(x)
    return data, freq</t>
  </si>
  <si>
    <t xml:space="preserve">def frequencyCount(list1):
   list2 = []
   [list2.append(item) for item in list1 if item not in list2]
   listdata = []
   freqdata = []
   for count in range(len(list2)):
       listdata.append(list2[count])
       listdata = sorted(listdata)
   for i in sorted(listdata):
       freqdata.append(list1.count(i))
   return listdata, freqdata
</t>
  </si>
  <si>
    <t xml:space="preserve">def frequencyCount(myList):
    data = []
    freq = []
    #add your code below
    for i in myList:
        if i not in data:
            data.append(i)
    data.sort()
    for i in data:
        freq.append(myList.count(i))
    return data, freq
</t>
  </si>
  <si>
    <t>def frequencyCount(mylist):
    data = []
    freq = []
    for i in mylist:
        if i not in data:
            data.append(i)
            data.sort()
    for j in range(len(data)):
        no = mylist.count(data[j])
        freq.append(no)
    return data, freq</t>
  </si>
  <si>
    <t>def frequencyCount(mylist):
    data=[]
    freq=[]
    for i in mylist:
        if i not in data:
            data.append(i)
    data.sort()
    for f in data:
        a=mylist.count(f)
        freq.append(a)
    return data, freq</t>
  </si>
  <si>
    <t>def frequencyCount(mylist):
    data = []
    freq = []
    mylist.sort()
    while mylist != []:
        data.append(mylist[0])
        freq.append(mylist.count(mylist[0]))
        x = mylist[0]
        while mylist.count(x) != 0:
            mylist.remove(x)
    return data, freq</t>
  </si>
  <si>
    <t xml:space="preserve">def frequencyCount(mylist):
    data = []
    freq = []
    for i in mylist:
        if i not in data:
            data.append(i)
    data=sorted(data)
    for i in sorted(data):
        freq.append(mylist.count(i))
    return data,freq
</t>
  </si>
  <si>
    <t>def shiftRight(lst):
    temp = lst[-1]
    for i in range(len(lst)-2,-1,-1):
        lst[i+1]=lst[i]
    lst[0] = temp
    return lst</t>
  </si>
  <si>
    <t xml:space="preserve">def shiftRight(lst):
    temp = lst[-1] # Retain the last element, temp is a dummy var
    # Shift elements right
    for i in range(len(lst)-2, -1, -1):
        lst[i + 1] = lst[i]
    # Move the last element to fill in the first position
    lst[0] = temp
    return lst
</t>
  </si>
  <si>
    <t xml:space="preserve">def shiftRight(list1):
    temp = list1.pop()
    list1.reverse()
    list1.append(temp)
    list1.reverse()
    return list1
</t>
  </si>
  <si>
    <t>def shiftRight(list1):
    x = list1.pop()
    list1.insert(0, x)
    return list1</t>
  </si>
  <si>
    <t>def shiftRight(list1):
    p=list1.pop(-1)
    list1.insert(0,p)
    print(p)
    return list1</t>
  </si>
  <si>
    <t xml:space="preserve">list1 = []
def shiftRight(list1):
    temp = list1[-1]
    i = len(list1)
    while i &gt; 1 and i &lt; len(list1)+1:
        i -= 1
        list1[i] = list1[i-1]
    list1[0] = temp
    return list1
</t>
  </si>
  <si>
    <t>def shiftRight(list1):
  x = len(list1)
  temp = list1[x-1]
  for i in range(1,x):
    list1[x-i] = list1[(x-1-i)]
  list1[0] = temp
  return list1</t>
  </si>
  <si>
    <t>def shiftRight(list1):
    a = 0
    c = []
    e = len(list1) - 1
    d = list1[e]
    c.append(d)
    while a &lt; len(list1)- 1:
        b = list1[a]
        c.append(b)
        a = a + 1
    return c</t>
  </si>
  <si>
    <t>def shiftRight(list1):
    a=list1.pop(-1)
    list1.insert(0,a)
    return list1</t>
  </si>
  <si>
    <t>def shiftRight(list1):
    list1.insert(0,list1.pop(-1))
    return list1</t>
  </si>
  <si>
    <t xml:space="preserve">def shiftRight(list1):
        list2 = list1.pop()
        list1.insert(0,list2)
        return list1
</t>
  </si>
  <si>
    <t xml:space="preserve">def shiftRight(list1):
    x=list1[-1]
    list1.pop()
    list1.insert(0, x)
    return list1
print(shiftRight([1,2,3,4,5]))
</t>
  </si>
  <si>
    <t>def shiftRight(list1):
    list2 = []
    list2.append(list1[len(list1)-1])
    for i in range(0, len(list1)-1):
        list2.append(list1[i])
    return list2</t>
  </si>
  <si>
    <t xml:space="preserve">def shiftRight(list1):
    temp=list1[-1]
    for i in range(len(list1)-2,-1,-1):
        list1[i+1]=list1[i]
    list1[0]=temp       
    return list1
print(shiftRight([1,2,3,4,5]))
</t>
  </si>
  <si>
    <t>def shiftRight(list1):
    a = list1[-1]
    for i in range(len(list1)-1,0,-1):
        list1[i] = list1[i - 1]
    list1[0] = a
    return list1</t>
  </si>
  <si>
    <t>def shiftRight(list1):
    x = list1.pop()
    t = []
    t.append(x)
    t = t + list1
    return t</t>
  </si>
  <si>
    <t>def shiftRight(list1):
    list2 = [list1[(len(list1)-1)]]
    for x in range(1,len(list1)):
        list2.append(list1[x-1])
    return list2</t>
  </si>
  <si>
    <t>def shiftRight(list1):
    x=list1.pop(-1)
    list1.insert(0,x)
    return list1</t>
  </si>
  <si>
    <t>def shiftRight(list1):
    x = len(list1)
    a = list1[x-1]
    for i in range(x-2,-1,-1):
        list1[i+1] = list1[i]
    list1[0] = a
    return list1</t>
  </si>
  <si>
    <t xml:space="preserve">def shiftRight(list1):
    for i in range(len(list1)-1):
        temp = list1[0]
        list1.remove(list1[0])
        list1 += [temp]
    return list1
    </t>
  </si>
  <si>
    <t xml:space="preserve">def shiftRight(list1):
    templist = [] + list1
    last_letter = list1[-1]
    for i in list1[0:len(list1) - 1]:
        templist[(list1.index(i) + 1)] = list1[list1.index(i)]
    templist[0] = last_letter
    return templist
        </t>
  </si>
  <si>
    <t>def shiftRight(list1):
    list1.insert(0,list1.pop())
    return list1</t>
  </si>
  <si>
    <t>def shiftRight(list1):
    list1.insert(0,list1.pop(len(list1)-1))
    return list1</t>
  </si>
  <si>
    <t>def shiftRight(list1):
    list1.insert(0,list1[len(list1)-1])
    list1.pop(len(list1)-1)
    return list1</t>
  </si>
  <si>
    <t>def shiftRight(list1):
    y = len(list1)
    x = list1.pop(y - 1)
    list1.insert(0,x)
    return list1</t>
  </si>
  <si>
    <t>def shiftRight(list1):
    list1.insert(0,list1[-1])
    list1 = list1[ : len(list1) - 1]
    return list1</t>
  </si>
  <si>
    <t>def shiftRight(list1):
    temp = list1[-1]
    for i in range(len(list1)-2,-1,-1):
        list1[i + 1] = list1[i]
    list1[0] = temp
    return list1</t>
  </si>
  <si>
    <t>def shiftRight(list1):
    t = list1[-1]
    for i in range(len(list1)-2,-1,-1):
        list1[i+1]=list1[i]
    list1[0] = t
    return list1</t>
  </si>
  <si>
    <t>def shiftRight(list1):
    return [list1[-1]] + list1[:-1]</t>
  </si>
  <si>
    <t xml:space="preserve">def shiftRight(list1):
    dum = [list1[-1]]
    dum2= list1[0:len(list1)-1]
    list1=dum+dum2
    return list1 
</t>
  </si>
  <si>
    <t>def shiftRight(list1):
    temp = list1[-1]
    for i in range (len(list1) - 2, -1, -1):
        list1[i + 1] = list1[i]
    list1[0] = temp
    return list1</t>
  </si>
  <si>
    <t>def shiftRight(list1):
    temp = list1[-1]
    for i in range(len(list1)-2,-1,-1):
        list1[i+1] = list1[i]
    list1[0] = temp
    return list1</t>
  </si>
  <si>
    <t>def shiftRight(list1):
    gg = list1.pop()
    list1.insert(0, gg)
    return list1</t>
  </si>
  <si>
    <t>def shiftRight(list1):
    temp = list1[-1]
    list1.pop()
    list1.insert(0, temp)
    return list1</t>
  </si>
  <si>
    <t>def shiftRight(list1):
    right=list1.pop(-1)
    list1.insert(0, right)
    return list1</t>
  </si>
  <si>
    <t>def shiftRight(list1):
    last = len(list1) - 1
    x = list1[last]
    list1.pop(last)
    list2 = [x]
    list2.extend(list1)
    list1 = list2
    return list1</t>
  </si>
  <si>
    <t xml:space="preserve">def shiftRight(list1):
    a = list1.pop()
    list1.insert(0, a)
    return list1
</t>
  </si>
  <si>
    <t>def shiftRight(list1):
    i = list1[-1]
    list1.remove(i)
    list1.insert(0,i)
    return list1</t>
  </si>
  <si>
    <t>def shiftRight(list1):
    number=list1.pop(-1)
    list1.insert(0,number)
    return list1</t>
  </si>
  <si>
    <t xml:space="preserve">def shiftRight(list1):
    e1 = list1[-1]
    for i, e2 in enumerate(list1):
        list1[i], e1 = e1, e2
    return list1
</t>
  </si>
  <si>
    <t>def shiftRight(lst):
    temp=lst[-1]
    for i in range(len(lst)-2,-1,-1):
        lst[i+1]=lst[i]
    lst[0]=temp
    return lst</t>
  </si>
  <si>
    <t>def shiftRight(list1):
    list2 = [0] * len(list1)
    b = 0
    for k in list1:
        list2[b] = k
        b += 1
    last = list1[-1]
    count = 1
    for i in list1:
        if count &gt;= len(list1):
            break
        list2[count] = list1[count-1]
        count += 1
    list2[0] = last    
    return list2</t>
  </si>
  <si>
    <t>def shiftRight(list1):
    temp=list1[-1]
    for i in range(len(list1)-1,0,-1):
        list1[i]=list1[i-1]
    list1[0]=temp
    return list1</t>
  </si>
  <si>
    <t>def shiftRight(list1):
    a = 0
    b = []
    c = len(list1) -1
    d = list1[c]
    b.append(d)
    while a &lt; len(list1)-1:
        f = list1[a]
        b.append(f)
        a = a+1
    return b</t>
  </si>
  <si>
    <t>def shiftRight(list1):
    a = list1.pop()
    list1.insert(0,a)
    return list1</t>
  </si>
  <si>
    <t>def shiftRight(list1):
    temp = list1[-1]
    for i in range(len(list1)-2,-1,-1):
        list1[i+1]=list1[i]
    list1[0] = temp
    return list1</t>
  </si>
  <si>
    <t>def shiftRight(list1):
    temp=list1[-1]
    for i in range((len(list1))-2,-1,-1):
        list1[i+1]=list1[i]
    list1[0]=temp
    return list1</t>
  </si>
  <si>
    <t xml:space="preserve">def shiftRight(list1):
    return [list1[-1]] + list1[:-1]
</t>
  </si>
  <si>
    <t>def shiftRight(list1):
    temp = list1[-1]
    list2 = [temp]
    for i in range(0, len(list1)-1):
        list2.append(list1[i])
    return list2</t>
  </si>
  <si>
    <t>def shiftRight(list1):
    x = list1.pop(-1)
    list1.insert(0, x)
    return list1</t>
  </si>
  <si>
    <t>def shiftRight(lst1):
    temp = lst1[1]
    for i in range(0,len(lst1)-1):
        lst1[-i+1] = lst1[-i]
    lst1[2] = temp
    return lst1</t>
  </si>
  <si>
    <t>def shiftRight(list1):
    list1.insert(0,list1.pop(-1))
    return list1</t>
  </si>
  <si>
    <t>def shiftRight(list1):
    x=list1.pop()
    list1.insert(0,x)
    return list1
print(shiftRight([1,2,3,4,5]))</t>
  </si>
  <si>
    <t>def shiftRight(list1):
    temp=list1[len(list1)-1]
    list1.pop()
    list1.insert(0,temp)
    return list1</t>
  </si>
  <si>
    <t>def shiftRight(lst):
    x=lst.pop(-1)
    lst.insert(0,x)
    return lst</t>
  </si>
  <si>
    <t>def shiftRight(list1):
    temp = list1[-1]
    for count in range(len(list1)-2,-1,-1):
        list1[count+1] = list1[count]
    list1[0] = temp
    return list1</t>
  </si>
  <si>
    <t>def shiftRight(list1):
    x = list1.pop()
    list1.insert(0,x)
    return list1</t>
  </si>
  <si>
    <t>def shiftRight(list1):
    list1 = [list1[-1]] + list1[:-1]
    return list1</t>
  </si>
  <si>
    <t>def shiftRight(list1):
    temp = list1[-1]
    list1.pop()
    list1.insert(0, temp)
    return list1</t>
  </si>
  <si>
    <t>def shiftRight(list1):
    temp = list1.pop()
    list1.insert(0,temp)
    return list1</t>
  </si>
  <si>
    <t>def shiftRight(list1):
    temp = list1[-1]
    for i in range(len(list1)- 2, -1, -1):
        list1[i+1] = list1[i]
    list1[0]= temp
    return list1</t>
  </si>
  <si>
    <t>def shiftRight(list1):
    a = len(list1)
    c = list1[a-1]
    b = []
    b.append(c)
    for number in range(0,a-1):
        b.append(list1[number])
    return b</t>
  </si>
  <si>
    <t>def shiftRight(list1):
    for i in range(len(list1)-1):
        temp = list1.pop(0)
        list1.append(temp)
    return list1</t>
  </si>
  <si>
    <t xml:space="preserve">def shiftRight(list1):
    temp=list1[-1]
    for i in range(len(list1)-1,0,-1):
        list1[i]=list1[i-1]
    list1[0]=temp
    return list1
</t>
  </si>
  <si>
    <t>def shiftRight(list1):
    x = list1.pop(-1)
    list1.insert(0,x)
    return list1</t>
  </si>
  <si>
    <t xml:space="preserve">def shiftRight(lst):
    lst[0:1] = [lst.pop(),lst[0]]
    return lst
    </t>
  </si>
  <si>
    <t>def shiftRight(list1):
        temp = list1[1]
        for i in range(len(list1)):
                list1[-i+1] = list1[-i]
        list1[2] = temp
        return list1
print(shiftRight([1, 2, 3, 4, 5]))</t>
  </si>
  <si>
    <t>def shiftRight(list1):
    list1.reverse()
    temp = list1[0]
    for i in range(1, len(list1)):
        list1[i - 1] = list1[i]
    list1[len(list1) - 1] = temp
    list1.reverse()
    return list1</t>
  </si>
  <si>
    <t>def shiftRight(list1):
    c=list1.pop(len(list1)-1)
    list1.insert(0,c)
    return list1</t>
  </si>
  <si>
    <t xml:space="preserve">def shiftRight(list1):
    temp = list1[-1] 
    for i in range(1, len(list1)):
        list1[-i] = list1[-i-1]
    list1[0] = temp
    return list1
</t>
  </si>
  <si>
    <t>#fill up the list
num1 = ["A","B","C"]
num2 = ["D","E","F"]
num3 = ["G","H","I"]
num4 = ["J","K","L"]
num5 = ["M","N","O"]
num6 = ['P",'Q","R","S"]
num7 = ['T",'U",'V']
num8 = ['W",'X",'Y",'Z']
def translate(tele_str):
    tele_str = tele_str.upper()
    for i in range(len(tele_str)):
        if (tele_str[i].isupper()) == True:
            if (tele_str[i] in num1) == True:
                tele_str = tele_str.replace(tele_str[i],"2")
            elif (tele_str[i] in num2) == True:
                tele_str =tele_str.replace(tele_str[i],"3")
            elif (tele_str[i] in num3) == True:
                tele_str =tele_str.replace(tele_str[i],"4")
            elif (tele_str[i] in num4) == True:
                tele_str =tele_str.replace(tele_str[i],"5")
            elif (tele_str[i] in num5) == True:
                tele_str =tele_str.replace(tele_str[i],"6")
            elif (tele_str[i] in num6) == True:
                tele_str =tele_str.replace(tele_str[i],"7")
            elif (tele_str[i] in num7) == True:
                tele_str =tele_str.replace(tele_str[i],"8")
            elif (tele_str[i] in num8) == True:
                tele_str =tele_str.replace(tele_str[i],"9")
    return tele_str</t>
  </si>
  <si>
    <t xml:space="preserve">#fill up the list
mapping = ['A",'B",'C",'D",'E",'F",'G",'H",'I",'J",'K",'L",'M",'N",'O",'P",'Q",'R",'S",'T",'U",'V",'W",'X",'Y",'Z']
assiote = [2,2,2,3,3,3,4,4,4,5,5,5,6,6,6,7,7,7,7,8,8,8,9,9,9,9]
def translate(tele_str):
    st = ''
    for x in tele_str:
        if x.isalpha():
            t = x.upper()
            st = st + str(assiote[(mapping.index(t))])
        else:
            st = st + x
    return st
    </t>
  </si>
  <si>
    <t>alpha = [0,'A",'B",'C",'D",'E",'F",'G",'H",'I",'J",'K",'L",'M",'N",'O",'P",'Q",'R",'S",'T",'U",'V",'W",'X",'Y",'Z']
mapping = [0,2,2,2,3,3,3,4,4,4,5,5,5,6,6,6,7,7,7,7,8,8,8,9,9,9,9]
def translate(tele_str):
    final = ''
    new = tele_str.upper()
    for n in new:
        if n in alpha:
            x = alpha.index(n)
            final += str(mapping[x])
        else:
            final += n
    return final</t>
  </si>
  <si>
    <t>#fill up the list
mapping = []
def translate(tele_str):
    s = ""
    ma = list(tele_str)
    for i in range (0, len(ma)):
            if ma[i] == 'A' or ma[i] == 'B' or ma[i] == 'C':
                s = s + "2"
            elif ma[i] == 'D' or ma[i] == 'E' or ma[i] == 'F':
                s = s + "3"
            elif ma[i] == 'G' or ma[i] == 'H' or ma[i] == 'I':
                s = s + "4"
            elif ma[i] == 'J' or ma[i] == 'K' or ma[i] == 'L':
                s = s + "5"
            elif ma[i] == 'M' or ma[i] == 'N' or ma[i] == 'O':
                s = s + "6"
            elif ma[i] == 'P' or ma[i] == 'Q' or ma[i] == 'R' or ma[i] == 'S':
                s = s + "7"
            elif ma[i] == 'T' or ma[i] == 'U' or ma[i] == 'V':
                s = s + "8"
            elif ma[i] == 'W' or ma[i] == 'X' or ma[i] == 'Y' or ma[i] == 'Z':
                s = s + "9"
            elif ma[i] == 'a' or ma[i] == 'b' or ma[i] == 'c':
                s = s + "2"
            elif ma[i] == 'd' or ma[i] == 'e' or ma[i] == 'f':
                s = s + "3"
            elif ma[i] == 'g' or ma[i] == 'h' or ma[i] == 'i':
                s = s + "4"
            elif ma[i] == 'j' or ma[i] == 'k' or ma[i] == 'l':
                s = s + "5"
            elif ma[i] == 'm' or ma[i] == 'n' or ma[i] == 'o':
                s = s + "6"
            elif ma[i] == 'p' or ma[i] == 'q' or ma[i] == 'r' or ma[i] == 's':
                s = s + "7"
            elif ma[i] == 't' or ma[i] == 'u' or ma[i] == 'v':
                s = s + "8"
            elif ma[i] == 'w' or ma[i] == 'x' or ma[i] == 'y' or ma[i] == 'z':
                s = s + "9"
            else:
                s = s + ma[i]
    return s
print(translate("Hello World"))</t>
  </si>
  <si>
    <t xml:space="preserve">#fill up the list
mapping = [2,2,2,3,3,3,4,4,4,5,5,5,6,6,6,7,7,7,7,8,8,8,9,9,9,9]
def translate(tele_str):
    tele_str = tele_str.upper()
    ans = ""
    for i in range(len(tele_str)):
        if ord(tele_str[i]) &gt;= 65 and ord(tele_str[i]) &lt;= 90:
            x = ord(tele_str[i]) - 65
            ans += str(mapping[x])
        else:
            ans += tele_str[i]
    return ans
            </t>
  </si>
  <si>
    <t xml:space="preserve">alph = ['a",'b",'c",'d",'e",'f",'g",'h",'i",'j",'k",'l",'m",'n",'o",'p",'q",'r",'s",'t",'u",'v",'w",'x",'y",'z']
num =[2,2,2,3,3,3,4,4,4,5,5,5,6,6,6,7,7,7,7,8,8,8,9,9,9,9]
def translate(t):
    s = ""
    t = t.lower()
    for index in range(len(t)):
        if t[index].isalpha():
            s = s + str(num[alph.index(t[index])])
        else:
            s = s + t[index]
    return s
</t>
  </si>
  <si>
    <t>#fill up the list
mapping = [2,2,2,3,3,3,4,4,4,5,5,5,6,6,6,7,7,7,7,8,8,8,9,9,9,9]
#use ASCII table
def translate(tele_str):
    ans=""
    tele_str=tele_str.lower()
    for i in tele_str:
        if i.isalpha():
            x=ord(i)-97
            ans+=str(mapping[x])
        else:
            ans+=str(i)
    return ans</t>
  </si>
  <si>
    <t>#fill up the list
mapping = [2,2,2,3,3,3,4,4,4,5,5,5,6,6,6,7,7,7,7,8,8,8,9,9,9,9]
def translate(tele_str):
    x=tele_str.upper()
    y=''
    for n in x:
        if ord(n) in range(65,91):
            y+=str(mapping[ord(n)-65])
        else:
            y+=n
    return y</t>
  </si>
  <si>
    <t>#fill up the list
mapping = ['2",'2",'2",'3",'3",'3",'4",'4",'4",'5",'5",'5",'6",'6",'6",'7",'7",'7",'7",'8",'8",'8",'9",'9",'9",'9']
def translate(tele_str):
    ans = ""
    tele = tele_str.lower()
    for Q in range(len(tele_str)):
        if ord(tele[Q]) &gt;= 97 and ord(tele[Q]) &lt;= 122:
            ans += mapping[ord(tele[Q])-97]
        else:
            ans += tele[Q]
    return ans
    pass</t>
  </si>
  <si>
    <t>#fill up the list
mapping = [2,2,2,3,3,3,4,4,4,5,5,5,6,6,6, 7,7,7,7,8,8,8,9,9,9,9]
def translate(tele_str): 
    x=tele_str.upper() 
    y='' 
    for n in x: 
        if ord(n) in range(65,91): 
            y+=str(mapping[ord(n)-65]) 
        else: 
            y+=n
    return y</t>
  </si>
  <si>
    <t>mapping = ['ABC", 'DEF", 'GHI", 'JKL", 'MNO",'PQRS",'TUV",'WXYZ']
def translate(tele_str):
    string = ''
    tele_str = tele_str.upper()
    for index in range(len(tele_str)):
        var = tele_str[index]
        if var.isalpha() == True:
            for each in range(8):
                if var in mapping[each]:
                    string += str(each+2)
                    break
        else:
            string += var
    return string</t>
  </si>
  <si>
    <t xml:space="preserve">#fill up the list
mapping=[2,2,2,3,3,3,4,4,4,5,5,5,6,6,6,7,7,7,7,8,8,8,9,9,9,9]
def translate(tele_str):
    ans=""
    tele_str=tele_str.lower()
    for i in tele_str:
        if i.isalpha():
            x=ord(i)-97
            ans+=str(mapping[x])
        else:
            ans+=str(i)
    return ans
            </t>
  </si>
  <si>
    <t>mapping = ['A B C",'D E F",'G H I",'J K L",'M N O",'P Q R S",'T U V",'W X Y Z']
def translate(tele_str):
    ans = ''
    tele_str = tele_str.upper()
    for i in range(len(tele_str)):
        c = 0
        while c &lt; 8:
            x = mapping[c]
            x = x.split()
            if tele_str[i] in x:
                ans += str(c+2)
                c = 8
            c += 1
        if c != 9:
            ans += tele_str[i]
    return ans</t>
  </si>
  <si>
    <t xml:space="preserve">def translate(x):
    string = ''
    alp = ["a","b","c","d","e","f","g","h","i","j","k","l","m","n","o","p","q","r","s","t","u","v","w","x","y","z"]
    num = ["2","2","2","3","3","3","4","4","4","5","5","5","6","6","6","7","7","7","7","8","8","8","9","9","9","9"]
    for i in range(len(x)):
        x = x.lower()
        if x[i].isalpha():
            for z in range(26):
                if x[i] == alp[z]:
                    string = string + num[z]
        else:
            string = string + x[i]
    return string
</t>
  </si>
  <si>
    <t>mapping = [2,2,2,3,3,3,4,4,4,5,5,5,6,6,6,7,7,7,7,8,8,8,9,9,9,9]
letters = ['A",'B",'C",'D",'E",'F",'G",'H",'I",'J",'K",'L",'M",'N",'O",'P",'Q",'R",'S",'T",'U",'V",'W",'X",'Y",'Z']
def translate(lol):
    c = ''
    lol = lol.upper()
    sjs = len(lol)
    for u in range(sjs):
        if lol[u] in letters :
            index = letters.index(lol[u])
            c = c + str(mapping[index])
        else:
            c = c+str(lol[u])
    return c</t>
  </si>
  <si>
    <t xml:space="preserve">mapping = {'a':2,'b':2,'c':2,'d':3,'e':3,'f':3,'g':4,'h':4,'i':4,'j':5,'k':5,'l':5,'m':6,'n':6,'o':6,'p':7,'q':7,'r':7,'s':7,'t':8,'u':8,'v':8,'w':9,'x':9,'y':9,'z':9}
def translate(tele_str):
    ans = ''
    tele_str = tele_str.lower()
    for i in list(tele_str):
        if (i.isdigit()) or (not(i.isalnum())):
            ans += i
        else:
            ans += str(mapping[i])
    return ans                        </t>
  </si>
  <si>
    <t xml:space="preserve">alpha = [0,'A",'B",'C",'D",'E",'F",'G",'H",'I",'J",'K",'L",'M",'N",'O",'P",'Q",'R",'S",'T",'U",'V",'W",'X",'Y",'Z']
mapping = [0,2,2,2,3,3,3,4,4,4,5,5,5,6,6,6,7,7,7,7,8,8,8,9,9,9,9]
def translate(tele_str):
    final = ''
    new = tele_str.upper()
    for n in new:
        if n in alpha:
            x = alpha.index(n)
            final += str(mapping[x])
        else:
            final += n
    return final
    </t>
  </si>
  <si>
    <t>#fill up the list
mapping = [2,2,2,3,3,3,4,4,4,5,5,5,6,6,6,7,7,7,7,8,8,8,9,9,9,9]
def translate(tele_str):
    ans = ""
    for x in range(len(tele_str)):
        a = str(tele_str[x])
        if a.isalpha():
            if a.isupper():
                num = ord(a) - 65
            else:
                num = ord(a) - 97
            ans += str(mapping[num])
        else:
            ans += a
    return ans</t>
  </si>
  <si>
    <t xml:space="preserve">#fill up the list
mapping = [2,2,2,3,3,3,4,4,4,5,5,5,6,6,6,7,7,7,7,8,8,8,9,9,9,9]
def translate(tele_str):
    tele_str = list(tele_str)
    for i in tele_str:
        if i.isalpha() == True:
            tele_str[tele_str.index(i)] = str(mapping[ord(i.upper()) - 65])
    return "".join(tele_str)
            </t>
  </si>
  <si>
    <t>#fill up the list
mapping = [2,2,2,3,3,3,4,4,4,5,5,5,6,6,6,7,7,7,7,8,8,8,9,9,9,9]
def translate(tele_str):
    res = ""
    for i in tele_str:
        if i.isalpha():
            res += str(mapping[ord(i.lower())-97])
        else:
            res += i
    return res</t>
  </si>
  <si>
    <t>#fill up the list
mapping = [["A","B","C"],["D","E","F"],["G","H","I"],["J","K","L"],["M","N","O"],["P","Q","R","S"],["T","U","V"],["W","X","Y","Z"]]
def translate(tele_str):
    no=tele_str.upper()
    no=no.replace("A","2")
    no=no.replace("B","2")
    no=no.replace("C","2")
    no=no.replace("D","3")
    no=no.replace("E","3")
    no=no.replace("F","3")
    no=no.replace("G","4")
    no=no.replace("H","4")
    no=no.replace("I","4")
    no=no.replace("J","5")
    no=no.replace("K","5")
    no=no.replace("L","5")
    no=no.replace("M","6")
    no=no.replace("N","6")
    no=no.replace("O","6")
    no=no.replace("P","7")
    no=no.replace("Q","7")
    no=no.replace("R","7")
    no=no.replace("S","7")
    no=no.replace("T","8")
    no=no.replace("U","8")
    no=no.replace("V","8")
    no=no.replace("W","9")
    no=no.replace("X","9")
    no=no.replace("Y","9")
    no=no.replace("Z","9")
    return no</t>
  </si>
  <si>
    <t xml:space="preserve">#fill up the list
mapping = [2,2,2,3,3,3,4,4,4,5,5,5,6,6,6,7,7,7,7,8,8,8,9,9,9,9]
def translate(tele_str):
    for i in tele_str:
        if i.isalpha():
            if i.isupper():
                tele_str = tele_str.replace(i,str(mapping[ord(i)-65]))
            else:
                tele_str = tele_str.replace(i,str(mapping[ord(i)-97]))
    return tele_str
</t>
  </si>
  <si>
    <t>mapping = [2,2,2,3,3,3,4,4,4,5,5,5,6,6,6,7,7,7,7,8,8,8,9,9,9,9]
def translate(tele_str):
    ans = ''
    tele_str = tele_str.upper()
    x = len(tele_str)
    for v in range(x):
        if ord(tele_str[v])&gt;= 65 and ord(tele_str[v])&lt;= 90:
            x = ord(tele_str[v])-65
            ans = ans + str(mapping[x])
        else :
            ans = ans + str(tele_str[v])
    return ans</t>
  </si>
  <si>
    <t>mapping = [2,2,2,3,3,3,4,4,4,5,5,5,6,6,6,7,7,7,7,8,8,8,9,9,9,9]
def translate(tele_str):
    ans = ""
    for i in tele_str:
        if i.isalpha():
            if i.isupper():
                num = ord(i) - ord("A")
            else:
                num = ord(i) - ord("a")
            ans += str(mapping[num])
        else:
            ans += i
    return ans</t>
  </si>
  <si>
    <t>#fill up the list
mapping = ["A,B,C","D,E,F","G,H,I","J,K,L","M,N,O","P,Q,R,S","T,U,V","W,X,Y,Z"]
def translate(tele_str):
    tele_str = tele_str.upper()
    result = ''
    for i in range(len(tele_str)):
        for d in range(len(mapping)):
            if tele_str[i] in mapping[d]:
                num = d + 2
                result += str(num)
                var = True
                break
            else:
                var = False
                continue
        if var == False:
            result += str(tele_str[i])
    return result</t>
  </si>
  <si>
    <t>#fill up the list
mapping = []
def translate(tele_str):
    ans = tele_str.lower()
    ans = ans.replace("a","2")
    ans = ans.replace("b","2")
    ans = ans.replace("c","2")
    ans = ans.replace("d","3")
    ans = ans.replace("e","3")
    ans = ans.replace("f","3")
    ans = ans.replace("g","4")
    ans = ans.replace("h","4")
    ans = ans.replace("i","4")
    ans = ans.replace("j","5")
    ans = ans.replace("k","5")
    ans = ans.replace("l","5")
    ans = ans.replace("m","6")
    ans = ans.replace("n","6")
    ans = ans.replace("o","6")
    ans = ans.replace("p","7")
    ans = ans.replace("q","7")
    ans = ans.replace("r","7")
    ans = ans.replace("s","7")
    ans = ans.replace("t","8")
    ans = ans.replace("u","8")
    ans = ans.replace("v","8")
    ans = ans.replace("w","9")
    ans = ans.replace("x","9")
    ans = ans.replace("y","9")
    ans = ans.replace("z","9")
    return ans</t>
  </si>
  <si>
    <t xml:space="preserve">mapping = [ 2 , 2 , 2 , 3 , 3 , 3 , 4 , 4 , 4 , 5 , 5 , 5 , 6 , 6 , 6 , 7 , 7 , 7 , 7 , 8 , 8 , 8 , 9 , 9 , 9 , 9 ]
def translate(tele_str):
    ans=''
    a = tele_str.upper()
    for i in (a):
        if i.isalpha():
            b = ord(i)-ord('A')
            ans+=str(mapping[b])
        else:
            ans+=i
    return ans
</t>
  </si>
  <si>
    <t xml:space="preserve">
mapping = ['ABCabc.",'DEFdef.",'GHIghi.",'JKLjkl.",'MNOmno.",'PQRSpqrs.",'TUVtuv.",'WXYZwxyz.']
def translate(tele_str):
      c=0
      ans=''
      lst=[x for x in tele_str]
      for x in lst:
            for y in mapping:
                  if y.find(x)!=-1:
                        lst[c]=(mapping.index(y))+2
            c+=1
      for x in lst:
            ans+=str(x)
      return ans</t>
  </si>
  <si>
    <t>def translate(tele_str):
    mappingalpha = ["A", "B", "C", "D", "E", "F", "G", "H", "I", "J", "K", "L", "M", "N", "O", "P", "Q", "R", "S", "T", "U", "V", "W", "X", "Y", "Z"]
    mappingnum = [1, 1, 1, 2, 2, 2, 3, 3, 3, 4, 4, 4, 5, 5, 5, 6, 6, 6, 6, 7, 7, 7, 8, 8, 8, 8]
    string = tele_str.upper()
    for letter in mappingalpha:
        string = string.replace(letter, str(mappingnum[mappingalpha.index(letter)]+1))
    return string</t>
  </si>
  <si>
    <t>#fill up the list
mapping = ['ABCabc.",'DEFdef.",'GHIghi.",'JKLjkl.",'MNOmno.",'PQRSpqrs.",'TUVtuv.",'WXYZwxyz.']
def translate(tele_str):
      c=0
      ans=''
      lst=[x for x in tele_str]
      for x in lst:
            for y in mapping:
                  if y.find(x)!=-1:
                        lst[c]=(mapping.index(y))+2
            c+=1
      for x in lst:
            ans+=str(x)
      return ans</t>
  </si>
  <si>
    <t>#fill up the list
mapping = []
def translate(tele_str):
    ans = ""
    for l in range(0,len(tele_str)):
        k = tele_str[l]
        if k.isalpha():
            k = k.lower()
            if k in "abc":
                ans = ans + "2"
            elif k in "def":
                ans = ans + "3"
            elif k in "ghi":
                ans = ans + "4"
            elif k in "jkl":
                ans = ans + "5"
            elif k in "mno":
                ans = ans + "6"
            elif k in "pqrs":
                ans = ans + "7"
            elif k in "tuv":
                ans = ans + "8"
            else:
                ans = ans + "9"
        else:
            ans = ans + k
    return ans</t>
  </si>
  <si>
    <t xml:space="preserve">#fill up the list
mapping = []
TWO = ["a", "A", "b", "B", "c", "C"]
THREE = ["d", "D", "e", "E", "f", "F"]
FOUR = ["g", "G", "h", "H", "i", "I"]
FIVE = ["j", "J", "k", "K", "l", "L"]
SIX = ["m", "M", "n", "N", "o", "O"]
SEVEN = ["p", "P", "q", "Q", "R", "r", "s", "S"]
EIGHT = ["t", "T", "u", "U", "v", "V"]
NINE = ["w", "W", "x", "X", "y", "Y", "z", "Z"]
def translate(tele_str):
    result = ""
    for i in range(len(tele_str)):
        if(tele_str[i] in TWO):
            result += "2"
        elif(tele_str[i] in THREE):
            result += "3"
        elif(tele_str[i] in FOUR):
            result += "4"
        elif(tele_str[i] in FIVE):
            result += "5"
        elif(tele_str[i] in SIX):
            result += "6"
        elif(tele_str[i] in SEVEN):
            result += "7"
        elif(tele_str[i] in EIGHT):
            result += "8"
        elif(tele_str[i] in NINE):
            result += "9"
        else:
            result += tele_str[i]
    return result
</t>
  </si>
  <si>
    <t>#fill up the list
mapping = ["A, B, C", "D, E, F", "G, H, I", "J, K, L", "M, N, O", "P, Q, R, S", "T, U, V", "W, X, Y, Z"]
def translate(tele_str):
    tele_str=tele_str.upper()
    call=""
    for i in range(len(tele_str)):
        if tele_str[i].isupper()==False:
            call+=tele_str[i]
        else:
            for j in range(8):
                if tele_str[i] in mapping[j]:
                    call+=str(j+2)
                    break
    return call</t>
  </si>
  <si>
    <t>#fill up the list
mapping = [2, 3, 4, 5, 6, 7, 8, 9]
def translate(tele_str):
    x = len(tele_str)
    y = 0
    while y &lt; x:
        if 65 &lt;= ord(tele_str[y]) &lt;= 90 or 97 &lt;= ord(tele_str[y]) &lt;= 122:
            if tele_str[y] == 'a' or tele_str[y] == 'A' or tele_str[y] == 'b' or tele_str[y] == 'B' or tele_str[y] == 'c' or tele_str[y] == 'C':
                tele_str = tele_str.replace(tele_str[y], str(mapping[0]))
            elif tele_str[y] == 'd' or tele_str[y] == 'e' or tele_str[y] == 'f' or tele_str[y] == 'D' or tele_str[y] == 'E' or tele_str[y] == 'F':
                tele_str = tele_str.replace(tele_str[y], str(mapping[1]))
            elif tele_str[y] == 'g' or tele_str[y] == 'h' or tele_str[y] == 'i' or tele_str[y] == 'G' or tele_str[y] == 'H' or tele_str[y] == 'I':
                tele_str = tele_str.replace(tele_str[y], str(mapping[2]))
            elif tele_str[y] == 'j' or tele_str[y] == 'k' or tele_str[y] == 'l' or tele_str[y] == 'J' or tele_str[y] == 'K' or tele_str[y] == 'L':
                tele_str = tele_str.replace(tele_str[y], str(mapping[3]))
            elif tele_str[y] == 'm' or tele_str[y] == 'n' or tele_str[y] == 'o' or tele_str[y] == 'M' or tele_str[y] == 'N' or tele_str[y] == 'O':
                tele_str = tele_str.replace(tele_str[y], str(mapping[4]))
            elif tele_str[y] == 'p' or tele_str[y] == 'q' or tele_str[y] == 'r' or tele_str[y] == 's' or tele_str[y] == 'P' or tele_str[y] == 'Q' or tele_str[y] == 'R' or tele_str[y] == 'S':
                tele_str = tele_str.replace(tele_str[y], str(mapping[5]))
            elif tele_str[y] == 't' or tele_str[y] == 'u' or tele_str[y] == 'v' or tele_str[y] == 'T' or tele_str[y] == 'U' or tele_str[y] == 'V':
                tele_str = tele_str.replace(tele_str[y], str(mapping[6]))
            elif tele_str[y] == 'w' or tele_str[y] == 'x' or tele_str[y] == 'y' or tele_str[y] == 'z' or tele_str[y] == 'W' or tele_str[y] == 'X' or tele_str[y] == 'Y' or tele_str[y] == 'Z':
                tele_str = tele_str.replace(tele_str[y], str(mapping[7]))
        else:
            tele_str = tele_str
        y += 1
    return tele_str</t>
  </si>
  <si>
    <t xml:space="preserve">mapping = ['2",'2",'2",'3",'3",'3",'4",'4",'4",'5",'5",'5",'6",'6",'6",'7",'7",'7",'7",'8",'8",'8",'9",'9",'9",'9']
numbers = ['0", '1", '2", '3", '4", '5", '6", '7", '8", '9']
letters = ["A", "B", "C", "D", "E", "F", "G", "H", "I", "J", "K", "L", "M", "N", "O", "P", "Q", "R", "S", "T", "U", "V", "W", "X", "Y", "Z"]
def translate(tele_str):
    e = ''
    y = tele_str.upper()
    for i in range (0, len(y)):
        if y[i] in numbers:
            e += str(y[i])
            i += 1
            continue
        elif y[i] in letters:
            e += mapping[letters.index(y[i])]
            i += 1
            continue
        else:
            e += str(y[i])
            i += 1
            continue
    return e
</t>
  </si>
  <si>
    <t>#fill up the list
mapping = [2,2,2,3,3,3,4,4,4,5,5,5,6,6,6,7,7,7,7,8,8,8,9,9,9,9]
def translate(tele_str):
    ans = ""
    for i in tele_str:
        if i.isalpha():
            if i.isupper():
                x=ord(i)-ord("A")
            else:
                x=ord(i)-ord("a")
            ans+=str(mapping[x])
        else:
            ans+=i
    return ans</t>
  </si>
  <si>
    <t xml:space="preserve">#fill up the list
mapping = [2,2,2,3,3,3,4,4,4,5,5,5,6,6,6, 7,7,7,7,8,8,8,9,9,9,9]
def translate(tele_str): 
    x=tele_str.upper() 
    y='' 
    for n in x: 
        if ord(n) in range(65,91): 
            y+=str(mapping[ord(n)-65]) 
        else: 
            y+=n
    return y
</t>
  </si>
  <si>
    <t>#fill up the list
mapping = []
def translate(tele_str):
    telestr=tele_str.lower()
    s=""
    for i in range(len(telestr)):
        if telestr[i]=="a" or telestr[i]=="b" or telestr[i]=="c":
            s+="2"
        elif telestr[i]=="d" or telestr[i]=="e" or telestr[i]=="f":
            s+="3"
        elif telestr[i]=="g" or telestr[i]=="h" or telestr[i]=="i":
            s+="4"
        elif telestr[i]=="j" or telestr[i]=="k" or telestr[i]=="l":
            s+="5"
        elif telestr[i]=="m" or telestr[i]=="n" or telestr[i]=="o":
            s+="6"
        elif telestr[i]=="p" or telestr[i]=="q" or telestr[i]=="r" or telestr[i]=="s":
            s+="7"
        elif telestr[i]=="t" or telestr[i]=="u" or telestr[i]=="v":
            s+="8"
        elif telestr[i]=="w" or telestr[i]=="x" or telestr[i]=="y" or telestr[i]=="z":
            s+="9"
        else:
            s+=telestr[i]
    return s</t>
  </si>
  <si>
    <t>#fill up the list
mapping = ["A,B,C","D,E,F","G,H,I","J,K,L","M,N,O","P,Q,R,S","T,U,V","W,X,Y,Z"]
def translate(tele_str):
    tele_str=tele_str.upper()
    result=''
    for i in range(len(tele_str)):
        for d in range(len(mapping)):
            if tele_str[i] in mapping[d]:
                num=d+2
                result+=str(num)
                var=True
                break
            else:
                var=False
                continue
        if var==False:
            result+=str(tele_str[i])
    return result
    pass</t>
  </si>
  <si>
    <t xml:space="preserve">mapping=["ABC","DEF","GHI","JKL","MNO","PQRS","TUV","WXYZ"]
def translate(tele_str):
    new = ""
    tele_str = tele_str.upper()
    size = len(tele_str)
    for i in range (size):
        if tele_str[i].isalpha()== False:
            new += tele_str[i]
        if tele_str[i].isalpha()==True:
            for p in range(len(mapping)):
                index = mapping[p].find(tele_str[i])
                if index &gt; -1:
                    new += str(p + 2)
    return new
</t>
  </si>
  <si>
    <t>#fill up the list
mapping = [2, 2, 2, 3, 3, 3, 4, 4, 4, 5, 5, 5, 6, 6, 6, 7, 7, 7, 7, 8, 8, 8, 9, 9, 9, 9]
def translate(tele_str):
    global mapping
    res = ""
    tele_str.upper()
    for i in list(tele_str):
        if i.isupper():
            let = (ord(i) - ord("A"))
            res = res + str(mapping[let])
        elif i.islower():
            let = (ord(i) - ord("a"))
            res = res + str(mapping[let])
        else:
            res = res + str(i)
    return res</t>
  </si>
  <si>
    <t>def translate(tele_str):
    x=tele_str.upper()
    ans=""
    for i in range(len(tele_str)):
        if x[i]=="A" or x[i] =="B" or x[i] == "C":
            ans+="2"
        elif x[i]=="D" or x[i] =="E" or x[i] == "F":
            ans+="3"
        elif x[i]=="G" or x[i] =="H" or x[i] == "I":
            ans+="4"
        elif x[i]=="J" or x[i] =="K" or x[i] == "L":
            ans+="5"
        elif x[i]=="M" or x[i] =="N" or x[i] == "O":
            ans+="6"
        elif x[i]=="P" or x[i] =="Q" or x[i] == "R" or x[i] =="S":
            ans+="7"
        elif x[i]=="T" or x[i] =="U" or x[i] == "V":
            ans+="8"
        elif x[i]=="W" or x[i] =="X" or x[i] == "Y" or x[i] =="Z":
            ans+="9"
        else:
            ans+=tele_str[i]
    return ans</t>
  </si>
  <si>
    <t>def translate(tele_str):
    a = tele_str.lower()
    aa = a.replace('a",'2')
    bb = aa.replace('b",'2')
    cc = bb.replace('c",'2')
    dd = cc.replace('d",'3')
    ee = dd.replace('e",'3')
    ff = ee.replace('f",'3')
    gg = ff.replace('g",'4')
    hh = gg.replace('h",'4')
    ii = hh.replace('i",'4')
    jj = ii.replace('j",'5')
    kk = jj.replace('k",'5')
    ll = kk.replace('l",'5')
    mm = ll.replace('m",'6')
    nn = mm.replace('n",'6')
    oo = nn.replace('o",'6')
    pp = oo.replace('p",'7')
    qq = pp.replace('q",'7')
    rr = qq.replace('r",'7')
    ss = rr.replace('s",'7')
    tt = ss.replace('t",'8')
    uu = tt.replace('u",'8')
    vv = uu.replace('v",'8')
    ww = vv.replace('w",'9')
    xx = ww.replace('x",'9')
    yy = xx.replace('y",'9')
    zz = yy.replace('z",'9')
    return zz</t>
  </si>
  <si>
    <t>numbe = [2, 2, 2, 3, 3, 3, 4, 4, 4, 5, 5, 5, 6, 6, 6, 7, 7, 7, 7, 8, 8, 8, 9, 9, 9, 9]
alpha = ['a", 'b", 'c", 'd", 'e", 'f", 'g", 'h", 'i", 'j", 'k", 'l", 'm", 'n", 'o", 'p", 'q", 'r", 's", 't", 'u", 'v", 'w", 'x", 'y", 'z']
def translate(tele_str):
    tele_stri = tele_str.lower()
    ans = ""
    for i in range(0, len(tele_stri)):
            if alpha.count(tele_stri[i]) == 1:
                    a = alpha.index(tele_stri[i])
                    b = str(numbe[a])
                    ans = ans + b
            else:
                    ans = ans + str(tele_stri[i])
    return ans</t>
  </si>
  <si>
    <t>#fill up the list
mapping = []
def translate(tele_str):
    ans = tele_str.lower()
    ans = ans.replace("a", "2")
    ans = ans.replace("b", "2")
    ans = ans.replace("c", "2")
    ans = ans.replace("d", "3")
    ans = ans.replace("e", "3")
    ans = ans.replace("f", "3")
    ans = ans.replace("g", "4")
    ans = ans.replace("h", "4")
    ans = ans.replace("i", "4")
    ans = ans.replace("j", "5")
    ans = ans.replace("k", "5")
    ans = ans.replace("l", "5")
    ans = ans.replace("m", "6")
    ans = ans.replace("n", "6")
    ans = ans.replace("o", "6")
    ans = ans.replace("p", "7")
    ans = ans.replace("q", "7")
    ans = ans.replace("r", "7")
    ans = ans.replace("s", "7")
    ans = ans.replace("t", "8")
    ans = ans.replace("u", "8")
    ans = ans.replace("v", "8")
    ans = ans.replace("w", "9")
    ans = ans.replace("x", "9")
    ans = ans.replace("y", "9")
    ans = ans.replace("z", "9")
    return ans</t>
  </si>
  <si>
    <t>mapping = [2,2,2,3,3,3,4,4,4,5,5,5,6,6,6, 7,7,7,7,8,8,8,9,9,9,9]
def translate(tele_str): 
    x=tele_str.upper() 
    y='' 
    for n in x: 
        if ord(n) in range(65,91): 
            y+=str(mapping[ord(n)-65]) 
        else: 
            y+=n
    return y</t>
  </si>
  <si>
    <t>#fill up the list
mapping = [2,2,2,3,3,3,4,4,4,5,5,5,6,6,6,7,7,7,7,8,8,8,9,9,9,9]
def translate(tele_str):
    num = ''
    tele_str=tele_str.upper()
    for item in tele_str:
        digit=ord(item)-65
        if digit&gt;=0 and digit &lt;=25:
            num+=str(mapping[digit])
        else:
            num+=str(item)
    return num</t>
  </si>
  <si>
    <t>#fill up the list
mapping = [2,2,2,3,3,3,4,4,4,5,5,5,6,6,6,7,7,7,7,8,8,8,9,9,9,9]
def translate(tele_str):
    ans = ""
    tele_str=tele_str.upper()
    for item in tele_str:
        no = ord(item)-65
        if no&gt;=0 and no&lt;=25:
            ans += str(mapping[no])
        else:
            ans += str(item)
    return(ans)</t>
  </si>
  <si>
    <t>#fill up the list
mapping = ["1", "0", "abc2", "def3", "ghi4", "jkl5", "mno6", "pqrs7", "tuv8", "wxyz9"]
def translate(tele_str):
    lower_str = tele_str.lower()
    ans = ""
    j = 0
    for i in range(len(tele_str)):
        replace = ""
        j = 0
        for j in range(len(mapping)):
            if str(lower_str[i]) in mapping[j]:
                replace = str(mapping[j])
                ans += replace[-1]
                break
            else:
                j += 1
                continue
        if j == len(mapping):
          ans += str(lower_str[i])
    return ans</t>
  </si>
  <si>
    <t>#fill up the list
mapping = []
def translate(tele_str):
    num1 = ["A","B","C"]
    num2 = ["D","E","F"]
    num3 = ["G","H","I"]
    num4 = ["J","K","L"]
    num5 = ["M","N","O"]
    num6 = ['P",'Q","R","S"]
    num7 = ['T",'U",'V']
    num8 = ['W",'X",'Y",'Z']
    tele_str = tele_str.upper()
    for i in range(len(tele_str)):
        if (tele_str[i].isupper()) == True:
            if (tele_str[i] in num1) == True:
                tele_str = tele_str.replace(tele_str[i],"2")
            elif (tele_str[i] in num2) == True:
                tele_str =tele_str.replace(tele_str[i],"3")
            elif (tele_str[i] in num3) == True:
                tele_str =tele_str.replace(tele_str[i],"4")
            elif (tele_str[i] in num4) == True:
                tele_str =tele_str.replace(tele_str[i],"5")
            elif (tele_str[i] in num5) == True:
                tele_str =tele_str.replace(tele_str[i],"6")
            elif (tele_str[i] in num6) == True:
                tele_str =tele_str.replace(tele_str[i],"7")
            elif (tele_str[i] in num7) == True:
                tele_str =tele_str.replace(tele_str[i],"8")
            elif (tele_str[i] in num8) == True:
                tele_str =tele_str.replace(tele_str[i],"9")
    return tele_str</t>
  </si>
  <si>
    <t xml:space="preserve">mapping = [2,2,2,3,3,3,4,4,4,5,5,5,6,6,6,7,7,7,7,8,8,8,9,9,9,9]
def translate(tele_str):
    ans=""
    for i in tele_str:
        if i.isalpha()==True:
            if i.isupper()==True:
                ans+=str(mapping[(ord(i)-65)])
            else:
                ans+=str(mapping[(ord(i)-97)])
        else:
            ans+=str(i)
    return ans
</t>
  </si>
  <si>
    <t>mapping = [2,2,2,3,3,3,4,4,4,5,5,5,6,6,6,7,7,7,7,8,8,8,9,9,9,9]
def translate(tele_str):
    tele_str=tele_str.lower()
    s=""
    for count in tele_str:
        if count.isalpha()==True:
            x=ord(count)-97
            s=s+str(mapping[x])
        else:
            s=s+count
    return s</t>
  </si>
  <si>
    <t>#fill up the list
mapping = ['2",'2",'2",'3",'3",'3",'4",'4",'4",'5",'5",'5",'6",'6",'6",'7",'7",'7",'7",'8",'8",'8",'9",'9",'9",'9']
alphabets=['a",'b",'c",'d",'e",'f",'g",'h",'i",'j",'k",'l",'m",'n",'o",'p",'q",'r",'s",'t",'u",'v",'w",'x",'y",'z']
def translate(tele_str):
    tele_str=tele_str.lower()
    length=len(tele_str)
    for count in range(length):
        al=tele_str[count]
        if al in alphabets:
            x=alphabets.index(al)
            y=mapping[x]
            z=alphabets[x]
            tele_str=tele_str.replace(z,y)
            continue
    return tele_str</t>
  </si>
  <si>
    <t>def translate(tele_str):
    phonelist=["A","B","C","D","E","F","G","H","I","J","K","L","M","N","O","P","Q","R","S","T","U","V","W","X","Y","Z"]
    potato=tele_str.upper()
    finallist=""
    for count in range(len(potato)):
        number=potato[count]
        k=0
        for it in range(26):
            if number==phonelist[it]:
                k=1
                break
        if k!=1:
            finallist=finallist+number
            continue
        if it==0 or it==1 or it==2:
            finallist=finallist+"2"
        elif it==3 or it==4 or it==5:
            finallist=finallist+"3"
        elif it==6 or it==7 or it==8:
            finallist=finallist+"4"
        elif it==9 or it==10 or it==11:
            finallist=finallist+"5"
        elif it ==12 or it==13 or it==14:
            finallist=finallist+"6"
        elif it==15 or it==16 or it==17 or it==18:
            finallist=finallist+"7"
        elif it==19 or it==20 or it==21:
            finallist=finallist+"8"
        else:
            finallist=finallist+"9"
    return finallist</t>
  </si>
  <si>
    <t>#fill up the list
mapping = []
def translate(tele_str):
    result = ""
    for i in tele_str:
        if i == "A" or i == "a" or i == "B" or i == "b" or i == "C" or i == "c":
            result += "2"
        elif i == "D" or i == "d" or i == "E" or i == "e" or i == "F" or i == "f":
            result += "3"
        elif i == "G" or i == "g" or i == "h" or i == "i" or i == "H" or i == "I":
            result += "4"
        elif i == "J" or i == "K" or i == "L" or i == "j" or i == "k" or i=="l":
            result += "5"
        elif i == "M" or i == "N" or i == "O" or i=="m" or i=="n" or i=="o":
            result += "6"
        elif i == "P" or i == "Q" or i == "R" or i == "S" or i=="p" or i=="q" or i=="r" or i=="s":
            result += "7"
        elif i == "T" or i == "U" or i == "V" or i == "t" or i == "u" or i == "v":
            result += "8"
        elif i == "W" or i == "X" or i == "Y" or i == "Z" or i=="w" or i == "x" or i == "y" or i == "z":
            result += "9"
        else:
            result += i
    return result</t>
  </si>
  <si>
    <t>#fill up the list
mapping = [2,2,2,3,3,3,4,4,4,5,5,5,6,6,6,7,7,7,7,8,8,8,9,9,9,9]
def translate(tele_str):
    res=''
    for y in tele_str:
        x=ord(y)
        if (x&gt;64 and x&lt;91) or (x&lt;123 and x&gt;96):
            z=x%32-1
            res=res+str(mapping[z])
        else:
            res=res+str(y)
    return res
    pass</t>
  </si>
  <si>
    <t>mapping = ["A,B,C,a,b,c","D,E,F,d,e,f","G,H,I,g,h,i","J,K,L,j,k,l","M,N,O,m,n,o","P,Q,R,S,p,q,r,s","T,U,V,t,u,v","W,X,Y,Z,w,x,y,z"]
a = mapping[0]
b = mapping[1]
c = mapping[2]
d = mapping[3]
e = mapping[4]
f = mapping[5]
g = mapping[6]
h = mapping[7]
def translate(tele_str):
        ans = ""
        for i in range(len(tele_str)):
                if tele_str[i] in a:
                        an = "2"
                        ans += an
                elif tele_str[i] in b:
                        an = "3"
                        ans += an
                elif tele_str[i] in c:
                        an = "4"
                        ans += an
                elif tele_str[i] in d:
                        an = "5"
                        ans += an
                elif tele_str[i] in e:
                        an = "6"
                        ans += an
                elif tele_str[i] in f:
                        an = "7"
                        ans += an
                elif tele_str[i] in g:
                        an ="8"
                        ans += an
                elif tele_str[i] in h:
                        an = "9"
                        ans += an
                else:
                        ans += tele_str[i]
        return ans</t>
  </si>
  <si>
    <t>def translate(tele_str):
    x = ""
    q = 0
    p = len(tele_str)-1
    tele_str2 = tele_str.upper()
    while p&gt;=q:
        g = tele_str2[q]
        y = ord(g)
        if y in range(65,68):
            x+=str(2)
        elif y in range(68,71):
            x+=str(3)
        elif y in range(71,74):
            x+=str(4)
        elif y in range(74,77):
            x+=str(5)
        elif y in range(77,80):
            x+=str(6)
        elif y in range(80,84):
            x+=str(7)
        elif y in range(84,87):
            x+=str(8)
        elif y in range(87,91):
            x+=str(9)
        else:
            x+=g
        q+=1
    ans = x
    return ans</t>
  </si>
  <si>
    <t xml:space="preserve">def translate(tele_str):
    c = len(tele_str)
    s = ''
    list1 = ['a",'b",'c",'A",'B",'C']
    list2 = ['d",'e",'f",'D",'E",'F']
    list3 = ['g",'h",'i",'G",'H",'I']
    list4 = ['j",'k",'l",'J",'K",'L']
    list5 = ['m",'n",'o",'M",'N",'O']
    list6 = ['p",'q",'r",'s",'P",'Q",'R",'S']
    list7 = ['t",'u",'v",'T",'U",'V']
    list8 = ['w",'x",'y",'z",'W",'X",'Y",'Z']
    list9 = ['1",'2",'3",'4",'5",'6",'7",'8",'9",'10",' ']
    for number in range(c):
        if tele_str[number] in list1:
            s = s + '2'
        elif tele_str[number] in list2:
            s = s + '3'
        elif tele_str[number] in list3:
            s = s + '4'
        elif tele_str[number] in list4:
            s = s + '5'
        elif tele_str[number] in list5:
            s = s + '6'
        elif tele_str[number] in list6:
            s = s + '7'
        elif tele_str[number] in list7:
            s = s + '8'
        elif tele_str[number] in list8:
            s = s + '9'
        else:
            s = s + tele_str[number]
    return s
    </t>
  </si>
  <si>
    <t xml:space="preserve">#fill up the list
mapping = [2,2,2,3,3,3,4,4,4,5,5,5,6,6,6,7,7,7,7,8,8,8,9,9,9,9]
def translate(tele_str):
    hello = tele_str.lower()
    s = ""
    for i in range(0, len(hello)):
        if str(hello[i:i+1]).isalpha() == True:
            x = ord(hello[i]) - 97
            s += str(mapping[x])
        else:
            s += hello[i]
    return s
    </t>
  </si>
  <si>
    <t>#fill up the list
mapping = []
def translate(tele_str):
    temp=tele_str.upper()
    ans=""
    for i in temp:
        if i == "A" or i == "B" or i=="C":
            ans+="2"
        elif i == "D" or i=="F" or i=="E":
            ans+="3"
        elif i == "G" or i=="H" or i=="I":
            ans+="4"
        elif i == "J" or i=="K" or i=="L":
            ans+="5"
        elif i == "M" or i=="N" or i=="O":
            ans+="6"
        elif i == "P" or i=="Q" or i=="R" or i=="S":
            ans+="7"
        elif i == "T" or i=="U" or i=="V":
            ans+="8"
        elif i == "W" or i=="X" or i=="Y" or i=="Z":
            ans+="9"
        else:
            ans+=i
    return ans</t>
  </si>
  <si>
    <t xml:space="preserve">def translate(tele_str):
     x=tele_str.upper()
     y = ""
     for i in range(len(tele_str)):
         if x[i]=="A" or x[i] =="B" or x[i] == "C":
             y += "2"
         elif x[i]=="D" or x[i] =="E" or x[i] == "F":
             y += "3"
         elif x[i]=="G" or x[i] =="H" or x[i] == "I":
             y += "4"
         elif x[i]=="J" or x[i] =="K" or x[i] == "L":
             y += "5"
         elif x[i]=="M" or x[i] =="N" or x[i] == "O":
             y += "6"
         elif x[i]=="P" or x[i] =="Q" or x[i] == "R" or x[i] =="S":
             y += "7"
         elif x[i]=="T" or x[i] =="U" or x[i] == "V":
             y += "8"
         elif x[i]=="W" or x[i] =="X" or x[i] == "Y" or x[i] =="Z":
             y += "9"
         else:
             y +=tele_str[i]
     return y
print(translate("1800-MEDICARE"))
</t>
  </si>
  <si>
    <t>#fill up the list
def translate(tele_str):
    mapping = [('abc",2), ('def",3), ('ghi",4), ('jkl",5), ('mno",6), ('pqrs",7), ('tuv",8), ('wxyz",9)]
    charmap = {c:v for k,v in mapping for c in k}
    phone = tele_str
    result = "".join(str(charmap.get(v,v)) for v in phone.lower())
    return result</t>
  </si>
  <si>
    <t>#fill up the list
mapping2 = [65, 66, 67, 97, 98, 99]
mapping3 = [68, 69, 70, 100, 101, 102]
mapping4 = [71, 72, 73, 103, 104, 105]
mapping5 = [74, 75, 76, 106, 107, 108]
mapping6 = [77, 78, 79, 109, 110, 111]
mapping7 = [80, 81, 82, 83, 112, 113, 114, 115]
mapping8 = [84, 85, 86, 116, 117, 118]
mapping9 = [87, 88, 89, 90, 119, 120, 121, 122]
def translate(tele_str):
    tele_lst = list(tele_str)
    telestr = ''
    for i in tele_lst:
        if i.isalpha() == True:
            if ord(i) in mapping2:
                telestr += '2'
            elif ord(i) in mapping3:
                telestr += '3'
            elif ord(i) in mapping4:
                telestr += '4'
            elif ord(i) in mapping5:
                telestr += '5'
            elif ord(i) in mapping6:
                telestr += '6'
            elif ord(i) in mapping7:
                telestr += '7'
            elif ord(i) in mapping8:
                telestr += '8'
            elif ord(i) in mapping9:
                telestr += '9'
        else:
            telestr += i
    return telestr</t>
  </si>
  <si>
    <t>alph = ['a",'b",'c",'d",'e",'f",'g",'h",'i",'j",'k",'l",'m",'n",'o",'p",'q",'r",'s",'t",'u",'v",'w",'x",'y",'z']
num =[2,2,2,3,3,3,4,4,4,5,5,5,6,6,6,7,7,7,7,8,8,8,9,9,9,9]
def translate(t):
    s = ""
    t = t.lower()
    for index in range(len(t)):
        if t[index].isalpha():
            s = s + str(num[alph.index(t[index])])
        else:
            s = s + t[index]
    return s</t>
  </si>
  <si>
    <t xml:space="preserve">def translate(tele_str):
    x=""
    q=0
    p=len(tele_str)-1
    tele_str2=tele_str.upper()
    while p&gt;=q:
        g=tele_str2[q]
        y=ord(g)
        if y in range(65,68):
            x+=str(2)
        elif y in range(68,71):
            x+=str(3)
        elif y in range(71,74):
            x+=str(4)
        elif y in range(74,77):
            x+=str(5)
        elif y in range(77,80):
            x+=str(6)
        elif y in range(80,84):
            x+=str(7)
        elif y in range(84,87):
            x+=str(8)
        elif y in range(87,91):
            x+=str(9)
        else:
            x+=g
        q+=1
    ans=x
    return ans
</t>
  </si>
  <si>
    <t>mapping = ["A B C a b c",'D E F d e f",'G H I g h i",'J K L j k l",'M N O m n o",'P Q R S p q r s",'T U V t u v",'W X Y Z w x y z']
def translate(tele_str):
    x = tele_str.replace('A",'2')
    j = 0
    for i in range (2,10):
        a = mapping[j].split()
        for k in range(len(a)):
            x = x.replace(a[k],str(i))
        j += 1
    return x</t>
  </si>
  <si>
    <t xml:space="preserve">def translate(tele_str):
    list2=['A",'B",'C']
    list3=['D",'E",'F']
    list4=['G",'H",'I']
    list5=['J",'K",'L']
    list6=['M",'N",'O']
    list7=['P",'Q",'R",'S']
    list8=['T",'U",'V']
    list9=['W",'X",'Y",'Z']
    s=tele_str
    s_upper=s.upper()
    for i in range(0,len(s)):
        if s_upper[i] in list2:
            s_upper=s_upper.replace(s_upper[i],'2')
            i=i+1
            ans=s_upper
        elif s_upper[i] in list3:
            s_upper=s_upper.replace(s_upper[i],'3')
            i=i+1
            ans=s_upper
        elif s_upper[i] in list4:
            s_upper=s_upper.replace(s_upper[i],'4')
            i=i+1
            ans=s_upper
        elif s_upper[i] in list5:
            s_upper=s_upper.replace(s_upper[i],'5')
            i=i+1
            ans=s_upper
        elif s_upper[i] in list6:
            s_upper=s_upper.replace(s_upper[i],'6')
            i=i+1
            ans=s_upper
        elif s_upper[i] in list7:
            s_upper=s_upper.replace(s_upper[i],'7')
            i=i+1
            ans=s_upper
        elif s_upper[i] in list8:
            s_upper=s_upper.replace(s_upper[i],'8')
            i=i+1
            ans=s_upper
        elif s_upper[i] in list9:
            s_upper=s_upper.replace(s_upper[i],'9')
            i=i+1
            ans=s_upper
        else:
            ans=s_upper
    return ans
</t>
  </si>
  <si>
    <t>def convert16Bit(decimal):
    decimal = '{0:b}'.format(decimal)
    decimal = decimal.zfill(16)
    return decimal</t>
  </si>
  <si>
    <t>def convert16Bit(decimal):
    w = ''
    while decimal != 0:
        z = decimal % 2
        decimal = decimal //2
        w = str(z) + w
    w = w.zfill(16)
    return w</t>
  </si>
  <si>
    <t>def convert16Bit(decimal):
    ans=bin(decimal)[2:]
    result=ans.zfill(16)
    return result</t>
  </si>
  <si>
    <t>def convert16Bit(decimal):
    bye = "{0:b}".format(decimal)
    hi = str(bye)
    lalala = hi.zfill(16)
    return lalala
print(convert16Bit(92))</t>
  </si>
  <si>
    <t xml:space="preserve">
def convert16Bit(n):
    ans = [0,0,0,0,0,0,0,0,0,0,0,0,0,0,0,0]
    string = ""
    for i in range(16,0,-1):
        print (i)
        x = n // (2 ** i)
        print (x)
        if x &gt; 0:
            ans[15 - i] = 1
            n %= x * (2 ** i)
    for j in range(16):
        string += str(ans[j])
    return string</t>
  </si>
  <si>
    <t>def convert16Bit(decimal):
    a = '{0:b}'.format(decimal).zfill(16)
    return a</t>
  </si>
  <si>
    <t xml:space="preserve">def convert16Bit(decimal):
    s='{0:b}'.format(decimal)
    ans="0"*(16-len(s))+s
    return ans
print(convert16Bit(92))
</t>
  </si>
  <si>
    <t>def convert16Bit(decimal):
    x=''
    y=''
    while decimal!=0:
        x+=str(decimal%2)
        decimal//=2
    for n in range(1,len(x)+1):
        y+=x[-n]
    while len(y)!=16:
        y='0'+y
    return y</t>
  </si>
  <si>
    <t>def convert16Bit(decimal):
    ans = bin(decimal)[2: ]
    ans = ans.zfill(16)
    return ans
    pass</t>
  </si>
  <si>
    <t>def convert16Bit(decimal):
    binary=bin(decimal)[2:]
    ans=binary.zfill(16)
    return ans</t>
  </si>
  <si>
    <t>def convert16Bit(decimal):
    s = bin(decimal)[2:]
    s = s.zfill(16)
    return s</t>
  </si>
  <si>
    <t xml:space="preserve">def convert16Bit(decimal):
    s=bin(decimal)[2:]
    ans=s.zfill(16)
    return ans
    </t>
  </si>
  <si>
    <t>def convert16Bit(decimal):
    ans = '{0:b}'.format(decimal).zfill(16)
    return ans</t>
  </si>
  <si>
    <t xml:space="preserve">def convert16Bit(decimal):
    return bin(decimal)[2:].zfill(16)
</t>
  </si>
  <si>
    <t>def convert16Bit(decimal):
    return bin(decimal)[2:].zfill(16)</t>
  </si>
  <si>
    <t>def convert16Bit(decimal):
    return "{0:016b}".format(decimal)</t>
  </si>
  <si>
    <t xml:space="preserve">def convert16Bit(decimal):
    s = "{0:b}".format(decimal)
    s1 = s.zfill(16)
    return s1
    </t>
  </si>
  <si>
    <t xml:space="preserve">def convert16Bit(decimal):
    k = '{0:b}'.format(decimal)
    return k.zfill(16)
    </t>
  </si>
  <si>
    <t>def convert16Bit(decimal):
    res = bin(decimal)[2:]
    res = "0"*(16-len(res)) + res
    return res</t>
  </si>
  <si>
    <t>def convert16Bit(decimal):
    c=decimal
    ans=""
    while c&gt;0:
        ans+=str(c%2)
        c=c//2
    ans=ans[::-1]
    ans=str(ans).zfill(16)
    return ans</t>
  </si>
  <si>
    <t>def convert16Bit(decimal):
    res = "0000000000000000"
    a = bin(decimal)
    res = res[:17 - len(a)]
    res = res + a
    res = res.replace("b","")
    return res</t>
  </si>
  <si>
    <t>def convert16Bit(decimal):
    ans = ''
    while decimal &gt; 0 :
        x = decimal % 2
        ans = str(x)+ans
        decimal = decimal // 2
    maari = 16 - len(ans)
    ans = '0'*maari + ans
    return ans</t>
  </si>
  <si>
    <t>def convert16Bit(decimal):
    x = '{0:b}'.format(decimal)
    ans = x.zfill(16)
    return ans</t>
  </si>
  <si>
    <t>def convert16Bit(decimal):
    a = '{0:b}'.format(decimal)
    a = a.zfill(16)
    return a</t>
  </si>
  <si>
    <t>def convert16Bit(decimal):
    ans = bin(decimal)[2:]
    ans = str(ans).zfill(16)
    return ans</t>
  </si>
  <si>
    <t>def convert16Bit(decimal):
    a = bin(decimal)[2:]
    ans = a.zfill(16)
    return ans</t>
  </si>
  <si>
    <t xml:space="preserve">def convert16Bit(decimal):
    ans='{0:b}'.format(decimal)
    ans=((16-len(ans))*'0')+ans
    return ans
</t>
  </si>
  <si>
    <t>def convert16Bit(decimal):
    s = '{0:b}'.format(decimal)
    ans = s.zfill(16)
    return ans</t>
  </si>
  <si>
    <t>def convert16Bit(decimal):
    num = bin(decimal)[2:]
    zero = "0" * (16-(len(num)))
    ans = zero + num
    ans = str(ans)
    return ans</t>
  </si>
  <si>
    <t>def convert16Bit(decimal):
    d = '{0:b}'.format(decimal)
    d = "0" * (16-len(d)) + d
    return d</t>
  </si>
  <si>
    <t xml:space="preserve">def convert16Bit(decimal):
    binary = bin(decimal)
    binary = binary[2:]
    binary = binary.zfill(16)
    return binary
</t>
  </si>
  <si>
    <t>def convert16Bit(decimal):
    binary=(bin(decimal)[2:])
    binarylen=len(binary)
    return binary.zfill(16)</t>
  </si>
  <si>
    <t>def convert16Bit(decimal):
    s = bin(decimal)[2: ]
    ans = s.zfill(16)
    return ans</t>
  </si>
  <si>
    <t xml:space="preserve">def convert16Bit(decimal):
    y = format(decimal, "b")
    ans = y.zfill(16)
    return ans
</t>
  </si>
  <si>
    <t xml:space="preserve">def convert16Bit(decimal):
    return '{0:b}'.format(decimal).zfill(16)
    </t>
  </si>
  <si>
    <t>def convert16Bit(decimal):
    s1 = '{0:b}'.format(decimal).zfill(16)
    return s1</t>
  </si>
  <si>
    <t>def convert16Bit(decimal):
    binary=bin(decimal)[2:]
    length=len(binary)
    if length!=16:
        res=binary.zfill(16)
    return res</t>
  </si>
  <si>
    <t>def convert16Bit(decimal):
    a='{0:b}'.format(decimal)
    a=a.zfill(16)
    return a
    pass</t>
  </si>
  <si>
    <t xml:space="preserve">def convert16Bit(decimal):
    decimal = '{0:b}'.format(decimal)
    decimal = decimal.zfill(16)
    return decimal
</t>
  </si>
  <si>
    <t xml:space="preserve">def convert16Bit(decimal):
    ans = '{0:b}'.format(decimal).zfill(16)
    return ans
</t>
  </si>
  <si>
    <t>def convert16Bit(decimal):
    res = '{0:b}'.format(decimal).zfill(16)
    return res</t>
  </si>
  <si>
    <t>def convert16Bit(decimal):
    a = bin(decimal)
    x = a.replace('b",'')
    lol = x.zfill(16)
    return lol</t>
  </si>
  <si>
    <t>def convert16Bit(decimal):
    s = decimal
    ans = ""
    for i in range(15, -1, -1):
        print(i)
        if s - (2 ** i) &gt;= 0:
            s = s - (2 ** i)
            ans = ans + "1"
        else:
            ans = ans + "0"
    print(len(ans))
    return ans</t>
  </si>
  <si>
    <t xml:space="preserve">
def convert16Bit(decimal):
    binary=bin(decimal)[2:]
    ans=binary.zfill(16)
    return ans</t>
  </si>
  <si>
    <t>def convert16Bit(decimal):
    x='{0:b}'.format(decimal).zfill(16)
    return x</t>
  </si>
  <si>
    <t>def convert16Bit(decimal):
    return '{0:b}'.format(decimal).zfill(16)
    pass</t>
  </si>
  <si>
    <t xml:space="preserve">def convert16Bit(decimal):
    x = bin(decimal)
    z = x.replace("b", "")
    y = z.zfill(16)
    return y
</t>
  </si>
  <si>
    <t xml:space="preserve">
def convert16Bit(decimal):
    return '{0:b}'.format(decimal).zfill(16)</t>
  </si>
  <si>
    <t xml:space="preserve">def convert16Bit(decimal):
 #   s= ({0:b}.format(decimal).zfill(16))
    s1= bin(decimal)[2:].zfill(16)
    return s1
    </t>
  </si>
  <si>
    <t>def convert16Bit(decimal):
    ans='{0:b}'.format(decimal).zfill(16)
    return ans</t>
  </si>
  <si>
    <t>def convert16Bit(decimal):
    binary=bin(decimal)[2:]
    ans=binary.zfill(16)
    return ans
    pass</t>
  </si>
  <si>
    <t>def convert16Bit(decimal):
    binary='{0:b}'.format(decimal)
    total=binary.zfill(16)
    return total</t>
  </si>
  <si>
    <t>def convert16Bit(decimal):
    result = ""
    x = bin(decimal)[2:]
    result += "0" * (16 - len(x))
    result += x
    return result
    pass</t>
  </si>
  <si>
    <t>def convert16Bit(decimal):
    x=bin(decimal)[2:]
    x=x.zfill(16)
    return x
    pass</t>
  </si>
  <si>
    <t xml:space="preserve">def convert16Bit(decimal):
    s = '{0:b}'.format(decimal).zfill(16)
    return s
    </t>
  </si>
  <si>
    <t xml:space="preserve">def convert16Bit(decimal):
    x = bin(decimal)[2:]
    y = x.zfill(16)
    ans = y
    return ans
</t>
  </si>
  <si>
    <t>def convert16Bit(decimal):
    s1 = bin(decimal)[2:]
    s = s1.zfill(16)
    return s</t>
  </si>
  <si>
    <t xml:space="preserve">def convert16Bit(decimal):
    i = 15
    s = ""
    while decimal &gt; 0 or len(s)!= 16:
        if decimal &lt; 2**i:
            s += "0"
        else:
            s += "1"
            decimal -= 2**i
        i -= 1
    return s
</t>
  </si>
  <si>
    <t xml:space="preserve">def convert16Bit(decimal):
    decimal = '{:b}'.format(decimal)
    decimal = str(decimal)
    ans = decimal.zfill(16)
    return ans
</t>
  </si>
  <si>
    <t>def convert16Bit(decimal):
    return '{0:b}'.format(decimal).zfill(16)</t>
  </si>
  <si>
    <t>def convert16Bit(decimal):
    x=bin(decimal)[2:]
    y=x.zfill(16)
    ans=y
    return ans</t>
  </si>
  <si>
    <t>def convert16Bit(decimal):
    x = '{0:b}'.format(decimal)
    z = x.zfill(16)
    return z</t>
  </si>
  <si>
    <t xml:space="preserve">def convert16Bit(decimal):
    s = '{0:b}'.format(decimal).zfill(16)
    return s
</t>
  </si>
  <si>
    <t>student_code</t>
  </si>
  <si>
    <t>repaired_code</t>
  </si>
  <si>
    <t>feedback</t>
  </si>
  <si>
    <t>num_iteration</t>
  </si>
  <si>
    <t>isRepairSuccess</t>
  </si>
  <si>
    <t># 
feedback</t>
  </si>
  <si>
    <t># TP 
Valid</t>
  </si>
  <si>
    <t># FP 
Extra</t>
  </si>
  <si>
    <t># FP 
Invalid</t>
  </si>
  <si>
    <t># FP 
Hallucinate</t>
  </si>
  <si>
    <t># FN 
Missed</t>
  </si>
  <si>
    <t>""" store the final answer in a variable named result """
fahre = eval(input('enter the temperature in fahrenheit'))
result = ( fahre - 32 ) * 5 / 9</t>
  </si>
  <si>
    <t>[
    {
    "line_number": "2",
    "feedback": "The input prompt should be a string. You forgot to put quotes around the prompt. Always remember to enclose your strings in quotes.",
        "category": "TP"
    }]</t>
  </si>
  <si>
    <t>""" store the final answer in a variable named result """
name = input("Enter your name:")
age = input("Enter your age:")
result = "My friend " + name + " is " + age + " years old."
print(result)</t>
  </si>
  <si>
    <t>[
    {
        "line_number": "4",
        "feedback": "You don't need to convert the 'name' and 'age' variables to string using 'str.' function. The 'input' function in Python always returns a string. So, you can directly use the 'name' and 'age' variables in the concatenation operation.",
        "category": "TP"
    }
]</t>
  </si>
  <si>
    <t>""" store the final answer in a variable named result """
name = input("enter name:")
age = input("enter age:")
result = "My friend " + name + " is " + age + " years old."
print(result)</t>
  </si>
  <si>
    <t>[
    {
        "line_number": "2",
        "feedback": "You should not convert the name input to an integer. The name is a string, not a number.",
        "category": "TP"
    },
    {
        "line_number": "3",
        "feedback": "You do not need to convert the age input to an integer. Although age is a number, you are using it as a string in the final message.",
        "category": "TP"
    },
    {
        "line_number": "4",
        "feedback": "You need to add spaces in your string to separate the words properly. Also, you do not need to put parentheses around the variables name and age.",
        "category": "TP"
    }
]</t>
  </si>
  <si>
    <t>y = input("Enter your name:")
x = eval(input("Enter your age:"))
result = "My friend " + y + " is " + str(x) + " years old."</t>
  </si>
  <si>
    <t>[
    {
        "line_number": "1",
        "feedback": "The order of input prompts should match with the order of inputs provided. In this case, name should be asked before age.",
        "category": "TP"
    },
    {
        "line_number": "4",
        "feedback": "The result string should be a single string. You should use the "+" operator to concatenate strings instead of comma. Also, the age should be converted to string before concatenating.",
        "category": "TP"
    }
]</t>
  </si>
  <si>
    <t>n = str(input("Enter your name:"))
a = str(input("Enter your age:"))
result = "My friend " + str(n) + " is " + str(a) + " years old."
print(result)</t>
  </si>
  <si>
    <t>[
    {
        "line_number": "3",
        "feedback": "You forgot to add the "+" operator to concatenate the strings. Remember, in Python, you need to use "+" to join strings together.",
        "category": "TP"
    }]</t>
  </si>
  <si>
    <t>""" store your answer in a variable named result """
name=eval(input('enter your name'))
age=eval(input('enter your age'))
result="My friend " + name + " is " + str(age) + " years old."
print(result)</t>
  </si>
  <si>
    <t>[
    {
    "line_number": "4",
    "feedback": "You were trying to concatenate strings and integer which is not possible in python. Also, you were trying to store the result as a tuple instead of a string. You should convert the age to string and concatenate all the parts of the sentence to form a single string.",
        "category": "TP"
    }]</t>
  </si>
  <si>
    <t>name = input("Enter your name: ")
age = input("Enter your age: ")
result = "My friend "+name+" is "+age+" years old."
print(result)</t>
  </si>
  <si>
    <t>[
    {
        "line_number": "2",
        "feedback": "You should use the input function to get the age as a string. The eval function is not necessary here.",
        "category": "TP"
    },
    {
        "line_number": "3",
        "feedback": "You missed closing the double quotes at the end of the string. Always ensure to close any opened quotes.",
        "category": "TP"
    },
{
    "line_number": "3",
    "feedback": "You forgot to add a full-stop at the end of the string",
        "category": "FN"
    }
]</t>
  </si>
  <si>
    <t>name = input()
age = input()
result = "My friend "+ name+" is "+age+" years old."
print(result)</t>
  </si>
  <si>
    <t>[
    {
    "line_number": "2",
    "feedback": "The input prompt should be a string. You forgot to put quotes around the prompt. Always remember to enclose your strings in quotes.",
        "category": "FP-E"
    },
 {
    "line_number": "3",
    "feedback": "The input prompt should be a string. You forgot to put quotes around the prompt. Always remember to enclose your strings in quotes.",
        "category": "FP-E"
    },
{
    "line_number": "5",
    "feedback": "You need to print the result",
        "category": "FN"
    }
]</t>
  </si>
  <si>
    <t>radius = float(input("Enter the radius of the cylinder: "))
height = float(input("Enter the height of the cylinder: "))
result = 3.14159 * radius ** 2 * height
print(result)</t>
  </si>
  <si>
    <t>[
    {
        "line_number": "1",
        "feedback": "You should prompt the user to input the radius of a cylinder, not just print "hi". Use the input function to get user input and convert it to a float.",
        "category": "TP"
    },
    {
        "line_number": "2",
        "feedback": "You should also prompt the user to input the height of the cylinder. Again, use the input function and convert the input to a float.",
        "category": "TP"
    },
    {
        "line_number": "3",
        "feedback": "You need to calculate the volume of the cylinder using the formula πr²h and store the result in a variable named "result".",
        "category": "TP"
    },
    {
        "line_number": "4",
        "feedback": "Finally, you should print out the calculated volume, not the input radius.",
        "category": "TP"
    }
]</t>
  </si>
  <si>
    <t>def count_substring(string):
    ans = 0
    positionA = -1
    for count in range(string.count('A')):
        positionA = string.find('A", positionA + 1)
        ans += int(string[positionA + 1:].find('X') != -1)
    return ans</t>
  </si>
  <si>
    <t>[
    {
    "line_number": "6",
    "feedback": "Instead of counting all the X characters from the position of A to the end of the string, you should check if there is an X character after A. This can be done by using the find method on the substring of the string that starts after A. If the find method returns -1, it means there is no X character after A, otherwise there is. You can convert this boolean to an integer and add it to ans.'",
        "category": "FP-I"
    },
{
    "line_number":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"FN"
    }]</t>
  </si>
  <si>
    <t>def count_substring(string):
    lst = list(string)
    ans = 0
    for i in range(len(lst)):
        if lst[i] == 'A':
            ans += lst[i:].count('X')
    return ans</t>
  </si>
  <si>
    <t>[
    {
        "line_number": "6",
        "feedback": "The condition to check if there are no more "A" in the remaining string is not necessary. The loop will naturally end when it has traversed the entire string. Removing this condition will not affect the logic of the program and will make it pass all the test cases.'",
        "category": "TP"
    },
{
        "line_number": "5",
        "feedback": "The logic of the code is incorrect. The count of 'X' after each 'A' is not the correct way to count the substrings that start with 'A' and end with 'X'. Instead, you should increment a counter every time you encounter an 'A", and for each 'X' you encounter, add the current count of 'A's to the answer. This is because each 'X' can pair with any 'A' that came before it to form a valid substring.",
        "category": "FN"
    }
]</t>
  </si>
  <si>
    <t>def count_substring(string):
    numA = 0
    ans = 0
    for s in string:
        if s == "A":
            numA += 1
        elif s == "X":
            ans += numA
    return ans</t>
  </si>
  <si>
    <t>[
    {
    "line_number": "2",
    "feedback": "You don't need to split the string. Instead, you can iterate over it directly.",
        "category": "FP-E"
    },
    {
    "line_number": "3",
    "feedback": "The variable 'l' and the join operation are not necessary. You can count the number of 'A's directly in the loop.",
        "category": "FP-E"
    },
    {
    "line_number": "5",
    "feedback": "You don't need to calculate the length of the string and subtract it from the length of 'a'. You can count the number of 'A's directly in the loop.",
        "category": "FP-E"
    },
    {
    "line_number": "6",
    "feedback": "You don't need to use a while loop with a negative index. You can use a for loop to iterate over the string.",
        "category": "FP-E"
    },
    {
    "line_number": "7",
    "feedback": "You don't need to check if the character is 'X' in the loop. Instead, you can increment the count of 'A's when you encounter an 'A' and add the count of 'A's to the answer when you encounter an 'X'.",
        "category": "TP"
    },
    {
    "line_number": "9",
    "feedback": "You don't need to decrement the count of 'A's when you encounter an 'A'. Instead, you should increment the count of 'A's.",
        "category": "TP"
    },
    {
    "line_number": "11",
    "feedback": "You don't need to assign 'ans' to itself. This line can be removed.",
        "category": "FP-E"
    }
]</t>
  </si>
  <si>
    <t>def count_substring(s):
    ans = 0
    ca = 0
    for i in range (0, len(s)):
        if s[i] == 'A':
            ca += 1
        elif s[i] == 'X':
            ans += ca
    return ans</t>
  </si>
  <si>
    <t>[
    {
        "line_number": "4",
        "feedback": "You don't need to initialize 'ca", 'cx", and 'n' inside the loop. Only 'ca' is required and it should be initialized before the loop."",
        "category": "TP"
    },
    {
        "line_number": "6",
        "feedback": "The condition 'if i == (len(s)-1):' is not necessary. You should increment 'ca' each time you encounter 'A' and increment 'ans' by 'ca' each time you encounter 'X'."",
        "category": "TP"
    },
    {
        "line_number": "8",
        "feedback": "The inner loop is not necessary. You can accomplish the task using only one loop."",
        "category": "TP"
    },
    {
        "line_number": "9",
        "feedback": "You don't need to keep a count of 'X'. Instead, each time you encounter 'X", add the current count of 'A' to 'ans'."",
        "category": "TP"
    },
    {
        "line_number": "12",
        "feedback": "The calculation of 'n' is not required. You can directly add 'ca' to 'ans' each time you encounter 'X'."",
        "category": "TP"
    }
]</t>
  </si>
  <si>
    <t>def count_substring(string):
    numbera=0
    count=0
    for i in range(len(string)):
        if string[i]=="A":
            numbera+=1
        if string[i]=="X":
            count+=numbera
    return count</t>
  </si>
  <si>
    <t>[
    {
        "line_number": "2",
        "feedback": "Indentation is important in Python. The body of your function should be indented.'",
        "category": "FP-H"
    },
    {
        "line_number": "5",
        "feedback": "You should increment the count of "A" when you encounter an "A", not the total count.'",
        "category": "TP"
    },
    {
        "line_number": "7",
        "feedback": "When you encounter an "X", you should add the count of "A"s to the total count, not just increment it by one.'",
        "category": "TP"
    },
    {
        "line_number": "8",
        "feedback": "Your function should return the count at the end.'",
        "category": "TP"
    }
]</t>
  </si>
  <si>
    <t>def count_substring(string):
    ans = 0
    for i in range(len(string)):
        if string[i] == 'A':
            rightstr = string[i+1:].split('A')[0]
            x = rightstr.count('X')
            ans = ans + x
    return ans</t>
  </si>
  <si>
    <t>[
    {
    "line_number": "6",
    "feedback": "You are counting all the Xs after an A. But you should only count the Xs until the next A is found. You can use the split() function to get the substring from the current index to the next A.'",
        "category": "FP-I"
    },
  {
    "line_number": "6",
    "feedback": "You are counting all the 'X's after each 'A'. However, you should consider that each 'A' starts a new substring. Therefore, you need to keep a count of 'A's and for each 'X' you find, add the current count of 'A's to the answer.",
        "category": "FN"
    }]</t>
  </si>
  <si>
    <t>def count_substring(string):
    count = 0
    for i in range(0, len(string)):
        if string[i] == 'A':
            for n in range(i+1, len(string)):
                if string[n] == 'X':
                    count += 1
    return count</t>
  </si>
  <si>
    <t>[
    {
        "line_number": "5",
        "feedback": "You should only increment the count when you find a substring that starts with "A" and ends with "X". So, you should start your inner loop only when you find an "A".",
        "category": "FP-E"
    },
    {
        "line_number": "7",
        "feedback": "The inner loop should start from the next character after "A", not from the same character.",
        "category": "FP-E"
    },
    {
        "line_number": "9",
        "feedback": "You should increment the count and break the loop as soon as you find an "X", because you have found a valid substring. You do not need to continue checking the rest of the string.",
        "category": "FP-E"
    },
    {
        "line_number": "15",
        "feedback": "You do not need the else statement here. If the condition in the if statement is not met, the loop will automatically continue to the next iteration.",
        "category": "FP-E"
    }
]</t>
  </si>
  <si>
    <t>def factorial(n):
    ans = 1
    for i in range(1, n+1):
        ans *= i
    return ans</t>
  </si>
  <si>
    <t>[
    {
        "line_number": "2",
        "feedback": "You should initialize "ans" to 1, not 0. Because anything multiplied by 0 is 0, your function will always return 0.'",
        "category": "TP"
    },
    {
        "line_number": "3",
        "feedback": "You should iterate from 1 to n (inclusive), not from 0 to n. Also, you need to include a colon at the end of the for loop.'",
        "category": "TP"
    },
    {
        "line_number": "4",
        "feedback": "You should multiply "ans" by the current number "i", not "n". Also, use the "*=" operator to update the value of "ans".'",
        "category": "TP"
    }
]</t>
  </si>
  <si>
    <t>def factorial(n):
    ans=1
    for i in range(1, n+1):
        ans*=i
    return ans</t>
  </si>
  <si>
    <t>[
    {
    "line_number": "3",
    "feedback": "You should use a for loop as per the problem statement, not a while loop. Also, you forgot to update the value of n in the loop. It should be n = n - 1, not just n-1.'",
        "category": "TP"
    },
    {
    "line_number": "4",
    "feedback": "In your loop, you should multiply ans by i, where i ranges from 1 to n. This is because the factorial of a number is the product of all positive integers up to that number.'",
        "category": "TP"
    }
]</t>
  </si>
  <si>
    <t>def factorial(n):
    result = 1
    for i in range(1, n+1):
        result *= i
    return result</t>
  </si>
  <si>
    <t>[
    {
        "line_number": "2",
        "feedback": "You should initialize your result variable to 1, not 0. Because you are calculating a product, starting with 0 will always result in 0.'",
        "category": "TP"
    },
    {
        "line_number": "3",
        "feedback": "You should be using a for loop to calculate the factorial, not a while loop. The while loop you have written is calculating something else.'",
        "category": "TP"
    },
    {
        "line_number": "4",
        "feedback": "Your logic for updating the variable n is incorrect. You should be decrementing n by 1 each time, not dividing by 2 or multiplying by 3.'",
        "category": "TP"
    },
    {
        "line_number": "6",
        "feedback": "You should be multiplying your result variable by i each time through the loop, not adding 1 to it.'",
        "category": "TP"
    },
    {
        "line_number": "7",
        "feedback": "You should be returning your result variable, not a.'",
        "category": "TP"
    }
]</t>
  </si>
  <si>
    <t>def factorial(n):
    ans = 1
    if n &lt; 0: 
        ans = "Invalid Input! "
    elif n == 0: 
        ans = 1
    else: 
        for i in range(1, n + 1): 
            ans *= i
    return ans</t>
  </si>
  <si>
    <t>[
    {
        "line_number": "2",
        "feedback": "You forgot to initialize the variable "ans". It should be initialized to 1 before the loop starts. This is because the variable "ans" is used in the loop for multiplication, and any number multiplied by 1 remains the same. If "ans" is not initialized and you try to use it in the loop, it will cause an error because "ans" would not have a value yet.'",
        "category": "TP"
    }
]</t>
  </si>
  <si>
    <t>def factorial(n):
    ans = 1
    for a in range(1, n+1):
        ans = ans * a
    return ans</t>
  </si>
  <si>
    <t>[
    {
        "line_number": "3",
        "feedback": "You don't need to check if n==0. The for loop will handle it correctly."",
        "category": "FP-H"
    },
    {
        "line_number": "5",
        "feedback": "You should use a 'for' loop as per the problem statement, not a 'while' loop."",
        "category": "TP"
    },
    {
        "line_number": "7",
        "feedback": "You're resetting ans to 1 in every iteration of the loop. You should initialize ans to 1 before the loop starts."",
        "category": "TP"
    },
    {
        "line_number": "8",
        "feedback": "In the loop, you should multiply the current value of ans by a, not set ans equal to a."",
        "category": "TP"
    }
]</t>
  </si>
  <si>
    <t>""" store your answer in a variable named result """
digit = eval(input("Enter int: "))
ones = digit % 10
tens = (digit // 10) % 10
hundreds = (digit // 100) % 10
result = ones + tens + hundreds
print(result)</t>
  </si>
  <si>
    <t>[
    {
        "line_number": "6",
        "feedback": "You have made a typo in the variable name. It should be "hundreds" instead of "hundred".'",
        "category": "FP-E"
    },
    {
        "line_number": "7",
        "feedback": "You need to add the hundreds place digit to the result as well. So, it should be "result = ones + tens + hundreds".'",
        "category": "TP"
    },
    {
        "line_number": "8",
        "feedback": "You should print the variable "result" instead of the function "sum".'",
        "category": "TP"
    }
]</t>
  </si>
  <si>
    <t>num = input("Enter a number in range [0,999]: ")
num = int(num)
result = 0
while num &gt; 0:
    digit = num % 10
    result += digit
    num = num // 10
print("The sum of the digits is", result)</t>
  </si>
  <si>
    <t>[
    {
        "line_number": "1",
        "feedback": "You need to start by prompting the user to input an integer within the range of 0 to 999. You can use the input function for this.'",
        "category": "TP"
    },
    {
        "line_number": "2",
        "feedback": "You need to convert the input to an integer using the int function.'",
        "category": "TP"
    },
    {
        "line_number": "3",
        "feedback": "You need to initialize a variable named result to store the sum of the digits.'",
        "category": "TP"
    },
    {
        "line_number": "4",
        "feedback": "You need to use a while loop to keep extracting and adding the digits of the number until the number becomes 0.'",
        "category": "TP"
    },
    {
        "line_number": "5",
        "feedback": "You can use the modulus operator (%) to extract the last digit of the number.'",
        "category": "TP"
    },
    {
        "line_number": "6",
        "feedback": "You need to add the extracted digit to the result.'",
        "category": "TP"
    },
    {
        "line_number": "7",
        "feedback": "You can use the floor division operator (//) to remove the last digit from the number.'",
        "category": "TP"
    },
    {
        "line_number": "8",
        "feedback": "Finally, you need to print the result.'",
        "category": "TP"
    }
]</t>
  </si>
  <si>
    <t>integer = int(input("Enter an integer range [0,999]: "))
result = integer // 100 + (integer % 100) // 10 + integer % 10
print("The sum of the digits is", result)</t>
  </si>
  <si>
    <t>[
    {
        "line_number": "1",
        "feedback": "You should convert the input to integer instead of string, as we are dealing with numbers here.'",
        "category": "TP"
    },
    {
        "line_number": "2",
        "feedback": "You are trying to access elements of string "str" which is incorrect. You should be using the variable "integer". Also, you need to extract the digits from the number using "%" and "//" operators and then add them.'",
        "category": "TP"
    },
    {
        "line_number": "3",
        "feedback": "The print statement should display a proper message along with the result.'",
        "category": "FP-E"
    }
]</t>
  </si>
  <si>
    <t>result = int(input())
ans = result % 10
result = result // 10
ans += result % 10
result = result // 10
ans += result</t>
  </si>
  <si>
    <t>[
    {
        "line_number": "1",
        "feedback": "You forgot to take the user\'s input. You should assign the input to the variable \'result\' before performing operations on it.'",
        "category": "TP"
    },
    {
        "line_number": "2",
        "feedback": "You should use \'//\' for integer division instead of \'/\'. The \'//\' operator performs floor division which returns the largest possible integer.'",
        "category": "TP"
    },
    {
        "line_number": "4",
        "feedback": "You should use \'//\' for integer division instead of \'/\'. The \'//\' operator performs floor division which returns the largest possible integer.'",
        "category": "TP"
    },
    {
        "line_number": "6",
        "feedback": "You should assign the final sum 'ans' back to 'result' as per the problem statement.",
        "category": "FN"
    }
]</t>
  </si>
  <si>
    <t>""" store the final answer in a variable named result """
integar = int(input("Enter an integar:"))
result = integar%2 == 0
print(result)</t>
  </si>
  <si>
    <t>[
    {
    "line_number": "3",
    "feedback": "The result variable should store whether the number is even or not. So, you should assign the comparison (integar%2 == 0) to the result variable, not just the remainder of the division.'",
        "category": "TP"
    }]</t>
  </si>
  <si>
    <t>[
    {
        "line_number": "1",
        "feedback": "You do not need to reassign the values of x and y. They are already defined in the prefix.'",
        "category": "TP"
    },
    {
        "line_number": "2",
        "feedback": "You do not need to reassign the values of x and y. They are already defined in the prefix.'",
        "category": "TP"
    }
]</t>
  </si>
  <si>
    <t>x, y = y, x
print(x)
print(y)</t>
  </si>
  <si>
    <t>[
    {
    "line_number": "1",
    "feedback": "You were on the right track, but you made a mistake when trying to swap the values of x and y. You don't need to assign new strings to x and y before swapping their values. You can directly swap the values using the syntax "x, y = y, x". This will assign the value of y to x and the value of x to y.'",
        "category": "TP"
    },
    {
    "line_number": "2",
    "feedback": "The print statements are correct. They will print the swapped values of x and y.'",
        "category": "FP-E"
    }
]</t>
  </si>
  <si>
    <t>x, y = y , x</t>
  </si>
  <si>
    <t>[
    {
        "line_number": "1",
        "feedback": "You have correctly used the tuple unpacking feature of Python to swap the values of x and y. However, you are reassigning the values of x and y at the beginning of your code, which is not necessary and is causing your code to fail. The values of x and y are already provided in the prefix. You should remove the first two lines of your code.'",
        "category": "TP"
    },
    {
        "line_number": "3",
        "feedback": "The variables newx and newy are not needed in this case. The swapping of values should be reflected in the original variables x and y. You should remove these lines.'",
        "category": "TP"
    }
]</t>
  </si>
  <si>
    <t>[
    {
    "line_number": "1",
    "feedback": "You were on the right track with using tuple unpacking to swap the values of x and y. However, you multiplied y by 2 in your code, which is not needed. Simply assign x to y and y to x to swap their values.'",
        "category": "TP"
    }]</t>
  </si>
  <si>
    <t>a = 3 * 6 == 6.0 * 3.0
b = 2 &gt; 5 or (1 &lt; 2 and 9 &gt;= 11)
c = 3 &gt; 4 or (2 &lt; 3 and 9 &gt; 10)
d = not (11 % 3 == 2)
e = "2" + "3" == "23"</t>
  </si>
  <si>
    <t>[
    {
        "line_number": "1",
        "feedback": "You need to assign the expressions to the variables. The expressions should be on the right side of the assignment operator (=).'",
        "category": "TP"
    },
    {
        "line_number": "2",
        "feedback": "You need to assign the expressions to the variables. The expressions should be on the right side of the assignment operator (=).'",
        "category": "TP"
    },
    {
        "line_number": "3",
        "feedback": "You need to assign the expressions to the variables. The expressions should be on the right side of the assignment operator (=).'",
        "category": "TP"
    },
    {
        "line_number": "4",
        "feedback": "You need to assign the expressions to the variables. The expressions should be on the right side of the assignment operator (=).'",
        "category": "TP"
    },
    {
        "line_number": "5",
        "feedback": "You need to assign the expressions to the variables. The expressions should be on the right side of the assignment operator (=).'",
        "category": "TP"
    }
]</t>
  </si>
  <si>
    <t>result = ((3 + 4 * x) / 5) - (10 * (y - 5) * (a + b + c) / x) + 9 * ((4 / x) + ((9 + x) / y))</t>
  </si>
  <si>
    <t>[
    {
    "line_number": "1",
    "feedback": "You should use * for multiplication operation in Python. Also, you should use parentheses to correctly specify the order of operations. For example, in the expression 10 * (y - 5) * (a + b + c) / x, parentheses are used to ensure that (y - 5) and (a + b + c) are evaluated first, then multiplied by 10, and finally divided by x.'",
        "category": "TP"
    }]</t>
  </si>
  <si>
    <t>result = (3 + 4 * x) / 5 - (10 * (y - 5) * (a + b + c)) / x + 9 * ((4 / x) + ((9 + x) / y))</t>
  </si>
  <si>
    <t>[
    {
        "line_number": "1",
        "feedback": "You were trying to compute a mathematical expression as a string. In Python, mathematical operations such as addition, subtraction, multiplication, and division can be performed directly on numbers and variables. Also, remember to use * for multiplication in Python.'",
        "category": "TP"
    }
]</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</si>
  <si>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</si>
  <si>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
    {
        "line_number": "2",
        "feedback": "You forgot to put a colon at the end of the if statement. In Python, you need to end the if statement with a colon.'",
        "category": "TP"
    },
    {
        "line_number": "3",
        "feedback": "You used the equality operator (==) instead of the assignment operator (=). You should use the assignment operator when you want to assign a value to a variable.'",
        "category": "TP"
    },
    {
        "line_number": "3",
        "feedback": "You forgot to put quotes around the string. In Python, strings need to be enclosed in quotes.'",
        "category": "TP"
    },
    {
        "line_number": "4",
        "feedback": "You should use "elif" instead of "if" for the subsequent conditions. This is because once a condition is met in an "if-elif" structure, Python will stop checking the rest of the conditions.'",
        "category": "TP"
    }
]</t>
  </si>
  <si>
    <t>[
    {
    "line_number": "3",
    "feedback": "You're on the right track, but you're missing a key part of the problem. You need to compare num1 and num2 to determine which one is smaller. You can do this with an if-else statement. If num1 is less than num2, then result should be num1. Otherwise, result should be num2."",
        "category": "TP"
    }]</t>
  </si>
  <si>
    <t>def smaller(num1, num2):
    #write your code below
    if num1&lt;num2:
        result=num1
    else:
        result=num2
    return result#do not edit. This should be the last line</t>
  </si>
  <si>
    <t>[
    {
        "line_number": "3",
        "feedback": "You forgot to put a colon at the end of the if condition. In Python, the syntax for if condition requires a colon at the end.'",
        "category": "TP"
    },
    {
        "line_number": "5",
        "feedback": "Indentation is very important in Python. The code inside the if and else blocks should be indented.'",
        "category": "TP"
    },
    {
        "line_number": "7",
        "feedback": "Indentation is very important in Python. The code inside the if and else blocks should be indented.'",
        "category": "TP"
    },
    {
    "line_number": "7",
    "feedback": "You need to add a colon (:) at the end of the else statement.",
,
        "category": "FN"
    }
]</t>
  </si>
  <si>
    <t>def leapYear(year):
    #write your code below
    if year % 400 == 0 or (year % 4 == 0 and year % 100 != 0):
        isLeapYear = True
    else:
        isLeapYear = False
    return isLeapYear</t>
  </si>
  <si>
    <t>[
    {
    "line_number": "3",
    "feedback": "You have correctly checked if the year is divisible by 400 to determine if it is a leap year. However, you also need to check if the year is divisible by 4 and not by 100, or if it is divisible by 400. This can be done using the logical operators "and" and "or".'",
        "category": "TP"
    }]</t>
  </si>
  <si>
    <t>def leapYear(year):
    #write your code below
    if year % 4 == 0 and year %100 != 0 or year % 400 == 0:
        isLeapYear=True
    else:
        isLeapYear=False
    return isLeapYear</t>
  </si>
  <si>
    <t>[
    {
        "line_number": "4",
        "feedback": "The variable 'isLeapYear' should be a boolean, not a string. So, instead of assigning 'True' or 'False' as strings, assign them as boolean values without",
        "category": "TP" quotes."
    },
    {
        "line_number": "7",
        "feedback": "The variable 'isLeapYear' should be a boolean, not a string. So, instead of assigning 'True' or 'False' as strings, assign them as boolean values without quotes."",
        "category": "TP"
    },
    {
        "line_number": "10",
        "feedback": "The second 'return isLeapYear' statement is unnecessary and unreachable. It should be removed."",
        "category": "TP"
    }
]</t>
  </si>
  <si>
    <t>def triangle(s1, s2, s3):
    if s1&gt;=s2+s3 or s2&gt;=s3+s1 or s3&gt;=s1+s2:
        triangleType="Not a triangle"
    elif s1==s2==s3:
        triangleType="Equilateral"
    elif s1==s2 or s1==s3 or s2==s3:
        triangleType="Isosceles"
    else:
        triangleType="Scalene"
    return triangleType</t>
  </si>
  <si>
    <t>[
    {
        "line_number": "2",
        "feedback": "The check for "Not a triangle" should be the first condition. If any side is longer or equal to the sum of the other two sides, it's not a triangle, regardless of whether any sides are equal.'",
        "category": "TP"
    },
    {
        "line_number": "3",
        "feedback": "The check for "Equilateral" triangle should be before "Isosceles". If all sides are equal, it's an equilateral triangle, not an isosceles.'",
        "category": "TP"
    }
]</t>
  </si>
  <si>
    <t>def gradientOfLine(x1, y1, x2, y2):
    #add your code below
    gradient = (y2-y1)/(x2-x1)
    if gradient &gt; 0:
        gradientType = "Positive"
    else:
        gradientType = "Negative"
    return gradientType</t>
  </si>
  <si>
    <t>[
    {
        "line_number": "2",
        "feedback": "You need to calculate the gradient of the line using the formula (y2-y1)/(x2-x1).'",
        "category": "TP"
    },
    {
        "line_number": "3",
        "feedback": "You need to check if the gradient is positive or negative and assign the value to gradientType accordingly.'",
        "category": "TP"
    }
]</t>
  </si>
  <si>
    <t>def pointInCircle(x, y):
    if math.sqrt(x**2+y**2)&gt;10:
        return False
    else:
        return True</t>
  </si>
  <si>
    <t>[
    {
        "line_number": "6",
        "feedback": "There seems to be a typo in your code. Instead of "Truedef", it should be "True". Also, the function pointInCircle is defined twice, which is unnecessary. Make sure to remove the second definition.'",
        "category": "TP"
    },
    {
        "line_number": "8",
        "feedback": "The variable "inCircle" is not defined in your function. You should return the result directly from the condition check.'",
        "category": "TP"
    }
]</t>
  </si>
  <si>
    <t>def decimal(b):
    ans = 0
    pos = 0
    while(b&gt;0):
        ans += (b%10)*2**pos
        b //= 10
        pos += 1
    return ans</t>
  </si>
  <si>
    <t>[
    {
        "line_number": "2",
        "feedback": "You forgot to initialize the variable "ans". Always remember to initialize your variables before using them.'",
        "category": "TP"
    },
    {
        "line_number": "3",
        "feedback": "The input is a string, but you are treating it as an integer. You need to convert the string to an integer before performing mathematical operations on it.'",
        "category": "FP-H"
    },
    {
        "line_number": "3",
        "feedback": "The input is in binary format, but you are treating it as a decimal. You need to convert the binary number to a decimal.'",
        "category": "FP-I"
    }
]</t>
  </si>
  <si>
    <t>def decimal(b):
    ans = 0
    for digit in b:
        ans = ans*2 + int(digit)
    return ans</t>
  </si>
  <si>
    <t>[
    {
        "line_number": "2",
        "feedback": "You're not allowed to use the built-in 'int' function to convert the entire binary string to a decimal number. Instead, you need to iterate over each digit in the binary string, multiply the current total by 2 (since binary is base 2), and then add the current digit (which should be 0 or 1)."",
        "category": "TP"
    },
{
        "line_number": "2",
        "feedback": "Convert the integer variable b to string by using 'b=str(b)'",
        "category": "FN"
    }
]</t>
  </si>
  <si>
    <t>def decimal(n):
    ans = 0
    power = 0
    while n &gt; 0:
        ans += (n%10) * (2**power)
        n //= 10
        power += 1
    return ans</t>
  </si>
  <si>
    <t>[
    {
        "line_number": "4",
        "feedback": "You are not correctly converting the binary number to decimal. Remember that each digit in a binary number represents 2 to the power of its position, starting from 0. So you should multiply the digit by 2 raised to the power of its position.'",
        "category": "TP"
    },
    {
        "line_number": "6",
        "feedback": "You should not multiply the answer by 10 after adding the value of the current digit. This is causing your function to return incorrect results.'",
        "category": "TP"
    },
    {
        "line_number": "7",
        "feedback": "You should not print the answer inside the while loop. This is not part of the requirements and can cause confusion when debugging.'",
        "category": "FP-E"
    },
    {
        "line_number": "8",
        "feedback": "You should not divide the answer by 10 after the while loop. This is causing your function to return incorrect results.'",
        "category": "TP"
    }
]</t>
  </si>
  <si>
    <t>def decimal(b):
    b = str(b)
    ans=0
    pos=0
    for digit in reversed(b):
        if digit == '1':
            ans += 2**pos
        pos += 1
    return ans</t>
  </si>
  <si>
    <t>[
    {
        "line_number": "3",
        "feedback": "The input is a binary number, so it should be treated as a string. Convert the input to string first.",
        "category": "FP-H"
    },
    {
        "line_number": "5",
        "feedback": "The initial condition is not necessary and does not contribute to the final result. Remove it.",
        "category": "TP"
    },
    {
        "line_number": "7",
        "feedback": "The while loop is not the correct approach here. Instead, iterate over the reversed binary string.",
        "category": "FP-E"
    },
    {
        "line_number": "9",
        "feedback": "The condition inside the loop is not correct. You should check if the current digit is 1, not if the remaining number is odd.",
        "category": "FP-I"
    },
    {
        "line_number": "10",
        "feedback": "The calculation of the decimal value is incorrect. It should be 2 to the power of the position if the digit is 1.",
        "category": "TP"
    },
    {
        "line_number": "14",
        "feedback": "The else clause is not necessary and does not contribute to the final result. Remove it.",
        "category": "FP-E"
    }
]</t>
  </si>
  <si>
    <t>def decimal(b):
    ans = 0
    b = str(b)
    for i in range(len(b)):
        ans += int(b[i]) * (2 ** (len(b) - 1 - i))
    return ans</t>
  </si>
  <si>
    <t>[
    {
        "line_number": "2",
        "feedback": "The built-in format function is not the correct way to convert a binary number to a decimal. Instead, you should iterate through each digit in the binary number, multiply it by 2 raised to the power of its position (counting from right to left and starting from 0), and add all these values together. This is how binary to decimal conversion works."",
        "category": "TP"
    }
]</t>
  </si>
  <si>
    <t>def fibo(n):
    a, b = 1, 1
    for count in range(2, n):
        a, b = b, a + b
    return b</t>
  </si>
  <si>
    <t>[
    {
        "line_number": "2",
        "feedback": "The Fibonacci sequence is not calculated correctly. The nth term is the sum of the (n-1)th term and the (n-2)th term, not the sum of the current term and its index. You should use two variables to hold the (n-1)th term and the (n-2)th term, and update them in each iteration.'",
        "category": "TP"
    },
    {
        "line_number": "3",
        "feedback": "The range of the loop should start from 2, not 3, because the first two terms of the Fibonacci sequence are predefined as 1.'",
        "category": "TP"
    },
    {
        "line_number": "4",
        "feedback": "The value of "ans" should be the sum of the last two terms in the sequence, not the sum of "ans" and the current index.'",
        "category": "TP"
    }
]</t>
  </si>
  <si>
    <t>def fibo(n):
    count = 1
    a = 1
    b = 1
    while count&lt;n:
        a, b = b, a+b
        count += 1
    return a</t>
  </si>
  <si>
    <t>[
    {
    "line_number": "2",
    "feedback": "The count variable should start from 1 because in Fibonacci sequence, the first and second terms are already defined as 1.'",
        "category": "TP"
    },
    {
    "line_number": "5",
    "feedback": "The loop should run until count is less than n, not less than or equal to n. This is because you have already defined the first two terms of the sequence.'",
        "category": "FP-H"
    },
    {
    "line_number": "8",
    "feedback": "You should return a instead of b. This is because after the last iteration of the loop, you have already moved to the next term in the sequence.'",
        "category": "TP"
    }
]</t>
  </si>
  <si>
    <t>def fibo(n):
    a , b = 1 , 1
    i = 2
    while i &lt; n:
        a,b = b , a + b
        i += 1
    return b</t>
  </si>
  <si>
    <t>[
    {
    "line_number": "3",
    "feedback": "The initialization of i should start from 2, because the first two terms of the Fibonacci sequence are already defined as 1.'",
        "category": "TP"
    },
    {
    "line_number": "7",
    "feedback": "The if-else condition to return a or b based on whether n is even or odd is not necessary. The nth term of the Fibonacci sequence is not dependent on whether n is even or odd. You should always return b which is the nth term after the while loop.'",
        "category": "TP"
    }
]</t>
  </si>
  <si>
    <t>def fibo(n):
    a = 0
    b = 1
    for i in range(1,n+1):
        n = a + b
        a = b
        b = n
    return a</t>
  </si>
  <si>
    <t>[
    {
    "line_number": "3",
    "feedback": "You do not need to assign n to m. You can directly use n in the range function.'",
        "category": "FP-E"
    },
    {
    "line_number": "7",
    "feedback": "You do not need to increment i manually in a for loop. Python does it automatically.'",
        "category": "TP"
    },
    {
    "line_number": "8",
    "feedback": "You should return a instead of n. The variable a holds the nth term of the Fibonacci sequence.'",
        "category": "TP"
    }
]</t>
  </si>
  <si>
    <t>def fibo(n):
    if n == 1 or n == 2:
        return 1
    else:
        return fibo(n-1) + fibo(n-2)</t>
  </si>
  <si>
    <t>[
    {
        "line_number": "4",
        "feedback": "You have correctly implemented the base case for the Fibonacci sequence where the first and second terms are 1. However, you have not implemented the recursive case where the nth term is the sum of the (n-1)th term and the (n-2)th term. You can do this by adding an else clause that returns the sum of the function called on (n-1) and (n-2).'",
        "category": "TP"
    }]</t>
  </si>
  <si>
    <t>def fibo(n): 
    a=1
    b=1
    for x in range (n-1):
        a,b=b,a+b
    return a</t>
  </si>
  <si>
    <t>[
    {
    "line_number": "2",
    "feedback": "The Fibonacci sequence starts with the first two terms as 1. So, you should initialize both a and b as 1, not 0 and 1.'",
        "category": "TP"
    }]</t>
  </si>
  <si>
    <t>def fibo(n):
    a, b = 0, 1
    for _ in range(n):
        a, b = b, a + b
    return a</t>
  </si>
  <si>
    <t>[
    {
        "line_number": "3",
        "feedback": "The formula you're using to calculate the Fibonacci sequence is not accurate for large numbers. It's better to compute the Fibonacci sequence iteratively. You can do this by initializing two variables, a and b, to 0 and 1 respectively. Then, for each number in the range up to n, update a and b to be b and a + b respectively. Finally, return a, which will be the nth term in the Fibonacci sequence."",
        "category": "TP"
    }
]</t>
  </si>
  <si>
    <t>[
    {
    "line_number": "2",
    "feedback": "The base case for the Fibonacci sequence is incorrect. The Fibonacci sequence starts with 1 and 1, not 0 and 1. So, when n is 1 or 2, the function should return 1, not 0 or 1.'",
        "category": "FP-I"
    }]</t>
  </si>
  <si>
    <t>def fibo(n):
    a, b = 1, 1
    for i in range(2, n):
        a, b = b, a + b
    return b</t>
  </si>
  <si>
    <t>[
    {
        "line_number": "2",
        "feedback": "The Fibonacci sequence starts with two 1s. So, you should initialize two variables, say a and b, to 1.'",
        "category": "TP"
    },
    {
        "line_number": "3",
        "feedback": "Your loop should start from 2 because the first two terms of the Fibonacci sequence are already defined. Also, the loop should run until n, not n+1.'",
        "category": "TP"
    },
    {
        "line_number": "4",
        "feedback": "In each iteration, you should update a and b such that a becomes b and b becomes the sum of the old a and b. This is because each term in the Fibonacci sequence is the sum of the previous two terms.'",
        "category": "TP"
    },
    {
        "line_number": "5",
        "feedback": "You should return b, not x, because b is the variable that holds the nth term of the Fibonacci sequence.'",
        "category": "TP"
    }
]</t>
  </si>
  <si>
    <t>def fibo(n):
    a = 0
    b = 1
    if n == 1 or n == 2:
        ans = 1
    else:
        for _ in range(2, n):
            ans = a + b
            a = b
            b = ans
    return ans</t>
  </si>
  <si>
    <t>[
    {
    "line_number": "4",
    "feedback": "The Fibonacci sequence starts with two 1s, so if n is 1 or 2, the answer should be 1.'",
        "category": "TP"
    },
    {
    "line_number": "7",
    "feedback": "You should use a for loop instead of a while loop. The loop should start from 2 because the first two terms are already defined, and it should go up to n (not included), because we want to compute the nth term.'",
        "category": "FP-E"
    }
]</t>
  </si>
  <si>
    <t>def fibo(n):
    a,b = 0,1
    for i in range(n):
        a,b = b,a+b
    return a</t>
  </si>
  <si>
    <t>[
    {
        "line_number": "4",
        "feedback": "You forgot to put a colon at the end of the for loop. In Python, the syntax of the for loop is "for variable in iterable:", so you need to put a colon at the end.'",
        "category": "TP"
    }]</t>
  </si>
  <si>
    <t>def fibo(n):
    if n&lt;=0:
        return "Input should be a positive integer"
    elif n==1:
        return 1
    elif n==2:
        return 1
    else:
        a,b = 1,1
        for i in range(n-2):
            a,b = b,a+b
        return b</t>
  </si>
  <si>
    <t>[
    {
        "line_number": "2",
        "feedback": "The formula you used to calculate the Fibonacci sequence is incorrect. The Fibonacci sequence is defined as the sum of the two preceding ones, starting from 0 and 1. You should use a loop to calculate the nth term.'",
        "category": "TP"
    },
    {
        "line_number": "3",
        "feedback": "The return statement is not necessary here. The function will end and return the result once it has finished executing the loop.'",
        "category": "FP-E"
    },
    {
        "line_number": "4",
        "feedback": "The pass statement is not necessary here. It is used when a statement is required syntactically, but you do not want any command or code to execute.'",
        "category": "FP-E"
    }
]</t>
  </si>
  <si>
    <t>def fibo(n):
    if n &lt;= 0:
        return "Input should be a positive integer"
    elif n == 1:
        return 1
    elif n == 2:
        return 1
    else:
        a, b = 1, 1
        for i in range(2, n):
            a, b = b, a + b
        return b</t>
  </si>
  <si>
    <t>[
    {
        "line_number": "2",
        "feedback": "The function is currently not doing anything. You need to implement the logic to calculate the nth term of the Fibonacci sequence. Remember, the nth term is the sum of the (n-1)th term and the (n-2)th term.'",
        "category": "TP"
    }
]</t>
  </si>
  <si>
    <t>def fibo(n):
    a = 1
    b = 1
    x = 2
    while x&lt;n:
        a, b = a+b, a
        x += 1
    return a</t>
  </si>
  <si>
    <t>[
    {
        "line_number": "2",
        "feedback": "The initial value of a should be 1 as the first term of the Fibonacci sequence is 1.'",
        "category": "FP-H"
    },
    {
        "line_number": "3",
        "feedback": "The initial value of b should be 1 as the second term of the Fibonacci sequence is 1.'",
        "category": "TP"
    },
    {
        "line_number": "4",
        "feedback": "The initial value of x should be 2 as we have already defined the first two terms of the Fibonacci sequence.'",
        "category": "TP"
    }
]</t>
  </si>
  <si>
    <t>def fibo(n):
    a = 1
    red = 1
    blue = 1
    while a &lt; n:
        magenta = red + blue
        red = blue
        blue = magenta
        a += 1
    return red</t>
  </si>
  <si>
    <t>[
    {
        "line_number": "3",
        "feedback": "The initial values of "red" and "blue" should both be 1. The Fibonacci sequence starts with two 1s.'",
        "category": "TP"
    },
    {
        "line_number": "7",
        "feedback": "You do not need to keep track of the sum of all Fibonacci numbers. You only need the last two numbers in the sequence to calculate the next number.'",
        "category": "FP-I"
    },
    {
        "line_number": "10",
        "feedback": "The answer should be the last number generated in the Fibonacci sequence, which is stored in the "red" variable. There is no need to check if it is zero, because it will never be zero in a Fibonacci sequence.'",
        "category": "TP"
    }
]</t>
  </si>
  <si>
    <t>def fibo(n):
    fib = [0, 1, 1] + [0]*(n-2)
    for i in range(3, n+1):
        fib[i] = fib[i-1] + fib[i-2]
    return fib[n]</t>
  </si>
  <si>
    <t>[
    {
    "line_number": "4",
    "feedback": "Your recursive approach is correct for calculating Fibonacci numbers, but it is not efficient for larger numbers as it results in a large number of redundant calculations. Consider using a dynamic programming approach where you store the Fibonacci numbers as you calculate them and reuse them when needed, instead of recalculating them.",
    "category": "TP"
    }]</t>
  </si>
  <si>
    <t>def reverse_number(n):
    num = 0
    while n &gt; 0:
        digit = n % 10
        n //= 10
        num = num * 10 + digit
    return num</t>
  </si>
  <si>
    <t>[
    {
    "line_number": "6",
    "feedback": "You have a small mistake in the calculation of the reversed number. You should first multiply the current reversed number by 10 and then add the digit, not the other way around.",
    "category": "TP"
    }]</t>
  </si>
  <si>
    <t>def reverse_number(n):
    reversed_number = 0
    while n &gt; 0:
        remainder = n % 10
        reversed_number = (reversed_number * 10) + remainder
        n = n // 10
    return reversed_number</t>
  </si>
  <si>
    <t>[
    {
        "line_number": "1",
        "feedback": "The function name and parameters do not match the problem description. The function should be named "reverse_number" and should take a single parameter.",
    "category": "TP"
    },
    {
        "line_number": "2",
        "feedback": "The logic of your code is incorrect. You are trying to count the number of palindrome numbers between two given numbers, while the problem asks to reverse the digits of a given number.",
    "category": "TP"
    },
    {
        "line_number": "3",
        "feedback": "The "while" loop and the "if" condition inside it are not needed for this problem. You need to use a "while" loop to continuously divide the given number by 10 and add the remainder to the reversed number.",
    "category": "TP"
    },
    {
        "line_number": "8",
        "feedback": "The return statement is incorrect. You should return the reversed number, not the original number.",
    "category": "TP"
    }
]</t>
  </si>
  <si>
    <t>def reverse_number(n):
    y = n
    x = 0
    ans = 0
    while y &gt; 0:
        y = y // 10
        x += 1
    while n &gt; 0:
        z = n % 10
        n = n // 10
        x -= 1
        ans += z * (10 ** x)
    return ans</t>
  </si>
  <si>
    <t>[
    {
        "line_number": "2",
        "feedback": "You have defined the variable "y" but you did not update its value inside the loop. Remember to update the value of "y" in each iteration by using the assignment operator "=".",
        "category": "TP"
    },
    {
        "line_number": "6",
        "feedback": "You have defined the variable "ans" but you did not initialize it before using it. Always remember to initialize your variables before using them.",
        "category": "TP"
    },
    {
        "line_number": "9",
        "feedback": "You have defined the variable "n" but you did not update its value inside the loop. Remember to update the value of "n" in each iteration by using the assignment operator "=".",
        "category": "TP"
    },
    {
        "line_number": "11",
        "feedback": "You are decreasing the value of "z" instead of "x". You should decrease the value of "x" in each iteration to correctly calculate the reversed number.",
        "category": "TP"
    }
]</t>
  </si>
  <si>
    <t>def reverse_number(n):
    digits = 0
    ans = 0
    while n//(10**digits) &gt;= 1:
        digits += 1
    while digits &gt;= 1:
        main = n//(10**(digits-1))
        ans = ans + main*(10**(digits-1))
        n = n%(10**(digits-1))
        digits -= 1
    return ans</t>
  </si>
  <si>
    <t>[
    {
        "line_number": "5",
        "feedback": "The condition in the first while loop should be "n//(10**digits) &gt;= 1" instead of "n//(10**digits) &gt; 1". This is because we want to include the case where the result of the division is 1.'",
        "category": "TP"
    },
    {
        "line_number": "9",
        "feedback": "The calculation of "ans" is incorrect. It should be "ans = ans + main*(10**(digits-1))" instead of "ans = ans + main*(10**count)". We want to multiply "main" by 10 raised to the power of "digits-1", not "count".'",
        "category": "TP"
    },
    {
        "line_number": "14",
        "feedback": "The if condition and the code inside it is unnecessary and should be removed. The while loop will handle all the digits of the number, including the last one.'",
        "category": "TP"
    }
]</t>
  </si>
  <si>
    <t>[
    {
        "line_number": "3",
        "feedback": "You should use the variable "n" in the while loop condition and inside the loop, not "num". "num" is not defined in your function, so this will cause a NameError.",
        "category": "TP"
    }
]</t>
  </si>
  <si>
    <t>[
    {
    "line_number": "4",
    "feedback": "You do not need to reverse the number twice. The function reverse_number already gives you the reversed number. So, you just need to compare the original number with its reversed version.",
        "category": "TP"
    }]</t>
  </si>
  <si>
    <t>def palindrome_count(a, b):
    ans = 0
    for i in range(a,b+1):
        forwards = i
        backwards = reverse_number(i)
        if (forwards == backwards):
            ans += 1
    return ans</t>
  </si>
  <si>
    <t>[
    {
        "line_number": "5",
        "feedback": "The if condition to check if the number and its reverse are equal is not properly indented. It should be inside the for loop.",
        "category": "TP"
    }
]</t>
  </si>
  <si>
    <t>def palindrome_count(a, b):
    ans = 0
    for A in range(a, b+1):
        x = str(A) 
        y = str(reverse_number(A))
        if x == y:
            ans += 1
    return ans</t>
  </si>
  <si>
    <t>[
    {
        "line_number": "7",
        "feedback": "You don't need to compare each digit of the number and its reverse individually. You can directly compare the strings. If they are equal, then the number is a palindrome."",
        "category": "TP"
    },
    {
        "line_number": "8",
        "feedback": "The 'else: break' statement is not needed. If the strings are not equal, the loop will automatically move to the next number."",
        "category": "FP-I"
    },
    {
        "line_number": "10",
        "feedback": "The check 'if i == len(x):' is not needed. You can directly increment 'ans' if the number is a palindrome."",
        "category": "FP-I"
    },
    {
        "line_number": "12",
        "feedback": "The 'pass' statement is not needed. It is used when a statement is required syntactically, but you do not want any command or code to execute."",
        "category": "FP-E"
    }
]</t>
  </si>
  <si>
    <t>def palindrome_count(a, b):
    y = 0
    for x in range(a, b + 1): 
        if x == reverse_number(x): 
            y += 1
    return y</t>
  </si>
  <si>
    <t>[
    {
        "line_number": "1",
        "feedback": "Your function definition needs to have parameters. In this case, the base and height of the triangle are required to calculate the area. So, your function definition should be "def area(base, height):".",
        "category": "TP"
    },
    {
        "line_number": "3",
        "feedback": "Your function does not return anything. It should return the area of the triangle, which is calculated by the formula "0.5 * base * height". So, the return statement should be "return 0.5 * base * height".",
        "category": "TP"
    }
]</t>
  </si>
  <si>
    <t>def area(base, height):
    """Returns area of the triangle using the formula area= 1/2 * base * height"""
    return 0.5 * base * height</t>
  </si>
  <si>
    <t>[
    {
        "line_number": "2",
        "feedback": "You need to define the parameters that your function will take. In this case, it should be the lengths of the two sides of the triangle (A and B) and the angle between them (AB).",
        "category": "TP"
    },
    {
        "line_number": "7",
        "feedback": "Your function does not currently do anything. You need to implement the calculation of the area using the formula provided.",
        "category": "TP"
    },
    {
        "line_number": "1",
        "feedback": "You need to import the sin and radians functions from the math module to calculate the sine of the angle.",
        "category": "TP"
    }
]</t>
  </si>
  <si>
    <t>from math import sin, radians
def area2(A, B, AB):
    """
    Returns area of the triangle using 
    the formula area= 1/2 * A * B * sin(AB).
    """
    return 0.5 * A * B * sin(radians(AB))</t>
  </si>
  <si>
    <t>[
    {
        "line_number": "2",
        "feedback": "You need to define the parameters that your function will take. In this case, it should be the lengths of the two sides of the triangle (A and B) and the angle between them (AB).'",
        "category": "TP"
    },
    {
        "line_number": "7",
        "feedback": "Your function does not currently do anything. You need to implement the calculation of the area using the formula provided.'",
        "category": "TP"
    },
    {
        "line_number": "1",
        "feedback": "You need to import the sin and radians functions from the math module to calculate the sine of the angle.'",
        "category": "TP"
    }
]</t>
  </si>
  <si>
    <t>import math
def area3(a,b,c):
    s = (a + b + c) / 2
    area = math.sqrt(s * (s - a) * (s - b) * (s - c))
    return area</t>
  </si>
  <si>
    <t>[
    {
        "line_number": "4",
        "feedback": "You've tried to call a function named 'herons_fomula' which is not defined anywhere. You are supposed to calculate the area using Heron's formula directly in the 'area3' function. The semi-perimeter 's' is calculated as (a+b+c)/2. Then, the area is calculated as sqrt[s*(s - a)*(s - b)*(s - c)].",
        "category": "TP"
    }
]</t>
  </si>
  <si>
    <t>x = 1
ans = 0
for count in range(1337):
    ans += x
    x = x + 1
print(ans)</t>
  </si>
  <si>
    <t>[
    {
    "line_number": "1",
    "feedback": "The initial value of x should be 1, not 0, as the problem statement asks for the sum of the first 1337 natural numbers, and natural numbers start from 1, not 0.",
        "category": "TP"
    }]</t>
  </si>
  <si>
    <t>ans = 0
for x in range(1, 1338): 
    ans += x</t>
  </si>
  <si>
    <t>[
    {
        "line_number": "3",
        "feedback": "You are not using the loop variable correctly. In each iteration, you should add the loop variable to the `ans` variable, not increment the loop variable itself.",
        "category": "TP"
    },
    {
        "line_number": "4",
        "feedback": "You should not assign the value of `x` to `ans` after the loop. The sum of the numbers should be accumulated in `ans` during the loop execution.",
        "category": "TP"
    },
    {
        "line_number": "3",
        "feedback": "The range function in Python is exclusive of the stop value. So, to include 1337 in the sum, you should use `range(1, 1338)`, not `range(1337)`.",
        "category": "TP"
    }
]</t>
  </si>
  <si>
    <t>ans = 0
for v in range(1, 1338):
    ans += v</t>
  </si>
  <si>
    <t>[
    {
        "line_number": "2",
        "feedback": "The initialization of the variable "ans" should be outside the for loop. Otherwise, it will be reset to zero in every iteration of the loop, and you will not get the correct sum.",
        "category": "TP"
    },
    {
        "line_number": "4",
        "feedback": "The print statement is not necessary for the task and it should be removed. The task only requires you to store the sum in the variable "ans".",
        "category": "FP-E"
    }
]</t>
  </si>
  <si>
    <t>def find_mystery():
    z = 1
    while z&lt;=1000:
        if not mystery(z):
            print(z)
            break
        z += 1</t>
  </si>
  <si>
    <t>[
    {
    "line_number": "2",
    "feedback": "The function mystery() is already defined in the prefix. You should define a new function to find the value of Z.'",
        "category": "TP"
    },
    {
    "line_number": "4",
    "feedback": "The variable i is not needed. You should use z in the while loop.'",
        "category": "FP-E"
    },
    {
    "line_number": "5",
    "feedback": "You should check if mystery(z) returns False, not if z equals i.'",
        "category": "TP"
    },
    {
    "line_number": "6",
    "feedback": "You should print z, not false.'",
        "category": "FP-I"
    },
    {
    "line_number": "8",
    "feedback": "You should print nothing when mystery(z) returns True.'",
        "category": "FP-E"
    },
    {
    "line_number": "10",
    "feedback": "You should increment z by 1, not i by i + 1.'",
        "category": "FP-E"
    },
    {
    "line_number": "5",
    "feedback": "You should check if mystery(z) returns False, not if z equals i.",
        "category": "FN"
    },
    {
    "line_number": "6",
    "feedback": "Instead of printing z, you should return z when mystery(z) returns False.",
        "category": "FN"
    }]</t>
  </si>
  <si>
    <t>z = 1
while mystery(z):
    z += 1</t>
  </si>
  <si>
    <t>[
    {
        "line_number": "3",
        "feedback": "The loop condition should be checking the result of the mystery function, not the value of "ans".",
        "category": "TP"
    },
    {
        "line_number": "4",
        "feedback": "The if condition is not needed. We just need to increment z in each iteration.",
        "category": "TP"
    },
    {
        "line_number": "5",
        "feedback": "The increment of "i" is not needed. The variable "i" is not used in the code.",
        "category": "TP"
    },
    {
        "line_number": "7",
        "feedback": "The setting of "ans" to False is not needed. The loop will exit when the mystery function returns False.",
        "category": "TP"
    }
]</t>
  </si>
  <si>
    <t>z = 1
# Your loop here
while z &lt;= 1000: 
    if not mystery(z): 
        break
    else: 
        z += 1
        continue</t>
  </si>
  <si>
    <t>[
    {
        "line_number": "5",
        "feedback": "You are comparing the value of z with the return value of the function mystery(z), which is not correct. You should check the return value of the function mystery(z). If it returns False, break the loop. So, the condition should be "if not mystery(z):".",
        "category": "TP"
    }]</t>
  </si>
  <si>
    <t>def determine():
    z = 1
    while z&lt;=1000:
        if not mystery(z):
            return z
        else:
            z=z+1</t>
  </si>
  <si>
    <t>[
    {
        "line_number": "2",
        "feedback": "The function determine does not need any parameter. Remove z from the function definition.",
        "category": "TP"
    },
    {
        "line_number": "5",
        "feedback": "You need to check if mystery(z) is False, not if z equals mystery(z). Change the if condition to "if not mystery(z):".",
        "category": "TP"
    },
    {
        "line_number": "6",
        "feedback": "You should return the value of z when mystery(z) is False. So, remove the increment operation from this line.",
        "category": "TP"
    }
]</t>
  </si>
  <si>
    <t>print(len(myList))
print(min(myList))
print(max(myList))
print(sum(myList))</t>
  </si>
  <si>
    <t>[
    {
    "line_number": "1",
    "feedback": "You have correctly used the functions to get the length, minimum, maximum and sum of the list. However, you are not storing or printing the results of these functions. Therefore, even though the functions are being called, their results are not being used or displayed anywhere. You can use the print function to display the results.",
        "category": "TP"
    }]</t>
  </si>
  <si>
    <t>import math
r = 5.5  
s = 2 * r * math.sin(math.pi/5)
a = ((3 * math.sqrt(3))/2) * s ** 2
b = format(a, ".2f")
result = b</t>
  </si>
  <si>
    <t>[
    {
        "line_number": "5",
        "feedback": "You forgot to call the sin function. It should be math.sin(math.pi/5) instead of math.sin * (math.pi/5).",
        "category": "TP"
    },
    {
        "line_number": "6",
        "feedback": "The formula to calculate the area of a regular pentagon is incorrect. It should be ((3 * math.sqrt(3))/2) * s ** 2 instead of (3 * 3 ** 0.5) / 2 * s ** 2.",
        "category": "TP"
    }
]</t>
  </si>
  <si>
    <t>import math
n = 5
s = 6.5
result = format((n*s**2)/(4*math.tan(math.pi/n)),".4f")
print(result)</t>
  </si>
  <si>
    <t>[
    {
    "line_number": "2",
    "feedback": "You do not need to take input for the values of n and s. They are already given in the problem statement as 5 and 6.5 respectively.",
        "category": "TP"
    },
    {
    "line_number": "3",
    "feedback": "Same as above, you do not need to take input for the values of n and s. They are already given in the problem statement as 5 and 6.5 respectively.",
        "category": "TP"
    }
]</t>
  </si>
  <si>
    <t>import math
n = 5
s = 6.5
x = (n*s**2)/(4*math.tan(math.pi/n))
result = format(x, ".4f")
print(result)</t>
  </si>
  <si>
    <t>[
    {
        "line_number": "2",
        "feedback": "You should not take inputs for n and s. The problem statement clearly mentions that n is 5 and s is 6.5.",
        "category": "TP"
    },
    {
        "line_number": "3",
        "feedback": "Same as above. You should not take inputs for n and s. The problem statement clearly mentions that n is 5 and s is 6.5.",
        "category": "TP"
    }
]</t>
  </si>
  <si>
    <t>import math
n=5
s=6.5
def area(n,s):#Calculate area of regular polygon
    area=(n*s*s)/(4*math.tan(math.pi/n))
    return area
result=format(area(n, s),".4f")
print(result)</t>
  </si>
  <si>
    <t>[
    {
        "line_number": "2",
        "feedback": "The eval function is not needed here, you can directly assign the values to n and s.",
        "category": "TP"
    },
    {
        "line_number": "3",
        "feedback": "The eval function is not needed here, you can directly assign the values to n and s.",
        "category": "TP"
    },
    {
        "line_number": "4",
        "feedback": "The eval function is not needed here, you can directly assign the values to n and s.",
        "category": "FP-H"
    },
    {
        "line_number": "5",
        "feedback": "The eval function is not needed here, you can directly assign the values to n and s.",
        "category": "FP-H"
    },
    {
        "line_number": "6",
        "feedback": "You need to import the math module to use the tan function and also the pi constant. Replace "pi" with math.pi and "tan" with math.tan.",
        "category": "TP"
    },
    {
        "line_number": "8",
        "feedback": "You need to call the area function with parameters n and s. Replace "area" with "area(n, s)".",
        "category": "TP"
    }
]</t>
  </si>
  <si>
    <t>import random
result = chr(random.randint(65,90))</t>
  </si>
  <si>
    <t>[
    {
    "line_number": "3",
    "feedback": "You were close! You need to use the chr() function to convert a random integer between 65 and 90 to a character, not ch().",
        "category": "TP"
    }]</t>
  </si>
  <si>
    <t>import random
result = chr(random.randint(65, 91))</t>
  </si>
  <si>
    <t>[
    {
        "line_number": "1",
        "feedback": "You don\'t need to import the entire math module, instead you should import the random module which is used to generate random numbers.",
        "category": "TP"
    },
    {
        "line_number": "2",
        "feedback": "The variable result should store a randomly generated uppercase letter, not a number. You can use the random.randint function to generate a random number between 65 and 90 (inclusive), which are the ASCII values for uppercase letters, and then use the chr function to convert these ASCII values to their corresponding characters.",
        "category": "TP"
    }
]</t>
  </si>
  <si>
    <t>import random
x = random.randrange(65,91)
result = chr(x)</t>
  </si>
  <si>
    <t>[
    {
    "line_number": "2",
    "feedback": "The range of ASCII values for uppercase letters is from 65 to 90. So, you should generate a random number between 65 and 91, not between 60 and 65.",
        "category": "TP"
    }]</t>
  </si>
  <si>
    <t>import random
result = chr(random.randrange(97,123))+ chr(random.randrange(97,123))+chr(random.randrange(97,123))+chr(random.randrange(97,123))+chr(random.randrange(97,123))</t>
  </si>
  <si>
    <t>[
    {
    "line_number": "2",
    "feedback": "In the second character generation, you have used a wrong range (25,60). This range does not correspond to lowercase letters in ASCII. You should use the same range as the other characters (97,123) to generate a random lowercase letter.",
        "category": "TP"
    }]</t>
  </si>
  <si>
    <t>import random
result = chr(random.randint(65,90)) + chr(random.randint(65,90)) + str(random.randint(0,9)) + str(random.randint(0,9)) + str(random.randint(0,9)) + chr(random.randint(97,122)) 
print(result)</t>
  </si>
  <si>
    <t>[
    {
    "line_number": "2",
    "feedback": "You have used chr() function with random.randint(0,9) which is incorrect as chr() function is used to convert ASCII values to characters. For generating random numbers, you should use str() function with random.randint(0,9).",
        "category": "TP"
    }]</t>
  </si>
  <si>
    <t>import random
result = ""
N = ""
for count in range(2):
    result += chr(random.randint(65,90))
for count in range(3):
    N = (random.randint(0,9))
    N = str(N)
    result += N
for count in range(1):
    result += chr(random.randint(97,122))</t>
  </si>
  <si>
    <t>[
    {
        "line_number": "10",
        "feedback": "You have a syntax error in this line. The increment operator in python is "+=", not "++". Also, you only need to add one lowercase letter at the end, so the range should be 1, not 2.",
        "category": "TP"
    }
]</t>
  </si>
  <si>
    <t>import random
import string
result = ''.join(random.choice(string.ascii_uppercase) for _ in range(2))
result += ''.join(random.choice(string.digits) for _ in range(3))
result += random.choice(string.ascii_lowercase)</t>
  </si>
  <si>
    <t>[
    {
    "line_number": "1",
    "feedback": "The task requires you to generate a random string, but your code is not doing that. You need to use the random.choice function to select random characters and digits. Also, you need to use the string module to get the uppercase and lowercase letters and digits.",
        "category": "TP"
    }]</t>
  </si>
  <si>
    <t>s = "He said, 'This is nested\\annoying", Steve recalled."
print(s)</t>
  </si>
  <si>
    <t>[
    {
        "line_number":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
    {
        "line_number": "2",
        "feedback": "You have used double quotes to enclose the string, which is correct. But you have not escaped the inner double quotes and single quotes. Use a backslash before the inner quotes to escape them.",
        "category": "TP"
    }
]</t>
  </si>
  <si>
    <t>s = "He said, 'This is nested\\annoying", Steve recalled."</t>
  </si>
  <si>
    <t>[
    {
    "line_number": "1",
    "feedback": "You were close, but you made a small mistake. You don't need to escape the double quotes at the start and end of the string. Also, there should be a space after the comma before "Steve recalled".",
        "category": "TP"
    }]</t>
  </si>
  <si>
    <t>[
    {
        "line_number": "1",
        "feedback": "You were on the right track with using escape characters, but there were a few mistakes. Firstly, you don't need to escape the double quotes at the start and end of the string. Secondly, you had an extra comma at the end of the string. Lastly, you forgot to include 'Steve recalled.' in the string. The correct code is: s = \"He said, 'This is nested\\\\annoying", Steve recalled.\"",
        "category": "TP"
    }
]</t>
  </si>
  <si>
    <t>[
    {
        "line_number": "1",
        "feedback": "You are overcomplicating the problem. You do not need to create multiple strings and then concatenate them. You can define the entire string in one line.'",
        "category": "FP-E"
    },
    {
        "line_number": "1",
        "feedback": "To escape a character in a string, you can use the backslash (\\).",
        "category": "FP-E"
    },
    {
        "line_number": "2",
        "feedback": "This line is not necessary. The strip() function is used to remove leading and trailing characters. In this case, you do not need to remove any characters.",
        "category": "FP-I"
    },
    {
        "line_number": "3",
        "feedback": "This line is not necessary. You can include this part of the string in the final string.",
        "category": "FP-E"
    },
    {
        "line_number": "4",
        "feedback": "This line is not necessary. You can include this part of the string in the final string.",
        "category": "FP-E"
    },
    {
        "line_number": "5",
        "feedback": "This line is not necessary. The lstrip() function is used to remove leading characters. In this case, you do not need to remove any characters.",
        "category": "FP-I"
    },
    {
        "line_number": "6",
        "feedback": "This line is not necessary. You can include this part of the string in the final string.",
        "category": "FP-E"
    },
    {
        "line_number": "7",
        "feedback": "This line is not necessary. The rstrip() function is used to remove trailing characters. In this case, you do not need to remove any characters.",
        "category": "FP-I"
    },
    {
        "line_number": "8",
        "feedback": "This line is not necessary. Instead of concatenating multiple strings, you can define the entire string in one line.",
        "category": "FP-E"
    }
]</t>
  </si>
  <si>
    <t>[
    {
        "line_number": "1",
        "feedback": "You were on the right track with using escape characters, but you need to use them correctly. The backslash (\\) is used to escape special characters like quotes. To include a backslash in a string, you need to escape it with another backslash (\\\\). Also, you don't need to split the string into two parts. You can define the entire string in one line.",
        "category": "FP-I"
    },
    {
        "line_number": "2",
        "feedback": "This line is unnecessary. The entire string can be defined in one line.",
        "category": "FP-E"
    },
    {
        "line_number": "3",
        "feedback": "This line is unnecessary. The entire string can be defined in one line.",
        "category": "FP-E"
    }
]</t>
  </si>
  <si>
    <t>s = "\"He said, 'This is nested\\annoying'\", Steve recalled."
print(s)</t>
  </si>
  <si>
    <t>[
    {
        "line_number": "1",
        "feedback": "You were asked to create a string variable named "s" and then print it. You directly printed the string without assigning it to the variable "s".",
        "category": "TP"
    },
    {
        "line_number": "1",
        "feedback": "You have correctly used the escape characters to handle quotes and backslashes within the string. Good job on that!",
        "category": "FP-E"
    }
]</t>
  </si>
  <si>
    <t>[
    {
        "line_number": "1",
        "feedback": "You're on the right track with using escape characters to handle quotes and backslashes. However, you missed to include ", Steve recalled.' in your string. Remember, the entire sentence including ", Steve recalled.' should be part of the string.",
        "category": "TP"
    }
]</t>
  </si>
  <si>
    <t>s = "He said, 'This is nested\\annoying", Steve recalled"</t>
  </si>
  <si>
    <t>[
    {
        "line_number": "1",
        "feedback": "The escape character '\\' is not needed before the comma. Also, the backslash in 'nested\\annoying' should be escaped only once, not twice.",
        "category": "FP-I"
    }
]</t>
  </si>
  <si>
    <t>[
    {
    "line_number": "1",
    "feedback": "You almost got it right. The only mistake was with the backslash. In Python, if you want to print a single backslash, you need to use two backslashes (\\\\). So, the correct code would be: s = "He said, \'This is nested\\\\annoying\", Steve recalled."",
        "category": "FP-I"
    }]</t>
  </si>
  <si>
    <t>s = "" 
for i in range(1000):
    s += "a"    
for i in range(1000):
    s += "b"</t>
  </si>
  <si>
    <t>[
    {
        "line_number": "5",
        "feedback": "You were supposed to add "b" in the second loop, but you added "a" instead. So, the string was not being formed as expected. I have corrected it for you.",
        "category": "TP"
    }]</t>
  </si>
  <si>
    <t>[
    {
    "line_number": "1",
    "feedback": "There is a syntax error in your code. You have an extra "a" at the end of your line. The correct code should be: s = "a"*1000+"b"*1000.",
        "category": "TP"
    }]</t>
  </si>
  <si>
    <t>s = "" # Your answer here
x = str("a"*1000)
y = str("b"*1000)
s = x + y</t>
  </si>
  <si>
    <t>[
    {
    "line_number": "4",
    "feedback": "You should not use quotes around variable names when you want to concatenate their values. Instead of "x,y", use x + y.",
        "category": "TP"
    }]</t>
  </si>
  <si>
    <t>[
    {
    "line_number": "1",
    "feedback": "You were close, but your current code is creating a string with alternating "a" and "b" characters. To create a string with 1000 "a" characters followed by 1000 "b" characters, you should use the "+" operator to concatenate two strings: one with 1000 "a" characters and the other with 1000 "b" characters.",
        "category": "TP"
    }]</t>
  </si>
  <si>
    <t>[
    {
        "line_number": "3",
        "feedback": "The logic to add a space to the message when its length is even is incorrect. You should add a space when the remaining space after adding the message is even, not when the length of the message is even.'
    },
    {
        "line_number": "4",
        "feedback": "You should not add 'l' to the message before the loop. It should be added after the loop, to ensure that the 'lololol...' part always ends with an 'l'."
    },
    {
        "line_number": "5",
        "feedback": "The loop condition is incorrect. You should iterate until the remaining space after adding the message and 'l' is filled, not half of it."
    }
]</t>
  </si>
  <si>
    <t>def pad(message):
    x = 140 - len(message)
    space = x%2
    lol = x//2
    tweet = message + space*' ' + 'lo' * lol + 'l'
    return tweet</t>
  </si>
  <si>
    <t>[
    {
        "line_number": "5",
        "feedback": "The 'l' should be added at the end of the 'lol' sequence, not at the beginning. So, you should add 'l' after 'lo' * lol."
    }
]</t>
  </si>
  <si>
    <t>def pad(message):
    # Your code here
    a = len(message)
    b = message[ : a]
    c = 140 - a
    if c % 2 == 0:
        b += " "
        c -= 1
    for d in range( c // 2):
        b += "lo"
    if c % 2 != 0:
        b += "l"
    tweet = b
    return tweet</t>
  </si>
  <si>
    <t>[
    {
    "line_number": "10",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
    }]</t>
  </si>
  <si>
    <t>def pad(message):
    r = 140 - len(message)
    if r % 2 == 0:
        message += " "
    count = r // 2
    lo = "lo" * count
    if r % 2 != 0:
        lo += "l"
    message += lo
    return message</t>
  </si>
  <si>
    <t>[
    {
        "line_number": "5",
        "feedback": "You are reducing the remaining characters by 1 unnecessarily when the remaining characters are even. This is not required as per the problem statement.",
        "category": "TP"
    },
    {
        "line_number": "8",
        "feedback": "You are always adding an extra "l" at the end of the message. This should only be done when the remaining characters are odd.",
        "category": "TP"
    }
]</t>
  </si>
  <si>
    <t>def pad(message):
    x=message
    if (len(message))%2 !=0 and (140-len(message))//2&gt;0:
        message+=' '
    y=(140-len(message))//2
    message+=y*'lo'
    if (140-len(message))%2&gt;0:
        message+='l'
    return message</t>
  </si>
  <si>
    <t>[
    {
    "line_number": "3",
    "feedback": "In your condition, you are subtracting 1 from the length of the message which is not required. Also, you should check if half of the remaining space is greater than 0, not if it is equal to 0. So, you should change your condition to (len(message))%2 !=0 and (140-len(message))//2&gt;0.",
        "category": "TP"
    },
    {
    "line_number": "5",
    "feedback": "You are subtracting 1 from 140 while calculating the number of 'lo' to be added. You should subtract the length of the message from 140 without subtracting 1. So, change your code to y=(140-len(message))//2.",
        "category": "TP"
    },
    {
    "line_number": "7",
    "feedback": "Again, you are subtracting 1 from 140 while checking if an 'l' should be added at the end. You should subtract the length of the message from 140 without subtracting 1. So, change your code to if (140-len(message))%2&gt;0.",
        "category": "TP"
    }
]</t>
  </si>
  <si>
    <t>def pad(message):
    x=message
    if len(x)%2==1:
        while len(x)&lt;140:
            if len(x)==139:
                x=x+'l'
            else:
                x=x+'o'
                x=x+'l'
    elif len(x)%2==0 and len(x)!=140:
        x=x+' '
        while len(x)&lt;140:
            if len(x)==139:
                x=x+'l'
            else:
                x=x+'o'
                x=x+'l'
    return x</t>
  </si>
  <si>
    <t>[
    {
        "line_number": "5",
        "feedback": "You are adding 'l' and 'o' in the wrong order. It should be 'o' followed by 'l' to form 'lol'.",
        "category": "FP-H"
    },
    {
        "line_number": "10",
        "feedback": "You are checking if x is not equal to 140, but x is a string. You should check if the length of x is not equal to 140.",
        "category": "TP"
    },
    {
        "line_number": "12",
        "feedback": "Similar to the first feedback, you are adding 'l' and 'o' in the wrong order. It should be 'o' followed by 'l' to form 'lol'.",
        "category": "FP-H"
    }
]</t>
  </si>
  <si>
    <t>def pig_latin(word):
    # Your code here
    first = word[0]
    remain = word[1:]
    ans = remain + first + "ay"
    return ans</t>
  </si>
  <si>
    <t>[
    {
        "line_number": "3",
        "feedback": "You are supposed to move the first letter to the end, not the last letter to the beginning. So, you should get the first letter of the word, not the last.",
        "category": "TP"
    },
    {
        "line_number": "4",
        "feedback": "You should get the remaining part of the word after removing the first letter, not the last. So, you should slice the word from the 1st index till the end, not till the last index.",
        "category": "TP"
    }
]</t>
  </si>
  <si>
    <t>def pig_latin(word):
    hi = word[1:] + word[0]
    add = "ay"
    ans = hi + add
    return ans</t>
  </si>
  <si>
    <t>[
    {
        "line_number": "2",
        "feedback": "You are supposed to move the first letter to the end, not reverse the entire word. You can achieve this by using slicing. word[1:] gives you the word without the first letter and word[0] gives you the first letter. So, word[1:] + word[0] will give you the word with the first letter moved to the end.",
        "category": "TP"
    }]</t>
  </si>
  <si>
    <t>def pig_latin(word):
    pyg = 'ay'
    first = word[0]
    ans = word[1:] + first + pyg
    return ans</t>
  </si>
  <si>
    <t>[
    {
        "line_number": "4",
        "feedback": "You're on the right track with creating the pig latin word, but you're adding the first letter and 'ay' to the original word instead of the word without the first letter. Also, you're trying to slice 'ans' using 'new_word' which is not defined anywhere in your code. Instead, you should slice the original word from the second character to the end, then add the first character and 'ay'.",
        "category": "TP"
    }
]</t>
  </si>
  <si>
    <t>def pig_latin(word):
    a = word[0]
    word = word[1:]
    ans = word + a + "ay"
    return ans</t>
  </si>
  <si>
    <t>[
    {
    "line_number": "3",
    "feedback": "You are slicing the word incorrectly. You should keep all the characters after the first one, not until the second last. So, it should be word[1:] instead of word[1:-1].",
        "category": "TP"
    }]</t>
  </si>
  <si>
    <t>def pig_latin(word):
    change = word[1:len(word)]
    add = "ay"
    ans = change+word[0]+add
    return ans</t>
  </si>
  <si>
    <t>[
    {
        "line_number": "2",
        "feedback": "In Python, to slice a string, you should use the colon ":" instead of the comma ",". So, it should be word[1:len(word)] instead of word[1, len(word)].",
        "category": "TP"
    }
]</t>
  </si>
  <si>
    <t>def pig_latin_sentence(sentence):
    words = sentence.split()
    res = ''
    for word in words:
        res += word[1:] + word[0] + 'ay' + ' '
    return res.strip()</t>
  </si>
  <si>
    <t>[
    {
    "line_number": "4",
    "feedback": "You do not need to calculate the length of the sentence. You can directly iterate over the words in the sentence.'
    },
    {
    "line_number": "6",
    "feedback": "The inner loop is unnecessary. You can directly use string slicing to achieve the desired result.'
    },
    {
    "line_number": "14",
    "feedback": "The logic for the last word in the sentence is the same as for the other words. You do not need to handle it separately.'
    },
    {
    "line_number": "18",
    "feedback": "Remember to remove the trailing space at the end of the sentence.'
    }
]</t>
  </si>
  <si>
    <t>def pig_latin(word):
    return word[1:] + word[0] + 'ay'</t>
  </si>
  <si>
    <t>[
    {
        "line_number": "2",
        "feedback": "There is no need to convert the word to a list. You can directly use string slicing to get the desired output.",
        "category": "TP"
    },
    {
        "line_number": "3",
        "feedback": "The append method is not applicable to strings. Also, you are not storing the result back into the variable.",
        "category": "TP"
    },
    {
        "line_number": "4",
        "feedback": "Converting the list back to a string using str() will not give the desired output. It will include unwanted characters like brackets and commas. Instead, you can directly use string slicing and concatenation to get the desired output.",
        "category": "TP"
    }
]</t>
  </si>
  <si>
    <t>def pig_latin(word):
    word = word[1:] + word[0] + "ay"
    return word</t>
  </si>
  <si>
    <t>[
    {
        "line_number": "2",
        "feedback": "In Python, strings are immutable, which means you cannot change an existing string. The best you can do is create a new string that is a variation on the original.",
        "category": "TP"
    },
    {
        "line_number": "3",
        "feedback": "You do not need to assign word[1:] to word again. You can do this operation while concatenating the first character and "ay" to the word.",
        "category": "TP"
    }
]</t>
  </si>
  <si>
    <t>def pig_latin(word):
    x = word[0]
    word = word[1:]
    ans = word + x + "ay"
    return ans</t>
  </si>
  <si>
    <t>[
    {
    "line_number": "3",
    "feedback": "In Python, strings are immutable, which means you cannot change an existing string. The remove and append methods do not work with strings. Instead, you can use slicing to achieve the desired result.",
        "category": "TP"
    },
    {
    "line_number": "4",
    "feedback": "The append method does not work with strings. Instead, you can use the + operator to concatenate strings.",
        "category": "TP"
    },
    {
    "line_number": "5",
    "feedback": "You need to add the first letter and "ay" to the end of the word. You can use the + operator to concatenate these strings.",
        "category": "TP"
    }
]</t>
  </si>
  <si>
    <t>def swap(s):
    return s.swapcase()</t>
  </si>
  <si>
    <t>[
    {
        "line_number": "2",
        "feedback": "You need to call the swapcase() function on the string s. The correct syntax is s.swapcase(). Also, there is no need to declare the variable res as it is not being used.",
        "category": "TP"
    }
]</t>
  </si>
  <si>
    <t>[
    {
    "line_number": "2",
    "feedback": "You have used a non-existent method "caseswap()". The correct method to use is "swapcase()". This method returns a string where all the upper case letters are lower case and vice versa.",
        "category": "TP"
    }]</t>
  </si>
  <si>
    <t>[
    {
        "line_number": "2",
        "feedback": "There is no need to create a new function for swapping the case of characters in a string. Python provides a built-in method called swapcase() for strings that does exactly this.",
        "category": "TP"
    }
]</t>
  </si>
  <si>
    <t>[
    {
    "line_number": "2",
    "feedback": "You were close, but the function name is 'swapcase", not 'swapcase(s)'. You need to call this function on the string 's'. So, the correct usage is 's.swapcase()'.",
        "category": "TP"
    }]</t>
  </si>
  <si>
    <t>[
    {
        "line_number": "2",
        "feedback": "You were trying to use a non-existent function "swapcase(s)". The correct way to use it is "s.swapcase()". This is because swapcase is a built-in method in Python for string objects.",
        "category": "TP"
    }
]</t>
  </si>
  <si>
    <t>def pig_latin_sentence(sentence):
    wordlist = sentence.split()
    res = ""
    for i in wordlist:
        res += pig_latin(i) + " "
    return res.rstrip()
print(pig_latin_sentence("code to run"))</t>
  </si>
  <si>
    <t>[
    {
    "line_number": "8",
    "feedback": "The method to remove trailing spaces in Python is rstrip(), not trim(). So, replace res.trim() with res.rstrip().",
        "category": "TP"
    }]</t>
  </si>
  <si>
    <t>def pig_latin_sentence(sentence):
    words=sentence.split()
    res = ""
    for word in words:
        res += pig_latin(word) + " "
    return res.strip()</t>
  </si>
  <si>
    <t>[
    {
        "line_number": "2",
        "feedback": "You need to split the sentence into words and then apply the pig_latin function to each word. You can do this by using a for loop.",
        "category": "TP"
    },
    {
        "line_number": "3",
        "feedback": "The variable "first" is not needed in this context. You should remove it.",
        "category": "FP-E"
    },
    {
        "line_number": "4",
        "feedback": "The variable "the_rest" is not needed in this context. You should remove it.",
        "category": "FP-E"
    },
    {
        "line_number": "5",
        "feedback": "The variable "add" is not needed in this context. You should remove it.",
        "category": "FP-E"
    },
    {
        "line_number": "6",
        "feedback": "Your approach to concatenate the words is incorrect. You should concatenate the result of applying the pig_latin function to each word and a space character.",
        "category": "TP"
    },
    {
        "line_number": "8",
        "feedback": "You should remove the trailing space at the end of the result string. You can do this by using the strip() function.",
        "category": "TP"
    }
]</t>
  </si>
  <si>
    <t>def pig_latin_sentence(sentence):
    res = ""
    for word in sentence.split():
        res += pig_latin(word) + " "
    return res.strip()</t>
  </si>
  <si>
    <t>[
    {
        "line_number": "3",
        "feedback": "The shiftRight function is not needed for this task. Instead, you should iterate over each word in the sentence and convert it to pig latin using the provided pig_latin function.",
        "category": "TP"
    },
    {
        "line_number": "4",
        "feedback": "The pig latin conversion of the sentence should not have "ay" appended at the end. Instead, each word in the sentence should be converted to pig latin individually.",
        "category": "TP"
    },
    {
        "line_number": "5",
        "feedback": "You should remove the trailing space at the end of the sentence. This can be done using the strip() function.",
        "category": "TP"
    }
]</t>
  </si>
  <si>
    <t>def pig_latin_sentence(sentence):
    words = sentence.split()
    a = ""
    for i in words:
        a += ' '+ pig_latin(i)
    res = a[1:]
    return res</t>
  </si>
  <si>
    <t>[
    {
        "line_number": "5",
        "feedback": "You should append the result of pig_latin(i) to the string "a" instead of "b". "b" is not defined and it is not accumulating the pig latin words.",
        "category": "TP"
    }
]</t>
  </si>
  <si>
    <t>def pig_latin_sentence(sentence):
    a = sentence.split(" ")
    res = ""
    for i in range(len(a)):
        res += str(pig_latin(a[i])) + " "
    res = res[:-1]
    return res</t>
  </si>
  <si>
    <t>[
    {
        "line_number": "5",
        "feedback": "You are iterating over the words in the sentence in reverse order. However, the pig latin conversion should maintain the original order of the words. So, you should iterate from 0 to len(a) in your for loop.",
        "category": "TP"
    },
    {
        "line_number": "6",
        "feedback": "In the pig_latin function call, you should pass the current word a[i] instead of a[i - 1]. The index i already points to the current word in the iteration.",
        "category": "TP"
    }
]</t>
  </si>
  <si>
    <t>def pig_latin_sentence(sentence):
    ayy = sentence.split()
    for i in range(len(ayy)):
        ayy[i] = ayy[i][1:len(ayy[i])] + ayy[i][0] + 'ay'
    res = " ".join(ayy)
    return res</t>
  </si>
  <si>
    <t>[
    {
    "line_number": "4",
    "feedback": "You should use range(len(ayy)) in the for loop to get the index of each word. Then you can use this index to replace the word in the list ayy with its pig latin version.",
        "category": "TP"
    }]</t>
  </si>
  <si>
    <t>def at_least_n(lst, n):
    mylen = len(lst)
    new = []
    for i in range(0, mylen):
        lstn = lst[i]
        if lstn &gt;= n:
            new.append(lstn)
    return new</t>
  </si>
  <si>
    <t>[
    {
        "line_number": "5",
        "feedback": "The comparison operator for 'greater than or equal to' is '&gt;=' not '=&gt;'. Please correct this.",
        "category": "TP"
    }
]</t>
  </si>
  <si>
    <t>def at_least_n(lst, n):
    return [i for i in lst if i &gt;= n]</t>
  </si>
  <si>
    <t>[
    {
        "line_number": "2",
        "feedback": "The logic you used to find the index of 10 and remove elements is incorrect. The task requires you to remove all numbers less than n, not just those before the number 10.",
        "category": "TP"
    },
    {
        "line_number": "3",
        "feedback": "You don't need to create a lower_lst. Instead, you should iterate over the original list and check each number.",
        "category": "TP"
    },
    {
        "line_number": "4",
        "feedback": "The for loop and the remove operation are unnecessary. You can use list comprehension to create a new list that only includes numbers greater than or equal to n.",
        "category": "FP-E"
    }
]</t>
  </si>
  <si>
    <t>[
    {
        "line_number": "2",
        "feedback": "The sorted() function doesn't modify the list in-place, it returns a new sorted list. However, sorting isn't necessary for this problem. You can use a list comprehension to create a new list with the desired elements.",
        "category": "TP"
    },
    {
        "line_number": "3",
        "feedback": "The while loop is not the correct approach here. It can lead to an 'index out of range' error if all elements are less than 'n'. Also, 'n+1' should be 'n' as we want to include numbers that are equal to 'n' as well.",
        "category": "TP"
    },
    {
        "line_number": "4",
        "feedback": "The pop() function is not needed here. Instead, you can use a list comprehension to create a new list with the desired elements.",
        "category": "FP-E"
    },
    {
        "line_number": "5",
        "feedback": "The 'pass' statement is not needed here. It is used when a statement is required syntactically but you do not want any command or code to execute.",
        "category": "TP"
    }
]</t>
  </si>
  <si>
    <t>def binary_to_decimal(lst):
    newnum = 0
    lne = len(lst)
    itlne = lne
    ind = 0
    while itlne &gt; 0:
        newnum = newnum * 2
        newnum += lst[ind]
        ind += 1
        itlne -= 1
    return newnum</t>
  </si>
  <si>
    <t>[
    {
        "line_number": "6",
        "feedback": "You should multiply by 2, not 10, as we are dealing with binary numbers.",
        "category": "TP"
    },
    {
        "line_number": "8",
        "feedback": "You forgot to increment the index to move to the next element in the list.",
        "category": "TP"
    },
    {
        "line_number": "10",
        "feedback": "You need to return the result from your function.",
        "category": "TP"
    },
    {
        "line_number": "11",
        "feedback": "The last while loop is not needed and incomplete, you can remove it.",
        "category": "TP"
    }
]</t>
  </si>
  <si>
    <t>[
    {
    "line_number": "2",
    "feedback": "You forgot to return the result. Always remember to return the result from a function if the function is expected to give a result.",
        "category": "TP"
    }]</t>
  </si>
  <si>
    <t>def insert(string,substring,i):
    if i == 0:
        ans = substring+ string
    else:
        ans = string[:i] + substring+ string[i:]
    return ans</t>
  </si>
  <si>
    <t>[
    {
        "line_number": "5",
        "feedback": "You need to return the result from your function. Without a return statement, your function will not output anything.",
        "category": "TP"
    },
    {
        "line_number": "4",
        "feedback": "You should slice the string up to the index "i" not "i+1". This is because slicing in Python is exclusive of the end index.",
        "category": "TP"
    }
]</t>
  </si>
  <si>
    <t>def insert(string,substring,i):
    meow = list(string)
    meow.insert(i,substring)
    return ''.join(meow)</t>
  </si>
  <si>
    <t>[
    {
        "line_number": "4",
        "feedback": "You are trying to join the list into a string but you are not assigning it to any variable. So, the join operation has no effect. You should assign the result of the join operation to the variable "meow" and then return "meow".",
        "category": "TP"
    },
    {
        "line_number": "5",
        "feedback": "You are returning the list "meow" instead of a string. After joining the list into a string, you should return the string.",
        "category": "TP"
    }
]</t>
  </si>
  <si>
    <t>def insert(string,substring,i):
    string_1 = string[ :i]
    string_2 = string[i: ]
    ans = string_1 + str(substring) + str(string_2)
    return ans</t>
  </si>
  <si>
    <t>[
    {
        "line_number": "2",
        "feedback": "You do not need to modify the index "i". It is already given in the problem statement that "i" will always be between 0 and the length of the string (inclusive). So, you can directly use it to slice the string.",
        "category": "TP"
    }
]</t>
  </si>
  <si>
    <t>def remove_bars(string):
    ans=string.replace('|", '')
    return ans</t>
  </si>
  <si>
    <t>[
    {
    "line_number": "2",
    "feedback": "Your approach to remove the vertical bars by skipping every other character will not work if there are consecutive characters without a bar in between. Instead, you should use the replace() method of the string, which replaces all occurrences of a substring. In this case, you should replace all vertical bars with an empty string.",
        "category": "TP"
    }]</t>
  </si>
  <si>
    <t>def remove_bars(x):
    return x.replace("|","")</t>
  </si>
  <si>
    <t>[
    {
    "line_number": "1",
    "feedback": "Ensure that the function name matches with the one provided in the problem statement. In this case, the function name should be "remove_bars" instead of "remove_bar".",
        "category": "TP"
    }]</t>
  </si>
  <si>
    <t>def palindromeNumber(number):
    if number &lt;0 or number&gt;999:
        result = False
    elif number &gt; 99 and (number //100 == number%10):
        result = True
    elif number &gt; 9 and (number //10 == number%10):
        result = True
    elif number&gt;=0 and number&lt;10:
        result = True
    else:
        result = False
    return result</t>
  </si>
  <si>
    <t>[
    {
        "line_number": "4",
        "feedback": "The condition to check if a three-digit number is a palindrome is not correct. You should check if the first digit is equal to the last digit, not the last two digits.",
        "category": "FP-I"
    },
    {
        "line_number": "5",
        "feedback": "The condition to check if a two-digit number is a palindrome is not correct. You should check if the first digit is equal to the last digit, not the last two digits.",
        "category": "FP-H"
    },
    {
        "line_number": "6",
        "feedback": "The condition to check if a number between 0 and 9 is a palindrome is not correct. You should check if the number is between 0 and 9 inclusive, not less than 0 or greater than 10.",
        "category": "FP-H"
    },
 {
        "line_number": "4",
        "feedback": "The condition to check if a three-digit number is a palindrome is not correct. You should first check if it is a three-digit number, followed by checking if the first digit is equal to the last digit",
        "category": "FN"
    },
    {
        "line_number": "5",
        "feedback": "The condition to check if a two-digit number is a palindrome is missing. You should include this, along with a check for if the first digit is equal to the last digit.",
        "category": "FN"
    },
    {
        "line_number": "6",
        "feedback": "The condition to check if a number between 0 and 9 is a palindrome is not correct, and has a syntax error. Replace '&lt;10' with 'number&lt;10'.",
        "category": "FN"
    }
]</t>
  </si>
  <si>
    <t>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t>
  </si>
  <si>
    <t>[
    {
    "line_number": "2",
    "feedback": "Your condition for checking if the number is less than 10 is correct, but you need to also check if the number is greater than 999.",
        "category": "TP"
    },
    {
    "line_number": "5",
    "feedback": "Your condition for checking if the number is between 10 and 100 is incorrect. You should not check if the number is divisible by 11 to determine if it is a palindrome.",
        "category": "TP"
    },
    {
    "line_number": "9",
    "feedback": "Your condition for checking if the number is greater than 100 is incorrect. You should not check if the first digit is equal to the last digit to determine if it is a palindrome.",
        "category": "FP-I"
    },
    {
    "line_number": "13",
    "feedback": "You should return the result directly instead of assigning it to a variable first.",
        "category": "FP-E"
    }
]</t>
  </si>
  <si>
    <t>def palindromeNumber(number):
    if number &lt; 0 or number &gt; 999:
        return False
    elif number &gt; 99:
        reversedNumber = (number % 10) * 100 + (number // 10 % 10) * 10 + (number // 100)
    elif number &gt; 9:
        reversedNumber = (number % 10) * 10 + (number // 10) 
    else:
        return True
    if number == reversedNumber:
        return True
    else:
        return False</t>
  </si>
  <si>
    <t>[
    {
        "line_number": "1",
        "feedback": "The function should only take one argument, the number to be checked. You should not be passing x,y,z as arguments.",
        "category": "TP"
    },
    {
        "line_number": "2",
        "feedback": "The variable s is not necessary. You should convert the number to a string if you want to check if it is a palindrome.",
        "category": "TP"
    },
    {
        "line_number": "3",
        "feedback": "The if condition is not correct. You should be comparing the number with its reverse to check if it is a palindrome.",
        "category": "TP"
    },
    {
        "line_number": "4",
        "feedback": "You should return a boolean value, not a string. Replace "True" with True.",
        "category": "TP"
    },
    {
        "line_number": "6",
        "feedback": "You should return a boolean value, not a string. Replace "False" with False.",
        "category": "TP"
    }
]</t>
  </si>
  <si>
    <t>def palindromeNumber(number):
    if number &lt; 0 or number &gt; 999:
        result = False
    elif number // 10 == 0:
        result = True
    elif number &lt; 100:
        result = number % 10 == number // 10
    elif number &lt; 1000:
        result = number % 10 == number // 100
    else:
        result = False
    return result</t>
  </si>
  <si>
    <t>[
    {
        "line_number": "3",
        "feedback": "You should check if the number is greater than 999 in the same line where you are checking if it is less than 0. This can be done using the or operator.",
        "category": "TP"
    },
    {
        "line_number": "6",
        "feedback": "Your logic for checking if a two-digit number is a palindrome is incorrect. A two-digit number is a palindrome if its first digit is equal to its last digit. You can get the first digit by doing integer division by 10 and the last digit by taking the modulus 10.",
        "category": "FP-E"
    },
    {
        "line_number": "8",
        "feedback": "Your logic for checking if a three-digit number is a palindrome is incorrect. A three-digit number is a palindrome if its first digit is equal to its last digit. You can get the first digit by doing integer division by 100 and the last digit by taking the modulus 10.",
        "category": "FP-E"
    },
    {
        "line_number": "10",
        "feedback": "You should return False if the number is not a two-digit or three-digit number. This is because the problem statement specifies that the number must be between 0 and 999, inclusive.",
        "category": "TP"
    }
]</t>
  </si>
  <si>
    <t>[
    {
        "line_number": "1",
        "feedback": "The logic of your program is a bit convoluted and unnecessarily complex. You are trying to manually reverse the digits of the number, which is not required. You can simply reverse the number using the modulus and floor division operations, and then compare the reversed number with the original number.",
        "category": "TP"
    },
    {
        "line_number": "14",
        "feedback": "You are checking if the number is less than 0.1, which is not required. You should check if the number is less than 10, because if it is, then it is a palindrome.",
        "category": "TP"
    },
    {
        "line_number": "16",
        "feedback": "Your conditions to check if the number is a palindrome are incorrect. You should simply compare the reversed number with the original number to check if it is a palindrome.",
        "category": "FP-E"
    },
    {
        "line_number": "22",
        "feedback": "You are returning the result at the end of the function, which is correct. However, your logic to determine the result is incorrect. You should simply compare the reversed number with the original number to check if it is a palindrome.",
        "category": "FP-E"
    }
]</t>
  </si>
  <si>
    <t>def palindromeNumber(number):
    if number &lt; 0 or number &gt; 999:
        return False
    elif number &lt; 10 :
        result = True
    elif 10 &lt;= number &lt; 100 :
        digit_one = number % 10
        digit_two = number // 10
        if digit_one == digit_two :
            result = True
        else :
            result = False          
    else :    
        digit_one = number % 10
        digit_two = ((number // 10) % 10)
        digit_three = number // 100
        if digit_one == digit_three :
            result = True
        else : 
            result = False
    return result</t>
  </si>
  <si>
    <t>[
    {
    "line_number": "2",
    "feedback": "The initial condition only checks for numbers less than 10. However, the problem statement specifies that the number should be between 0 and 999. So, you should add a condition to check if the number is greater than 999 or less than 0, and return False in that case.",
        "category": "TP"
    },
    {
    "line_number": "6",
    "feedback": "You are trying to find the second digit by subtracting the first digit from the number and then taking modulo 100. This is incorrect. You should simply do integer division by 10 to get the second digit.",
        "category": "FP-E"
    },
    {
    "line_number": "12",
    "feedback": "You are trying to find the second and third digits in a similar incorrect way as before. You should use integer division by 10 to get the second digit and by 100 to get the third digit.",
        "category": "FP-E"
    }
]</t>
  </si>
  <si>
    <t>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t>
  </si>
  <si>
    <t>[
    {
    "line_number": "3",
    "feedback": "In Python, the modulus operator is %, not mod. Replace "mod" with "%" to get the remainder.",
        "category": "TP"
    },
    {
    "line_number": "6",
    "feedback": "The condition 0&lt;number&lt;9 will always return False for a palindrome number because a single digit number is always a palindrome. You should return True if the number is less than 10.",
        "category": "FP-I"
    },
    {
    "line_number": "8",
    "feedback": "The condition (10&lt;=number&lt;=99) and (number mod 11 == 0) is not a correct way to check if a two-digit number is a palindrome. A two-digit number is a palindrome if its first digit is equal to its second digit. You should reverse the number and compare it with the original number.",
        "category": "FP-I"
    },
    {
    "line_number": "10",
    "feedback": "The condition firstdigit == lastdigit is not a correct way to check if a three-digit number is a palindrome. A three-digit number is a palindrome if its first digit is equal to its third digit. You should reverse the number and compare it with the original number.",
        "category": "FP-I"
    },
    {
    "line_number": "2",
    "feedback": "You should first check if the number is within the valid range (0 to 999). If it is not, return False.",
        "category": "TP"
    },
{
    "line_number": "3",
    "feedback": "Use interger division // instead of float division /.",
        "category": "FN"
    },
    {
        "line_number": "9",
        "feedback": "The condition should be 0 &lt;= number &lt;= 9 to check if the number is a single digit.",
        "category": "FN"
    }
]</t>
  </si>
  <si>
    <t>[
    {
        "line_number": "3",
        "feedback": "Your logic for checking if a number is a palindrome is incorrect. You are trying to compare the first and last digits, but you are not considering the middle digit for numbers with 3 digits. Also, for 2 digit numbers, your logic for checking if a number is a palindrome is incorrect. You should reverse the number and compare it with the original number.'
        "category": "FP-I"
    },
    {
        "line_number": "5",
        "feedback": "Your condition for checking if a number is a palindrome is incorrect. You should reverse the number and compare it with the original number.'
        "category": "FP-E"
    },
    {
        "line_number": "7",
        "feedback": "Your condition for checking if a number is a palindrome is correct for single digit numbers. But you should also check if the number is within the valid range.'
        "category": "FP-I"
    },
    {
        "line_number": "9",
        "feedback": "Your condition for checking if a number is not a palindrome is incorrect. You should check if the number is less than 0 or greater than 999.'
        "category": "FP-I"
    },  {
    "line_number": "3",
    "feedback": "Use interger division // instead of float division /. Similarly in the below condition",
        "category": "FN"
    }]</t>
  </si>
  <si>
    <t>def palindromeNumber(number):
    number1 = str(number)
    if type(number) != int:
        return False
    elif number &gt;= 1000:
        return False
    elif number &lt; 0:
        return False
    elif number &gt;=100:
        if number1[0] == number1[2]:
            return True
        else:
            return False
    else:
        if number1[0] == number1[-1]:
            return True
        else:
            return False</t>
  </si>
  <si>
    <t>[
    {
        "line_number": "7",
        "feedback": "The condition to check if the number is less than 0 should be number &lt; 0, not number &lt;= 0. Because 0 is a palindrome.",
        "category": "TP"
    },
    {
        "line_number": "14",
        "feedback": "For numbers less than 100, you should check if the first and the last digit are the same. So, it should be number1[0] == number1[-1], not number1[0] == number1[1].",
        "category": "FP-I"
    }
]</t>
  </si>
  <si>
    <t>def palindromeNumber(number):
    number = int(number)
    if number &lt;= 999 and number &gt;= 0:
        a = number // 100
        b = number % 10
        c = (number // 10) % 10
        if number &lt; 10:
            return True
        elif number &lt; 100:
            return a == b
        else:
            return a == b and b == c
    else:
        return False</t>
  </si>
  <si>
    <t>[
    {
    "line_number": "3",
    "feedback": "Your condition to check if the number is within the range 0 to 999 is incorrect. It should be "if number &lt;= 999 and number &gt;= 0:" instead of "if number &lt; 999 or number &gt; 0:".'
    },
    {
    "line_number": "5",
    "feedback": "You are not calculating the second digit correctly. It should be "(number // 10) % 10" instead of "a // 10".'
    },
    {
    "line_number": "6",
    "feedback": "Your condition to check if the number is a palindrome is incorrect. For a three-digit number, all digits should be the same. For a two-digit number, the first and second digits should be the same. For a one-digit number, it is always a palindrome.'
    }
]</t>
  </si>
  <si>
    <t>def palindromeNumber(number):
    if number&lt;1000 and number&gt;=0:
        if number &lt; 10:
            result = True
        elif number &lt; 100:
            a = number//10
            b = number%10
            if a == b:
                result = True
            else:
                result = False
        else:
            a = number//100
            b = number%10
            if a == b:
                result = True
            else:
                result = False
    else:
        result = False    
    return result</t>
  </si>
  <si>
    <t>[
    {
    "line_number": "5",
    "feedback": "The logic for checking if a number is a palindrome is incorrect. For a two-digit number, you should compare the first digit with the last digit.",
        "category": "FP-I"
    },
    {
    "line_number": "10",
    "feedback": "The logic for checking if a number is a palindrome is incorrect. For a three-digit number, you should compare the first digit with the last digit.",
        "category": "FP-I"
    },
    {
        "line_number": "6",
        "feedback": "For a two-digit number, you should check if the last digit is equal to the first digit. That is, if number is 2-digit and c==b, then return True",
        "category": "FN"
    },
    {
        "line_number": "8",
        "feedback": "For a three-digit number, you should check if the last digit is equal to the first digit. That is, modify a to be 'a=number//100'. If number is 3-digit and a==b then return True",
        "category": "FN"
    }
]</t>
  </si>
  <si>
    <t>def palindromeNumber(number):
    import math
    if number &gt; 999 or number &lt; 0:
        return False
    else:
        if number &lt;= 9:
            result = True
        elif number &lt;= 99:
            if number % 10 == number // 10:
                result = True
            else:
                result = False
        else:
            hundreds = number // 100
            ones = number % 10
            if hundreds == ones:
                result = True
            else:
                result =  False
    return result</t>
  </si>
  <si>
    <t>[
    {
        "line_number": "4",
        "feedback": "The condition to check if the number is out of range is incorrect. It should be 'number &gt; 999 or number &lt; 0", not 'number &gt;= 999 or number &lt;= 0'.",
        "category": "TP"
    },
    {
        "line_number": "9",
        "feedback": "The condition to check if a two-digit number is a palindrome is incorrect. It should be 'number % 10 == number // 10", not 'number % 11 == 0'.",
        "category": "FP-I"
    },
    {
        "line_number": "17",
        "feedback": "The condition to check if a three-digit number is a palindrome is incorrect. It should be 'hundreds == ones", not '(number - (hundreds * 101)) % 10 == 0'.",
        "category": "TP"
    }
]</t>
  </si>
  <si>
    <t>def palindromeNumber(number):
    if (number &gt;= 0) and (number &lt;= 9):
        result = True
        return result
    elif (number &gt;= 10) and (number &lt;= 99):
        if number % 10 == number // 10:
            result = True
            return result
        else:
            result = False
            return result
    elif (number &gt;= 100) and (number &lt;= 999):
        if number % 10 == number // 100 and (number // 10) % 10 == (number // 10) % 10:
            result = True
            return result
        else:
            result = False
            return result</t>
  </si>
  <si>
    <t>[
    {
    "line_number":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
,
    {
    "line_number": "6",
    "feedback": "You need to return a result for every possible input. The function does not return anything when the input is not in the range 0-999. You should add an else clause to handle this case.",
        "category": "FN"
    }
]</t>
  </si>
  <si>
    <t>[
    {
    "line_number": "2",
    "feedback": "Your condition to check if the number is between 100 and 999 is incorrect. You should check if the number is greater than 99 instead of checking if the integer division of the number by 100 is between 1 and 9.",
        "category": "TP"
    },
    {
    "line_number": "10",
    "feedback": "Your condition to check if the number is between 10 and 99 is incorrect. You should check if the number is greater than 9 instead of checking if the integer division of the number by 10 is between 1 and 9.",
        "category": "TP"
    },
    {
    "line_number": "16",
    "feedback": "Your condition to check if the number is between 0 and 9 is incorrect. You should check if the number is less than 10 instead of checking if the number is 000 or 00.",
        "category": "TP"
    },
    {
    "line_number": "1",
    "feedback": "You are missing a condition to check if the number is less than 0 or greater than 999. If it is, the function should return False.",
        "category": "FP-I"
    },
    {
    "line_number": "3",
    "feedback": "Instead of converting the number to a string and comparing the characters, you should reverse the number using arithmetic operations and compare the reversed number with the original number.",
        "category": "FP-E"
    },
    {
    "line_number": "11",
    "feedback": "Instead of converting the number to a string and comparing the characters, you should reverse the number using arithmetic operations and compare the reversed number with the original number.",
        "category": "FP-E"
    }
]</t>
  </si>
  <si>
    <t>def palindromeNumber(number):
    if number &lt; 0 or number &gt; 999:
        return False
    aa = str(number)
    z = aa[-1]
    a = aa[0]
    if number &gt; 99 and number &lt; 1000:
        if int(z) == int(a) and aa[1] == aa[-2]:
            result = True
        else:
            result = False
    elif number &gt; 9 and number &lt; 100:
        if int(z) == int(a):
            result = True
        else:
            result = False
    elif number &gt;= 0 and number &lt; 10:
        result = True
    return result</t>
  </si>
  <si>
    <t>[
    {
        "line_number": "3",
        "feedback": "The condition to check if the number is less than 0 or greater than 999 should be at the start of the function. If the number is not within the valid range, the function should return False.",
        "category": "TP"
    },
    {
        "line_number": "8",
        "feedback": "For a three-digit number, you need to check if the first and last digits are the same, and also if the second and second last digits are the same. You missed checking the second and second last digits.",
        "category": "FP-H"
    },
    {
        "line_number": "18",
        "feedback": "There is no need to handle the cases where the number is less than 0 or greater than 999 separately. You can handle these cases at the start of the function.",
        "category": "TP"
    }
]</t>
  </si>
  <si>
    <t>[
    {
    "line_number": "3",
    "feedback": "The condition in your if statement is incorrect. You are checking if the number is equal to itself which will always be true. Instead, you should be checking if the reversed number is equal to the original number. Also, the logic for checking if the number is a palindrome is missing.",
        "category": "TP"
    },
    {
    "line_number": "5",
    "feedback": "This condition is not needed. If the number is less than 10, it is indeed a palindrome, but this should be checked after the number has passed the range check (i.e., it is between 0 and 999).",
        "category": "TP"
    },
    {
    "line_number": "6",
    "feedback": "This else clause is not needed. If the number is not a palindrome, the function should return False. This can be achieved by checking if the reversed number is not equal to the original number.",
        "category": "FP-I"
    }
]</t>
  </si>
  <si>
    <t>[
    {
        "line_number": "2",
        "feedback": "The condition to check if the number is within the valid range is incorrect. It should be if number &lt; 0 or number &gt; 999:",
        "category": "FP-I"
    },
    {
        "line_number": "4",
        "feedback": "The way you are calculating the reversed number for 3 digit numbers is incorrect. It should be (number % 10) * 100 + (number // 10 % 10) * 10 + (number // 100).",
        "category": "FP-I"
    },
    {
        "line_number": "6",
        "feedback": "The way you are calculating the reversed number for 2 digit numbers is incorrect. It should be (number % 10) * 10 + (number // 10).",
        "category": "FP-I"
    },
    {
        "line_number": "8",
        "feedback": "You are missing a condition to handle 1 digit numbers. For 1 digit numbers, they are always palindrome, so you should return True.",
        "category": "TP"
    },
    {
        "line_number": "2",
        "feedback": "The condition to check if the number is within the valid range is incorrect. It should be if number &gt;= 0 or number &lt; 1000.",
        "category": "FN"
    }
]</t>
  </si>
  <si>
    <t>def palindromeNumber(number):
    if number &lt; 0 or number &gt; 999:
        return False
    elif number &gt; 99:
        reversedNumber = (number % 10) * 100 + ((number // 10) % 10) * 10 + (number // 100)
    elif number &gt; 9:
        reversedNumber = (number % 10) * 10 + (number // 10)
    else:
        return True
    return number == reversedNumber</t>
  </si>
  <si>
    <t>[
    {
        "line_number": "3",
        "feedback": "You should combine the two conditions checking if the number is less than 0 or greater than 999 into one using the "or" operator.",
        "category": "FP-E"
    },
    {
        "line_number": "5",
        "feedback": "Your logic for checking if a number is a palindrome is incorrect. You should reverse the number and then compare it with the original number to check if it is a palindrome.",
        "category": "FP-E"
    },
    {
        "line_number": "8",
        "feedback": "You don\'t need to store the result of the comparison in a variable. You can return the result of the comparison directly.",
        "category": "FP-E"
    },
    {
        "line_number": "8",
        "feedback": "You are missing a condition to handle 1 digit numbers. For 1 digit numbers, they are always palindrome, so you should return True.",
        "category": "FN"
    },
    {
        "line_number": "6",
        "feedback": "Your condition to check for palindrome for 2-digit and 3-digit cases is incorrect. Add additional conditions to fix this: '999&gt;=number&gt;=100 and number//100 == number%10 or 99&gt;=number&gt;=10 and number//10==number%10' .",
        "category": "FN"
    }]</t>
  </si>
  <si>
    <t>def palindromeNumber(number):
    x=str(number)
    if number&lt;0 or number&gt;999:
        result=False
    elif number&lt;10:
        result=True
    elif number&lt;100 and (x[0])== x[1]:
        result=True
    elif number&gt;=100 and (x[0])== (x[2]) :    
        result=True
    else:
        result=False
    return result</t>
  </si>
  <si>
    <t>[
    {
    "line_number": "3",
    "feedback": "Your condition to check if the number is outside the range is incorrect. It should be number&lt;0 or number&gt;999 instead of number&lt;1 or 999&lt;number.",
        "category": "TP"
    },
    {
    "line_number": "8",
    "feedback": "Your condition to check if the number is a three-digit number is incorrect. It should be number&gt;=100 instead of number&gt;100.",
        "category": "TP"
    }
]</t>
  </si>
  <si>
    <t>def palindromeNumber(number):
    if number &lt; 0 or number &gt; 999:
        return False
    a = str(number)
    if len(a) == 1:
        return True
    elif len(a) == 2 and a[0] == a[1]:
        return True
    elif len(a) == 3 and a[0] == a[2]:
        return True
    return False</t>
  </si>
  <si>
    <t>[
    {
        "line_number": "2",
        "feedback": "You forgot to include a condition to check if the number is less than 0 or more than 999. This is important as per the problem statement.",
        "category": "TP"
    },
    {
        "line_number": "5",
        "feedback": "You should check if the length of the number is 2 and the first and second digits are the same, then return True.",
        "category": "TP"
    },
    {
        "line_number": "7",
        "feedback": "You should check if the length of the number is 3 and the first and third digits are the same, then return True.",
        "category": "TP"
    },
    {
        "line_number": "10",
        "feedback": "There is no need for the return statement at the end. The function will automatically return False if none of the previous conditions are met.",
        "category": "TP"
    }
]</t>
  </si>
  <si>
    <t>[
    {
        "line_number": "2",
        "feedback": "You need to check if the number is between 0 and 999. If it is not, return False.",
        "category": "TP"
    },
    {
        "line_number": "3",
        "feedback": "Your logic for checking if a number is a palindrome is incorrect. You need to reverse the number and then compare it with the original number. If they are the same, then the number is a palindrome.",
        "category": "TP"
    },
    {
        "line_number": "4",
        "feedback": "Indentation is important in Python. The "result=True" statement should be indented under the if statement.",
        "category": "TP"
    },
    {
        "line_number": "5",
        "feedback": "The else statement should be aligned with the if statement.",
        "category": "TP"
    },
    {
        "line_number": "6",
        "feedback": "The "result=False" statement should be indented under the else statement.",
        "category": "FP-I"
    },
    {
        "line_number": "7",
        "feedback": "The return statement should be aligned with the if and else statements.",
        "category": "FP-E"
    }
]</t>
  </si>
  <si>
    <t>def palindromeNumber(number):
    if number &lt; 0 or number &gt; 999:
        return False
    elif number//100 != 0:
        h = number//100
        a = number%100
        t = a//10
        b = a%10
        o = b
        result = (o*100)+(t*10)+h
    elif number//10 != 0:
        t = number//10
        a = number%10
        o = a//1
        result = (o*10)+ t
    else:
        result = number
    if result == number:
        return True
    else:
        return False</t>
  </si>
  <si>
    <t>[
    {
        "line_number": "2",
        "feedback": "You need to add a condition to check if the number is less than 0 or greater than 999. If it is, the function should return False.",
        "category": "TP"
    },
    {
        "line_number": "17",
        "feedback": "You should return boolean values directly instead of returning them as strings.",
        "category": "TP"
    },
{
        "line_number": "15",
        "feedback": "Delete the elif condition number != 0, and add an else part instead",
        "category": "FN"
    }
]</t>
  </si>
  <si>
    <t>def palindromeNumber(number):
    if number &lt; 0 or number &gt; 999:
        return False
    elif number &lt; 10:
        return True
    elif 10 &lt;= number &lt;= 99:
        n = str(number)
        if n[0] == n[1]:
            result = True
        else:
            result = False
    elif 100 &lt;= number &lt;= 999:
        n = str(number)
        if n[0] == n[2]:
            result = True
        else:
            result = False
    return result</t>
  </si>
  <si>
    <t>[
    {
    "line_number": "2",
    "feedback": "Your code does not handle the case when the number is less than 10. In this case, the number is always a palindrome. You should add a condition to check this.",
        "category": "TP"
    },
    {
    "line_number": "3",
    "feedback": "Your condition to check if the number is a two-digit number is incorrect. It should be 10 &lt;= number &lt;= 99.",
        "category": "TP"
    },
    {
    "line_number": "9",
    "feedback": "Your condition to check if the number is a three-digit number is incorrect. It should be 100 &lt;= number &lt;= 999.",
        "category": "TP"
    },
    {
    "line_number": "17",
    "feedback": "Your code does not handle the case when the number is outside the range [0, 999]. In this case, the function should return False.",
        "category": "TP"
    }
]</t>
  </si>
  <si>
    <t>[
    {
    "line_number": "2",
    "feedback": "The condition in the if statement is not correct. You are supposed to check if the number is a palindrome, not if it is equal to some formatted version of itself. You can do this by reversing the number and checking if it is equal to the original number.",
        "category": "TP"
    },
    {
    "line_number": "2",
    "feedback": "The format function is not used correctly. It is used to format strings, not to check for palindromes.",
        "category": "TP"
    },
    {
    "line_number": "2",
    "feedback": "You need to check if the number is less than 0 or more than 999 and return False in these cases, as per the problem statement.",
        "category": "TP"
    },
    {
    "line_number": "3",
    "feedback": "You need to calculate the reversed number correctly. You can do this by using the modulus and integer division operations.",
        "category": "TP"
    },
    {
    "line_number": "9",
    "feedback": "You need to return the result at the end of the function.",
        "category": "FP-I"
    }
]</t>
  </si>
  <si>
    <t>def palindromeNumber(number):
    if int(number) &gt;= 1000 or int(number) &lt; 0:
        return False
    else:
        x = number%100
        ones = x%10
        tens = x//10
        hundreds = (number-tens*10-ones)//100
        if hundreds &gt; 0:
            y = int(str(ones) + str(tens) + str(hundreds))
        else:
            y = int(str(ones) + str(tens))
        if number == y:
            return True
        else:
            return False</t>
  </si>
  <si>
    <t>[
    {
        "line_number": "5",
        "feedback": "The "continue" statement is not used correctly. It is used to skip the current iteration of a loop, not to proceed with the rest of the code. You can simply remove it.'
    },
    {
        "line_number": "7",
        "feedback": "You are converting the number to an integer after performing modulo operation. This will result in a TypeError. You should convert the number to an integer before performing the modulo operation.'
    },
    {
        "line_number": "10",
        "feedback": "You are converting the number to an integer after performing subtraction and division. This will result in a TypeError. You should convert the number to an integer before performing these operations.'
    },
    {
        "line_number": "13",
        "feedback": "You are comparing the original number which is a string with the reversed number which is an integer. This will always return False. You should convert the original number to an integer before comparing.'
    }
]</t>
  </si>
  <si>
    <t>[
    {
    "line_number": "2",
    "feedback": "You need to check if the number is less than 0 or greater than 999 and return False in such cases. This is because the problem statement specifies that the number must be between 0 and 999, inclusive.",
        "category": "TP"
    },
    {
    "line_number": "3",
    "feedback": "Your logic for checking if a number is a palindrome is incorrect. You need to reverse the number and then compare it with the original number. If they are the same, then the number is a palindrome.",
        "category": "FP-E"
    },
    {
    "line_number": "4",
    "feedback": "Your logic for checking if a number is a palindrome is incorrect. You need to reverse the number and then compare it with the original number. If they are the same, then the number is a palindrome.",
        "category": "FP-E"
    },
    {
    "line_number": "5",
    "feedback": "Your logic for checking if a number is a palindrome is incorrect. You need to reverse the number and then compare it with the original number. If they are the same, then the number is a palindrome.",
        "category": "FP-E"
    },
   {
        "line_number": "5",
        "feedback": "The condition in the first elif statement is incorrect. It should be "number &lt; 100" instead of "100 &gt; number &gt; 10".",
        "category": "FN"
    }, 
{
        "line_number": "3",
        "feedback": "The condition in the if statement is incorrect. It should be "number &gt; 99" instead of "number &lt; 100".",
        "category": "FN"
    }
]</t>
  </si>
  <si>
    <t>def palindromeNumber(number):
    x= number
    if x&lt;0 or x&gt;999:
        result= False
    else:
        if x &lt; 10:
            result= True
        else:
            x= str(number)
            if len(x) == 2:
                if x[0] == x[1]:
                    result= True
                else:
                    result= False
            else:
                if x[0] == x[2]:
                    result= True
                else:
                    result= False
    return result</t>
  </si>
  <si>
    <t>[
    {
        "line_number": "5",
        "feedback": "You need to check if the number is greater than 999 as well. So, the condition should be 'if x&lt;0 or x&gt;999:'",
        "category": "TP"
    },
    {
        "line_number": "7",
        "feedback": "The condition 'if float(number/1000) &gt;= 0:' is not needed. You can remove this.",
        "category": "FP-E"
    },
    {
        "line_number": "9",
        "feedback": "The condition 'if x/1 &lt; 10:' can be simplified to 'if x &lt; 10:'",
        "category": "FP-E"
    },
    {
        "line_number": "12",
        "feedback": "The condition 'if x/10 &lt; 10:' can be simplified to 'if len(str(x)) == 2:'. Also, the comparison 'if str(x)[0] + str(x)[1] == str(x)[1] + str(x)[0]:' can be simplified to 'if x[0] == x[1]:'",
        "category": "FP-E"
    },
    {
        "line_number": "18",
        "feedback": "The comparison 'if x[0] + x[1] + x[2] == x[2] + x[1] + x[0]:' can be simplified to 'if x[0] == x[2]:'",
        "category": "FP-E"
    }
]</t>
  </si>
  <si>
    <t>def palindromeNumber(number):
    if (number//1000==0) and (number&gt;=0):
        a=str(number)
        b=int(a[0])
        c=int(a[-1])
        if len(a) &gt; 1:
            d=int(a[1])
        else:
            d=b
        result= (b==c) and (b==d)
        return result
    else:
        return False</t>
  </si>
  <si>
    <t>[
    {
    "line_number": "2",
    "feedback": "You need to use an if statement to check the condition. Without the if statement, the condition is evaluated but not used.",
        "category": "TP"
    },
    {
    "line_number": "4",
    "feedback": "You are only comparing the first and last digits of the number. This will not work for numbers with more than 2 digits. You need to also compare the second digit with the first and last digits for numbers with more than 2 digits.",
        "category": "TP"
    },
    {
    "line_number": "7",
    "feedback": "The condition for the result should also check if the second digit is equal to the first and last digits for numbers with more than 2 digits.",
        "category": "FP-I"
    },
{
    "line_number": "4",
    "feedback": "You are only comparing the first and last digits of the number. This will not work for numbers with more than 2 digits. You need to reverse the string and compare it with the original string to check if the number is a palindrome.",
        "category": "FN"
    }
]</t>
  </si>
  <si>
    <t>def palindromeNumber(number):
    x = str(number)
    if number&lt;0 or number&gt;999:
        return False
    elif number &lt;= 99:
        if x == x[::-1]:
            result = True
            return result
        else:
            result = False
            return result
    elif number &gt; 99 and number&lt;=999:
        if x == x[::-1]:
            result = True
            return result
        else:
            result = False
            return result</t>
  </si>
  <si>
    <t>[
    {
        "line_number": "4",
        "feedback": "The condition to check if the number is less than or equal to 0 should be changed to less than 0 as 0 is a palindrome.",
        "category": "TP"
    },
    {
        "line_number": "7",
        "feedback": "Instead of manually reversing the number and comparing, you can convert the number to string and use slicing to reverse the string. This is more efficient and less error-prone.",
        "category": "TP"
    },
    {
        "line_number": "13",
        "feedback": "Similar to the above feedback, use slicing to reverse the string representation of the number and compare.",
        "category": "TP"
    }
]</t>
  </si>
  <si>
    <t>def palindromeNumber(number):
    if number &lt; 0 or number &gt; 999:
        return False
    x = str(number)
    if number &lt; 10:
        result = True
    elif (number / 10) &lt; 10:
        if x[0] == x[1]:
            result = True
        else:
            result = False
    else:
        if x[0] == x[2]:
            result = True
        else:
            result = False
    return result</t>
  </si>
  <si>
    <t>[
    {
        "line_number": "2",
        "feedback": "Good job on converting the number to a string to check if it is a palindrome. However, you forgot to check if the number is less than 0 or greater than 999. Add a condition to return False if the number is not within the range.",
        "category": "TP"
    },
    {
        "line_number": "4",
        "feedback": "Your logic for checking if a single digit number is a palindrome is correct. Single digit numbers are always palindromes.",
        "category": "FP-E"
    },
    {
        "line_number": "6",
        "feedback": "Your logic for checking if a two digit number is a palindrome is correct. However, you should use integer division (//) instead of float division (/) to get the quotient without the remainder.",
        "category": "FP-E"
    },
    {
        "line_number": "12",
        "feedback": "Your logic for checking if a three digit number is a palindrome is correct. However, you should compare the first and last digits of the string representation of the number.",
        "category": "FP-I"
    }
]</t>
  </si>
  <si>
    <t>def palindromeNumber(number):
    if number &lt; 0 or number &gt; 999:
        return False
    else:
        return str(number) == str(number)[::-1]</t>
  </si>
  <si>
    <t>[
    {
        "line_number": "2",
        "feedback": "There is no need to check for each individual number. You can simply convert the number to a string and check if it is the same when reversed. This will work for all numbers.",
        "category": "TP"
    },
    {
        "line_number": "3",
        "feedback": "You should return boolean values True and False, not strings "True" and "False".",
        "category": "TP"
    }
]</t>
  </si>
  <si>
    <t>def palindromeNumber(n):
    if n &lt; 0 or n &gt; 999:
        return False
    reverse=0
    while n!=0:
        digit=n%10
        n=n//10
        reverse=reverse*10+digit
    if n==reverse:
        return True
    else:
        return False</t>
  </si>
  <si>
    <t>[
    {
        "line_number": "1",
        "feedback": "You forgot to check if the number is within the valid range (0 to 999).",
        "category": "TP"
    },
    {
        "line_number": "7",
        "feedback": "You are comparing the original number with the reversed number, but you have already changed the original number in the while loop. You should store the original number in a separate variable before changing it.",
        "category": "FP-I"
    }
]</t>
  </si>
  <si>
    <t>def rectangles(x1, y1, w1, h1, x2, y2, w2, h2):
    if w1 &lt;= 0 or h1 &lt;= 0 or w2 &lt;= 0 or h2 &lt;= 0:
        return "Not a valid rectangle"
    xDistance = abs(x1 - x2)
    yDistance = abs(y1 - y2)
    if xDistance == 0 and yDistance == 0 and w1 == w2 and h1 == h2:
        message = "r2 intersect r1 exactly"
    elif xDistance &lt;= (w1 - w2) / 2 and yDistance &lt;= (h1 - h2) / 2 and w1 &gt;= w2 and h1 &gt;= h2:
        message = "r2 is inside r1"
    elif xDistance &lt;= (w1 + w2) / 2 and yDistance &lt;= (h1 + h2) / 2:
        message = "r2 overlaps r1"
    else:
        message = "r2 does not overlap r1"
    return message</t>
  </si>
  <si>
    <t>[
    {
        "line_number": "2",
        "feedback": "You need to check if the width and height of the rectangles are greater than 0. If not, return "Not a valid rectangle".",
        "category": "TP"
    },
    {
        "line_number": "3",
        "feedback": "You should use the abs() function to calculate the absolute distance between the x and y coordinates of the two rectangles.",
        "category": "FP-E"
    },
    {
        "line_number": "6",
        "feedback": "You need to check if the width and height of the two rectangles are equal to determine if they intersect exactly.",
        "category": "FP-I"
    },
    {
        "line_number": "8",
        "feedback": "You need to check if the width and height of the first rectangle are greater than or equal to the width and height of the second rectangle to determine if the second rectangle is inside the first rectangle.",
        "category": "FP-I"
    }
]</t>
  </si>
  <si>
    <t>def contains(x, a, b):
    return a &lt;= x and x &lt;= b
def rectangles(x1, y1, w1, h1, x2, y2, w2, h2):
    # Check if the rectangles are valid
    if w1 &lt;= 0 or h1 &lt;= 0 or w2 &lt;= 0 or h2 &lt;= 0:
        return "Not a valid rectangle"
    # Calculate the coordinates of the four corners of the rectangles
    r1_left, r1_right = x1 - w1 / 2, x1 + w1 / 2
    r1_bottom, r1_top = y1 - h1 / 2, y1 + h1 / 2
    r2_left, r2_right = x2 - w2 / 2, x2 + w2 / 2
    r2_bottom, r2_top = y2 - h2 / 2, y2 + h2 / 2
    # Check the relationship between the two rectangles
    if (r1_left, r1_right, r1_bottom, r1_top) == (r2_left, r2_right, r2_bottom, r2_top):
        return "r2 intersect r1 exactly"
    elif contains(r2_left, r1_left, r1_right) and contains(r2_right, r1_left, r1_right) and contains(r2_bottom, r1_bottom, r1_top) and contains(r2_top, r1_bottom, r1_top):
        return "r2 is inside r1"
    elif contains(r1_left, r2_left, r2_right) or contains(r1_right, r2_left, r2_right) or contains(r1_bottom, r2_bottom, r2_top) or contains(r1_top, r2_bottom, r2_top):
        return "r2 overlaps r1"
    else:
        return "r2 does not overlap r1"</t>
  </si>
  <si>
    <t>[
    {
        "line_number": "2",
        "feedback": "The contains function should use less than or equal to instead of less than to include the case when x equals to a or b.",
        "category": "TP"
    },
    {
        "line_number": "5",
        "feedback": "You need to check if the rectangles are valid by ensuring both the width and height are greater than 0.",
        "category": "TP"
    },
    {
        "line_number": "8",
        "feedback": "You should calculate the coordinates of the four corners of the rectangles instead of using the center coordinates directly.",
        "category": "TP"
    },
    {
        "line_number": "12",
        "feedback": "You should check if the four corners of r2 are all inside r1 to determine if r2 is inside r1.",
        "category": "TP"
    },
    {
        "line_number": "14",
        "feedback": "You should check if any corner of r1 is inside r2 to determine if r2 overlaps r1.",
        "category": "TP"
    },
    {
        "line_number": "16",
        "feedback": "If none of the above conditions are met, then r2 overlaps r1.",
        "category": "FN"
    }
]</t>
  </si>
  <si>
    <t>def rectangles(x1, y1, w1, h1, x2, y2, w2, h2):
    if w1 &lt;= 0 or h1 &lt;= 0 or w2 &lt;= 0 or h2 &lt;= 0:
        return "Not a valid rectangle"
    xDistance = abs(x1 - x2)
    yDistance = abs(y1 - y2)
    if x1 == x2 and y1 == y2 and w1 == w2 and h1 == h2:
        return 'r2 intersect r1 exactly'
    elif xDistance &lt;= abs((w1 - w2) / 2) and yDistance &lt;= abs((h1 - h2) / 2):
        return 'r2 is inside r1'
    elif xDistance &lt;= (w1 + w2) / 2 and yDistance &lt;= (h1 + h2) / 2:
        return 'r2 overlaps r1'
    else:
        return 'r2 does not overlap r1'</t>
  </si>
  <si>
    <t>[
    {
    "line_number": "2",
    "feedback": "You need to add a condition to check if the rectangles are valid. A rectangle is considered valid if both its width and height are greater than 0.",
        "category": "TP"
    },
    {
    "line_number": "4",
    "feedback": "The calculation of xDistance and yDistance is incorrect. You should use absolute value to calculate the distance between the centers of the two rectangles.",
        "category": "FP-H"
    },
    {
    "line_number": "7",
    "feedback": "The condition to check if r2 is inside r1 is incorrect. You should use absolute value to calculate the distance between the centers of the two rectangles.",
        "category": "FP-H"
    },
  {
    "line_number": "4",
    "feedback": "You should use absolute value to calculate the distance between the centers of the two rectangles.",
        "category": "FN"
    },
    {
    "line_number": "7",
    "feedback": "The condition to check if r2 is inside r1 is missing.",
        "category": "FN"
    },
{
    "line_number": "7",
    "feedback": "The condition to check if r2 does not overlap r1 is missing.",
        "category": "FN"
    }
]</t>
  </si>
  <si>
    <t>def rectangles(x1, y1, w1, h1, x2, y2, w2, h2):
    if w1 &gt; 0 and h1 &gt; 0 and w2 &gt; 0 and h2 &gt; 0:
        if (x2 + w2 / 2) &lt;= (x1 + w1 / 2) and (x2 - w2 / 2) &gt;= (x1 - w1 / 2) and (y2 + h2 / 2) &lt;= (y1 + h1 / 2) and (y2 - h2 / 2) &gt;= (y1 - h1 / 2):
            message = "r2 is inside r1"
        elif x1 == x2 and y1 == y2 and w1 == w2 and h1 == h2:
            message = "r2 intersect r1 exactly"
        elif (x1 - w1 / 2) &lt;= (x2 + w2 / 2) &lt;= (x1 + w1 / 2) or (x1 - w1 / 2) &lt;= (x2 - w2 / 2) &lt;= (x1 + w1 / 2) or (y1 - h1 / 2) &lt;= (y2 + h2 / 2) &lt;= (y1 + h1 / 2) or (y1 - h1 / 2) &lt;= (y2 - h2 / 2) &lt;= (y1 + h1 / 2):
            message = "r2 overlaps r1"
        else:
            message = "r2 does not overlap r1"
    else:
        message = "Not a valid rectangle"
    return message</t>
  </si>
  <si>
    <t>[
    {
        "line_number": "3",
        "feedback": "You need to check if the entire second rectangle (r2) is within the first rectangle (r1). So, you should check if the rightmost point of r2 is less than or equal to the rightmost point of r1 and the leftmost point of r2 is greater than or equal to the leftmost point of r1. Similarly, you should check if the topmost point of r2 is less than or equal to the topmost point of r1 and the bottommost point of r2 is greater than or equal to the bottommost point of r1.",
        "category": "TP"
    },
    {
        "line_number": "7",
        "feedback": "You need to check if any point of the second rectangle (r2) is within the first rectangle (r1). So, you should check if the rightmost point of r2 is within r1 or the leftmost point of r2 is within r1. Similarly, you should check if the topmost point of r2 is within r1 or the bottommost point of r2 is within r1.",
        "category": "TP"
    },
    {
        "line_number": "14",
        "feedback": "Your condition for 'r2 is inside r1", 'r2 does not overlap r1", and "r2 overlaps r1' is incorrect. Compute the x and y cordinates and use abs values to improve your code",
        "category": "FN"
    }
]</t>
  </si>
  <si>
    <t>def rectangles(x1, y1, w1, h1, x2, y2, w2, h2):
    if (w1 &lt;= 0.0) or (h1 &lt;= 0.0) or (w2 &lt;= 0.0 )or (h2 &lt;= 0.0):
        return "Not a valid rectangle"
    high1 = y1 + (0.5 * h1)
    low1 = y1 - (0.5 * h1)
    left1 = x1 - (0.5 * w1)
    right1 = x1 + (0.5 * w1)
    high2 = y2 + (0.5 * h2)
    low2= y2 - (0.5 * h2)
    left2 = x2 - (0.5 * w2)
    right2 = x2 + (0.5 * w2)
    #Case 4
    if ((high1 == high2) and (low1 == low2) and (left1 == left2) and (right1 == right2)):
        return "r2 intersect r1 exactly"
    #Case 1
    if ((high2 &lt;= high1) and (low2 &gt;= low1) and (left2 &gt;= left1) and (right2 &lt;= right1)):
        return "r2 is inside r1"
    #Case 2
    if ((high2 &lt; high1) or (low2 &gt; low1) or (left2 &gt; left1) or (right2 &lt; right1)):
        return "r2 overlaps r1"
    #Case 3
    return "r2 does not overlap r1"</t>
  </si>
  <si>
    <t>[
    {
    "line_number": "4",
    "feedback": "The check for valid rectangles should be done at the beginning of the function. If the rectangle is not valid, we should return immediately and not proceed with further calculations.'
    },
    {
    "line_number": "18",
    "feedback": "The conditions for checking if r2 is inside r1 were incorrect. We need to check if all the sides of r2 are within the sides of r1.'
    },
    {
    "line_number": "22",
    "feedback": "The conditions for checking if r2 overlaps r1 were incorrect. We need to check if any of the sides of r2 are within the sides of r1.'
    },
    {
    "line_number": "14",
    "feedback": "The conditions for checking if r2 intersects r1 exactly were correct.'
    },
    {
    "line_number": "26",
    "feedback": "If none of the above conditions are met, then r2 does not overlap r1. So, we can return this as the default case.'
    }
]</t>
  </si>
  <si>
    <t>def rectangles(x1, y1, w1, h1, x2, y2, w2, h2):
    # WRITE YOUR CODE HERE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c and b &gt;= d and e &gt;= h and f &lt;= g:
        message = "r2 is inside r1"
    elif a &lt;= d and b &gt;= c and e &gt;= f and g &gt;= h:
        message = "r2 overlaps r1"
    else:
        message = "r2 does not overlap r1"
    return message</t>
  </si>
  <si>
    <t>[
    {
    "line_number": "17",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
    }]</t>
  </si>
  <si>
    <t>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&gt;= y2 - h2/2) or (x1 - w1/2 &lt;= x2 + w2/2 and y1 - h1/2 &lt;= y2 + h2/2):
        message = "r2 overlaps r1"
        return message
    else:
        message = "r2 does not overlap r1"
        return message</t>
  </si>
  <si>
    <t>def rectangles(x1, y1, w1, h1, x2, y2, w2, h2):
    x = abs(x1 - x2)
    y = abs(y1 - y2)
    if w1 &lt;= 0 or w2 &lt;= 0 or h1 &lt;= 0 or h2&lt;= 0 :
        message = "Not a valid rectangle"
    elif x == 0 and y == 0 and w1 == w2 and h1 == h2 :
        message = "r2 intersect r1 exactly"
    elif x &lt;= (w1 - w2) / 2 and y &lt;= (h1 - h2) / 2:
        message = "r2 is inside r1"
    elif x &lt;= (w2 - w1) / 2 and y &lt;= (h2 - h1) / 2:
        message = "r1 is inside r2"
    elif x &gt; (w1 + w2) / 2 or y &gt; (h1 + h2) / 2 :
        message = "r2 does not overlap r1"
    else : 
        message = "r2 overlaps r1"
    return message</t>
  </si>
  <si>
    <t>[
    {
    "line_number": "2",
    "feedback": "Instead of using if-else condition to calculate the absolute difference between x1 and x2, you can directly use the abs() function.",
        "category": "FP-E"
    },
    {
    "line_number": "3",
    "feedback": "Instead of using if-else condition to calculate the absolute difference between y1 and y2, you can directly use the abs() function.",
        "category": "FP-E"
    },
    {
    "line_number": "6",
    "feedback": "There should not be any spaces in the return string. It should be "Not a valid rectangle" instead of " Not a valid rectangle ".",
        "category": "TP"
    },
    {
    "line_number": "8",
    "feedback": "There should not be any spaces in the return string. It should be "r2 intersect r1 exactly" instead of " r2 interesect r1 exactly ".",
        "category": "TP"
    },
    {
    "line_number": "14",
    "feedback": "There should not be any spaces in the return string. It should be "r2 does not overlap r1" instead of " r2 does not overlap r1 ".",
        "category": "TP"
    },
    {
    "line_number": "16",
    "feedback": "There should not be any spaces in the return string. It should be "r2 overlaps r1" instead of " r2 overlaps r1 ".",
        "category": "TP"
    },
    {
    "line_number": "12",
    "feedback": "There is a typo in the return string. It should be "r1 is inside r2" instead of "r1 is inside r ".",
        "category": "TP"
    }
]</t>
  </si>
  <si>
    <t>def rectangles(x1, y1, w1, h1, x2, y2, w2, h2):
    if w1 &lt;= 0 or h1 &lt;= 0 or w2 &lt;= 0 or h2 &lt;= 0:
        return "Not a valid rectangle"
    if x1==x2 and y1==y2 and w1==w2 and h1==h2:
        return "r2 intersect r1 exactly"
    elif ((x2 + w2/2)&lt;=(x1 + w1/2)) and ((x2 - w2/2)&gt;=(x1 - w1/2)) and ((y2 + h2/2)&lt;=(y1 + h1/2)) and ((y2 - h2/2)&gt;=(y1 - h1/2)):
        return "r2 is inside r1"
    elif ((((x1 - w1/2) &lt;= (x2 + w2/2)) and ((y1 - h1/2) &lt;= (y2 + h2/2))) or (((x1 + w1/2) &gt;= (x2 - w2/2)) and ((y1 + h1/2) &gt;= (y2 - h2/2)))):
        return "r2 overlaps r1"
    else:
        return "r2 does not overlap r1"</t>
  </si>
  <si>
    <t>[
    {
        "line_number": "2",
        "feedback": "You forgot to check if the rectangles are valid. A rectangle is considered valid if both its width and height are greater than 0.",
        "category": "TP"
    },
 {
        "line_number": "2",
        "feedback": "Missed the case of invalid rectangle",
        "category": "FN"
    }
]</t>
  </si>
  <si>
    <t>def rectangles(x1, y1, w1, h1, x2, y2, w2, h2):
    if h1 &lt;= 0 or h2 &lt;= 0 or w1 &lt;= 0 or w2 &lt;= 0:
        return 'Not a valid rectangle'
    else:
        posx2 =  x2 + (.5*w2)
        negx2 = x2 - (.5*w2)
        posy2 = y2 + (.5*h2)
        negy2 = y2 - (.5*h2)
        posx1 =  x1 + (.5*w1)
        negx1 = x1 - (.5*w1)
        posy1 = y1 + (.5*h1)
        negy1 = y1 - (.5*h1)
        if posx2 &lt;= posx1 and negx2 &gt;= negx1 and posy2 &lt;= posy1 and negy2 &gt;= negy1:
            return "r2 is inside r1"
        elif posx2 == posx1 and negx2 == negx1 and posy2 == posy1 and negy2 == negy1:
            return "r2 intersect r1 exactly"
        elif posx2 &lt; posx1 or negx2 &gt; negx1 or posy2 &lt; posy1 or negy2 &gt; negy1:
            return "r2 does not overlap r1"
        else:
            return "r2 overlaps r1"</t>
  </si>
  <si>
    <t>[
    {
    "line_number": "2",
    "feedback": "You should check if the width and height of the rectangles are less than or equal to 0, not just less than 0. This is because a rectangle with width or height equal to 0 is not valid.",
        "category": "TP"
    },
    {
    "line_number": "5",
    "feedback": "You should calculate the left, right, bottom, and top coordinates for both rectangles. This is because you need these values to determine the relationship between the two rectangles.",
        "category": "TP"
    },
    {
    "line_number": "9",
    "feedback": "You should check if the left, right, bottom, and top coordinates of rectangle 2 are within the corresponding coordinates of rectangle 1. This is the condition for rectangle 2 to be inside rectangle 1.",
        "category": "TP"
    },
    {
    "line_number": "11",
    "feedback": "You should check if the left, right, bottom, and top coordinates of rectangle 2 are equal to the corresponding coordinates of rectangle 1. This is the condition for rectangle 2 to intersect rectangle 1 exactly.",
        "category": "TP"
    },
    {
    "line_number": "13",
    "feedback": "You should check if the left, right, bottom, or top coordinate of rectangle 2 is outside the corresponding coordinate of rectangle 1. This is the condition for rectangle 2 to not overlap rectangle 1.",
        "category": "TP"
    },
    {
    "line_number": "15",
    "feedback": "You should return 'r2 overlaps r1' if none of the other conditions are met. This is because if none of the other conditions are met, then rectangle 2 must overlap rectangle 1.",
        "category": "TP"
    }
]</t>
  </si>
  <si>
    <t>def rectangles(x1, y1, w1, h1, x2, y2, w2, h2):
    if w1 &lt;= 0 or w2 &lt;= 0 or h1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</si>
  <si>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
    "line_number": "2",
    "feedback": "The condition to check if the rectangle is valid should be less than or equal to 0, not just less than 0. Because a rectangle with width or height of 0 is not a valid rectangle.",
        "category": "TP"
    },
    {
    "line_number": "5",
    "feedback": "You should use the abs() function to calculate the absolute distance between the x and y coordinates of the two rectangles. This is because the distance between two points is always positive.",
        "category": "TP"
    },
    {
    "line_number": "7",
    "feedback": "The condition to check if the two rectangles intersect exactly should also include the width and height of the rectangles, not just the x and y coordinates.",
        "category": "TP"
    },
    {
    "line_number": "9",
    "feedback": "The condition to check if rectangle 2 is inside rectangle 1 should be based on the absolute distance between the x and y coordinates and the difference of the widths and heights of the rectangles.",
        "category": "TP"
    },
    {
    "line_number": "11",
    "feedback": "The condition to check if the two rectangles overlap should be based on the absolute distance between the x and y coordinates and the sum of the widths and heights of the rectangles.",
        "category": "TP"
    }
]</t>
  </si>
  <si>
    <t>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</si>
  <si>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
        "line_number": "2",
        "feedback": "You need to start by checking if the rectangles are valid. A rectangle is valid if both its width and height are greater than 0.",
        "category": "TP"
    },
    {
        "line_number": "4",
        "feedback": "You should use the abs() function to calculate the absolute distance between the x and y coordinates of the rectangles.",
        "category": "TP"
    },
    {
        "line_number": "6",
        "feedback": "To check if the rectangles intersect exactly, you should also check if their widths and heights are equal.",
        "category": "TP"
    }
]</t>
  </si>
  <si>
    <t>def rectangles(x1, y1, w1, h1, x2, y2, w2, h2):
    if w1 &lt;= 0 or h1 &lt;= 0 or w2 &lt;= 0 or h2 &lt;= 0:
        return "Not a valid rectangle"
    xDistance = abs(x1 - x2)
    yDistance = abs(y1 - y2)
    if xDistance == 0 and yDistance == 0 and w1 == w2 and h1 == h2:
        return "r2 intersect r1 exactly"
    elif xDistance &lt;= abs(w1 - w2)/2 and yDistance &lt;= abs(h1 - h2)/2:
        return "r2 is inside r1"
    elif xDistance &lt; (w1 + w2)/2 and yDistance &lt; (h1 + h2)/2:
        return "r2 overlaps r1"
    else:
        return "r2 does not overlap r1"</t>
  </si>
  <si>
    <t>def rectangles(x1, y1, w1, h1, x2, y2, w2, h2):
    xDistance = abs(x1 - x2)
    yDistance = abs(y1 - y2)
    if (w1 &lt;= 0) or (w2 &lt;= 0) or (h1 &lt;= 0) or (h2 &lt;= 0):
        message="Not a valid rectangle"
    elif (xDistance == 0) and (yDistance == 0) and (w1 == w2) and (h1 == h2):
        message = "r2 intersect r1 exactly"
    elif (xDistance &lt;= (w1-w2)/2) and (yDistance &lt;= (h1-h2)/2):
        message="r2 is inside r1"
    elif (xDistance&gt;(w1+w2)/2) or (yDistance &gt; (h1+h2)/2):
        message="r2 does not overlap r1"
    else:
        message="r2 overlaps r1"
    return message</t>
  </si>
  <si>
    <t>[
    {
    "line_number": "2",
    "feedback": "You can use the abs() function to get the absolute value of a number. This will simplify your code and make it easier to read.",
        "category": "FP-E"
    },
{
    "line_number": "15",
    "feedback": "Condition is incorrect for r2 inside r1. Use xDistance &lt;= (w1-w2)/2",
        "category": "FN"
    },
]</t>
  </si>
  <si>
    <t>def rectangles(x1, y1, w1, h1, x2, y2, w2, h2):
    if w1&lt;=0 or h1&lt;=0 or w2&lt;=0 or h2&lt;=0:
        return "Not a valid rectangle"
    elif x1 == x2 and y1 == y2 and w1 == w2 and h1 == h2:
        return "r2 intersect r1 exactly"
    elif x1-w1/2&lt;=x2-w2/2 and x1+w1/2&gt;=x2+w2/2 and y1-h1/2&lt;=y2-h2/2 and y1+h1/2&gt;=y2+h2/2:
        return "r2 is inside r1"
    elif x1+w1/2&lt;x2-w2/2 or x1-w1/2&gt;x2+w2/2 or y1+h1/2&lt;y2-h2/2 or y1-h1/2&gt;y2+h2/2:
        return "r2 does not overlap r1"
    else:
        return "r2 overlaps r1"</t>
  </si>
  <si>
    <t>[
    {
    "line_number": "3",
    "feedback": "The condition to check if the rectangle is valid or not is incorrect. It should check if the width or height of either rectangle is less than or equal to 0, not the sum of the widths or heights.",
        "category": "TP"
    },
    {
    "line_number": "5",
    "feedback": "The condition to check if r2 is inside r1 is incorrect. It should check if all the edges of r2 are inside r1, not just the center and one edge.",
        "category": "TP"
    },
    {
    "line_number": "9",
    "feedback": "The condition to check if r2 overlaps r1 is incorrect. It should check if any edge of r2 is outside r1, not just the center and one edge.",
        "category": "TP"
    },
    {
    "line_number": "11",
    "feedback": "The condition to check if r2 does not overlap r1 is incorrect. It should check if all the edges of r2 are outside r1, not just the center and one edge.",
        "category": "TP"
    }
]</t>
  </si>
  <si>
    <t>def rectangles(x1, y1, w1, h1, x2, y2, w2, h2):
    if w1 &lt;= 0 or h1 &lt;= 0 or w2 &lt;= 0 or h2 &lt;= 0:
        return 'Not a valid rectangle'
    elif x1 == x2 and y1 == y2 and w1 == w2 and h1 == h2:
        return 'r2 intersect r1 exactly'
    elif abs(x1 - x2) &lt;= abs(w1 - w2) / 2 and abs(y1 - y2) &lt;= abs(h1 - h2) / 2:
        return 'r2 is inside r1'
    elif abs(x1 - x2) &lt; (w1 + w2) / 2 and abs(y1 - y2) &lt; (h1 + h2) / 2:
        return 'r2 overlaps r1'
    else:
        return 'r2 does not overlap r1'</t>
  </si>
  <si>
    <t>[
    {
    "line_number": "2",
    "feedback": "You should check if the width or height of the rectangles are less than or equal to zero, not just equal to zero. If they are, return "Not a valid rectangle".",
        "category": "TP"
    },
    {
    "line_number": "4",
    "feedback": "You should check if the rectangles have the same center and dimensions to determine if they intersect exactly. If they do, return "r2 intersect r1 exactly".",
        "category": "TP"
    },
    {
    "line_number": "6",
    "feedback": "You should check if the absolute difference between the x-coordinates is less than or equal to the difference of the widths divided by 2 and the absolute difference between the y-coordinates is less than or equal to the difference of the heights divided by 2 to determine if one rectangle is inside the other. If it is, return "r2 is inside r1".",
        "category": "FP-I"
    },
    {
    "line_number": "8",
    "feedback": "You should check if the absolute difference between the x-coordinates is less than the sum of the widths divided by 2 and the absolute difference between the y-coordinates is less than the sum of the heights divided by 2 to determine if the rectangles overlap. If they do, return "r2 overlaps r1".",
        "category": "FP-I"
    },
    {
    "line_number": "10",
    "feedback": "If none of the above conditions are met, the rectangles do not overlap. In this case, return "r2 does not overlap r1".",
        "category": "TP"
    }
]</t>
  </si>
  <si>
    <t>def rectangles(x1, y1, w1, h1, x2, y2, w2, h2):
    if w1 &lt;= 0 or h1 &lt;= 0 or w2 &lt;= 0 or h2 &lt;= 0:
        return "Not a valid rectangle"
    left_r1 = x1 - (w1 / 2)
    right_r1 = x1 + (w1 / 2)
    up_r1 = y1 + (h1 / 2)
    down_r1 = y1 - (h1 / 2)
    left_r2 = x2 - (w2 / 2)
    right_r2 = x2 + (w2 / 2)
    up_r2 = y2 + (h2 / 2)
    down_r2 = y2 - (h2 / 2)
    if (left_r1 == left_r2) and (right_r1 == right_r2) and (up_r1 == up_r2) and (down_r1 == down_r2): 
        message = "r2 intersect r1 exactly"
    elif (right_r1 &lt; left_r2) or (left_r1 &gt; right_r2) or (down_r1 &gt; up_r2) or (up_r1 &lt; down_r2): 
        message = "r2 does not overlap r1"
    elif (left_r1 &lt;= left_r2) and (right_r1 &gt;= right_r2) and (up_r1 &gt;= up_r2) and (down_r1 &lt;= down_r2): 
        message = "r2 is inside r1"
    else: 
        message = "r2 overlaps r1"
    return message</t>
  </si>
  <si>
    <t>[
    {
    "line_number": "2",
    "feedback": "You forgot to check if the rectangles are valid. A rectangle is considered valid if both its width and height are greater than 0.",
        "category": "TP"
    },
    {
    "line_number": "3",
    "feedback": "The calculation of the left and right sides of the rectangles is incorrect. The left side should be the center x coordinate minus half the width, and the right side should be the center x coordinate plus half the width.",
        "category": "TP"
    },
    {
    "line_number": "5",
    "feedback": "The calculation of the top and bottom sides of the rectangles is incorrect. The top side should be the center y coordinate plus half the height, and the bottom side should be the center y coordinate minus half the height.",
        "category": "TP"
    },
    {
    "line_number": "9",
    "feedback": "The condition to check if r2 does not overlap r1 is incorrect. The rectangles do not overlap if the right side of r1 is less than the left side of r2, or the left side of r1 is greater than the right side of r2, or the bottom side of r1 is greater than the top side of r2, or the top side of r1 is less than the bottom side of r2.",
        "category": "TP"
    },
    {
    "line_number": "11",
    "feedback": "The condition to check if r2 is inside r1 is incorrect. r2 is inside r1 if the left side of r1 is less than or equal to the left side of r2, the right side of r1 is greater than or equal to the right side of r2, the top side of r1 is greater than or equal to the top side of r2, and the bottom side of r1 is less than or equal to the bottom side of r2.",
        "category": "TP"
    }
]</t>
  </si>
  <si>
    <t>def rectangles(x1, y1, w1, h1, x2, y2, w2, h2):
    if w1 &lt;= 0 or w2 &lt;= 0 or h1 &lt;= 0 or h2 &lt;= 0:
        return "Not a valid rectangle"
    else:
        if x1 == x2 and y1 == y2 and w1 == w2 and h1 == h2:
            return "r2 intersect r1 exactly"
        elif abs(x1 - x2) * 2 &gt; w1 + w2 or abs(y1 - y2) * 2 &gt; h1 + h2:
            return "r2 does not overlap r1"
        elif abs(x1 - x2) * 2 &lt; w1 - w2 and abs(y1 - y2) * 2 &lt; h1 - h2:
            return "r2 is inside r1"
        else:
            return "r2 overlaps r1"</t>
  </si>
  <si>
    <t>[
    {
        "line_number": "3",
        "feedback": "You should check if the width or height is less than or equal to 0, not just less than 0. Also, you can combine all these conditions into one using the logical OR operator.",
        "category": "TP"
    },
    {
        "line_number": "10",
        "feedback": "The condition for checking if one rectangle does not overlap the other is incorrect. You should check if the distance between the centers of the rectangles is greater than the sum of half of their widths or heights.",
        "category": "TP"
    },
    {
        "line_number": "13",
        "feedback": "The condition for checking if one rectangle is inside the other is incorrect. You should check if the distance between the centers of the rectangles is less than the difference of half of their widths or heights.",
        "category": "TP"
    }
]</t>
  </si>
  <si>
    <t>def rectangles(x1, y1, w1, h1, x2, y2, w2, h2):
    if (w1&lt;=0) or (h1&lt;=0) or (w2&lt;=0) or (h2&lt;=0):
        message = ("Not a valid rectangle")
    elif (x1==x2) and (y1==y2) and (w1==w2) and (h1==h2):
        message = ("r2 intersect r1 exactly")
    elif ((x2+w2/2)&lt;=(x1+w1/2)) and ((x2-w2/2)&gt;=(x1-w1/2)) and ((y2+h2/2)&lt;=(y1+h1/2)) and ((y2-h2/2)&gt;=(y1-h1/2)):
        message= ("r2 is inside r1")
    elif (((x2+w2/2)&lt;=(x1+w1/2)) and((y2+h2/2)&lt;=(y1+h1/2)))or(((x2-w2/2)&gt;=(x1-w1/2)) and((y2-h2/2)&gt;=(y1-h1/2))) or(((x2+w2/2)&lt;=(x1+w1/2))and((y2-h2/2)&gt;=(y1-h1/2))) or(((x2-w2/2)&gt;=(x1-w1/2))and((y2+h2/2)&lt;=(y1+h1/2))):
        message= ("r2 overlaps r1")
    else:
        message= ("r2 does not overlap r1")
    return message</t>
  </si>
  <si>
    <t>[
    {
    "line_number": "2",
    "feedback": "The condition to check if the rectangle is valid is incorrect. The center coordinates can be negative or zero, so you should only check if the width and height are greater than 0.'
    }
]</t>
  </si>
  <si>
    <t>def turnstiles(A, B, C, D, X):
    ans = 0
    enter1 = (X-1)%(A+B)
    if enter1 &lt; A:
        ans += 1
    enter2 = (X-1)%(C+ D)
    if enter2 &lt; C:
        ans += 1
    return ans</t>
  </si>
  <si>
    <t>[
    {
        "line_number": "4",
        "feedback": "You should subtract 1 from X before taking the modulus. This is because the problem statement mentions that if X is 3, it means 'Sean arrived sometime during the third minute of the day'. So, the third minute is still in progress and not completed yet. Hence, you should consider it as the second minute (0-indexed) while calculating the modulus.",
        "category": "TP"
    },
    {
        "line_number": "5",
        "feedback": "You should check if 'enter1' is less than A, not less than or equal to A. This is because the problem statement mentions that the turnstile works for A minutes and then breaks down. So, the A-th minute is the start of the breakdown period, not the working period.",
        "category": "TP"
    },
    {
        "line_number": "7",
        "feedback": "You should check if 'enter2' is less than C, not less than or equal to C. This is because the problem statement mentions that the turnstile works for C minutes and then breaks down. So, the C-th minute is the start of the breakdown period, not the working period.",
        "category": "TP"
    }
]</t>
  </si>
  <si>
    <t>def turnstiles(A, B, C, D, X):
    cycle1 =  A + B
    work1 = X % cycle1
    if (work1 - A) &lt; 0 or X &lt;= A :
        ans1 = True
    else :
        ans1 = False
    cycle2 =  C + D 
    work2 = X % cycle2
    if (work2 - C) &lt; 0 or X &lt;= C :
        ans2 = True
    else :
        ans2 = False
    if ans1 == True and ans2 == True : 
        ans = 2
    elif ans1 == True or ans2 == True:
        ans = 1
    else :
        ans = 0
    return ans</t>
  </si>
  <si>
    <t>[
    {
        "line_number": "5",
        "feedback": "The condition to check if the first turnstile is working is incorrect. It should be (work1 - A) &lt; 0 instead of (work1 - A) &gt;= 0.",
        "category": "TP"
    },
    {
        "line_number": "13",
        "feedback": "The condition to check if the second turnstile is working is incorrect. It should be (work2 - C) &lt; 0 instead of (work1 - C) &gt;= 0. Also, you have used the wrong variable work1 instead of work2.",
        "category": "TP"
    },
    {
        "line_number": "18",
        "feedback": "The condition to check if A, B, C, D, and X have specific values is not necessary and should be removed.",
        "category": "TP"
    }
]</t>
  </si>
  <si>
    <t>def turnstiles(A, B, C, D, X):
    q = 0
    d = 0
    if (X-1)%(A+B) &lt; A:
        q = 1
    if (X-1)%(C+D) &lt; C:
        d = 1
    ans = q + d
    return ans</t>
  </si>
  <si>
    <t>[
    {
        "line_number": "5",
        "feedback": "The condition in the if statement is incorrect. The correct condition should be (X-1)%(A+B) &lt; A. This checks if the remainder of (X-1) divided by (A+B) is less than A, which means the turnstile is operational.",
        "category": "TP"
    },
    {
        "line_number": "7",
        "feedback": "The elif statement is not needed. You can directly check if the second turnstile is operational using an if statement with the condition (X-1)%(C+D) &lt; C.",
        "category": "TP"
    },
    {
        "line_number": "9",
        "feedback": "The elif and else statements for checking if the second turnstile is operational are not needed. The if statement with the correct condition is enough.",
        "category": "TP"
    }
]</t>
  </si>
  <si>
    <t>def turnstiles(A, B, C, D, X):
    ans = 0
    if ((X-1) % (A + B)) &lt; A:
        ans += 1
    if ((X-1) % (C + D)) &lt; C:
        ans += 1
    return ans</t>
  </si>
  <si>
    <t>[
    {
        "line_number": "2",
        "feedback": "Your logic for checking if the turnstiles are working or not is incorrect. You need to check if the time X falls within the working period of each turnstile. This can be done by calculating the remainder when X-1 is divided by the sum of the working and breakdown times of the turnstile. If this remainder is less than the working time of the turnstile, it means the turnstile is working at time X.",
        "category": "TP"
    },
    {
        "line_number": "3",
        "feedback": "The same logic applies to the second turnstile. You need to check if the time X falls within the working period of the second turnstile.",
        "category": "TP"
    },
    {
        "line_number": "4",
        "feedback": "The final answer should be the sum of the results for each turnstile. If both turnstiles are working, the answer will be 2. If only one is working, the answer will be 1. If neither is working, the answer will be 0.",
        "category": "TP"
    }
]</t>
  </si>
  <si>
    <t>def turnstiles(A, B, C, D, X):
    ans = 0
    if (X-1) % (A + B) &lt; A:
        ans = ans + 1
    if (X-1) % (C + D) &lt; C:
        ans = ans + 1
    return ans</t>
  </si>
  <si>
    <t>[
    {
        "line_number": "5",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
    {
        "line_number": "9",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
]</t>
  </si>
  <si>
    <t>def t(A, B, X):
    if (X % (A + B) &gt;= 0) and (X % (A + B) &lt; A):
        ans = 1
        return ans
    else:
        ans = 0 
        return ans
def turnstiles(A, B, C, D, X):
    ans = t(A, B, X) + t(C, D, X)
    return ans</t>
  </si>
  <si>
    <t>[
    {
        "line_number": "3",
        "feedback": "The condition in the if statement should be (X % (A + B) &lt; A) instead of (X % (A + B) &lt;= A). This is because if X is exactly equal to A, then the turnstile is not operational at that time, it's in the breakdown period.",
        "category": "TP"
    },
    {
        "line_number": "5",
        "feedback": "The function t(C, D, X) is not needed. You can use the same function t(A, B, X) for both turnstiles by calling it with different parameters in the turnstiles function.",
        "category": "TP"
    }
]</t>
  </si>
  <si>
    <t>def turnstiles(A,B,C,D,X):
    ans = 0
    if X % (A+B) &lt; A:
        ans += 1
    if X % (C+D) &lt; C:
        ans += 1
    return ans</t>
  </si>
  <si>
    <t>[
    {
    "line_number": "3",
    "feedback": "Your initial condition checks are not correct. You should be checking if the remainder of X divided by the sum of the working and breakdown times is less than the working time. This would mean that the turnstile is still working when Sean arrives.",
        "category": "TP"
    },
    {
    "line_number": "4",
    "feedback": "You do not need to check for all these conditions. You just need to check if the turnstile is working when Sean arrives, which can be done using the modulus operator and comparing the result with the working time of the turnstile.",
        "category": "TP"
    },
    {
    "line_number": "20",
    "feedback": "You are not returning any value from your function. You should return the variable "ans" which stores the number of turnstiles that are operational when Sean arrives.",
        "category": "TP"
    }
]</t>
  </si>
  <si>
    <t>def turnstiles(A, B, C, D, X):
    ans =  f(A,B,X)+f(C,D,X)
    return ans
def f(A, B, X):
    return ((X-1) % (A + B)) &lt; A</t>
  </si>
  <si>
    <t>[
    {
    "line_number": "6",
    "feedback": "Be careful with variable names. Python is case-sensitive, so 'x' and 'X' are considered different variables. You should use 'X", which is the parameter of the function, instead of 'x'.",
        "category": "TP"
    }]</t>
  </si>
  <si>
    <t>def turnstiles(A, B, C, D, X):
    ans = 0
    if (X-1) % (A + B) &lt; A:
        ans += 1
    if (X-1) % (C + D) &lt; C:
        ans += 1
    return ans</t>
  </si>
  <si>
    <t>[
    {
        "line_number": "2",
        "feedback": "The keyword "whileif" doesn\'t exist in Python. You probably meant to use "while" or "if".",
        "category": "TP"
    },
    {
        "line_number": "3",
        "feedback": "The logic of your code is incorrect. You should check if the remainder of (X-1) divided by (A + B) is less than A. This will determine if the first turnstile is operational.",
        "category": "TP"
    },
    {
        "line_number": "5",
        "feedback": "You should also check if the remainder of (X-1) divided by (C + D) is less than C. This will determine if the second turnstile is operational.",
        "category": "TP"
    },
    {
        "line_number": "7",
        "feedback": "The variable "ans" is not defined in your code. You should initialize it before the if statements and increment it if a turnstile is operational.",
        "category": "TP"
    }
]</t>
  </si>
  <si>
    <t>def turnstiles(A, B, C, D, X):
    E=A+B
    F=C+D
    G=X%E
    H=X%F
    if G&gt;A or G==0:
        ans=0
    else:
        ans=1
    if H&gt;C or H==0:
        ans=ans
    else:
        ans=ans+1
    return ans</t>
  </si>
  <si>
    <t>[
    {
        "line_number": "6",
        "feedback": "In Python, the equality operator is "==", not "=". So, you should use "==" to compare G and H with 0.",
        "category": "TP"
    }
]</t>
  </si>
  <si>
    <t>def turnstiles(A, B, C, D, X):
    ans =  f(A,B,X)+f(C,D,X)
    return ans
def f(A, B, X):
    return ((X-1) % (A +B)) &lt; A</t>
  </si>
  <si>
    <t>[
    {
        "line_number": "2",
        "feedback": "The logic you used to check if the turnstiles are working is incorrect. You need to check if the remainder of the total time (X-1) divided by the sum of the working and breakdown times of each turnstile is less than the working time of that turnstile. This is because the turnstile works for a certain number of minutes and then breaks down for a certain number of minutes. So, if the remainder is less than the working time, it means the turnstile is still working when Sean arrives.",
        "category": "TP"
    },
    {
        "line_number": "3",
        "feedback": "The same logic applies to the second turnstile as well. You need to check if the remainder of the total time (X-1) divided by the sum of the working and breakdown times of the second turnstile is less than the working time of that turnstile.",
        "category": "TP"
    },
    {
        "line_number": "4",
        "feedback": "The else condition is not needed as the turnstiles can be working independently of each other. So, we just need to check each turnstile separately and add 1 to the answer if it is working.",
        "category": "TP"
    }
]</t>
  </si>
  <si>
    <t>def turnstiles(A, B, C, D, X):
    result_A = (X-1) % (A + B)
    result_B = (X-1) % (C + D)
    ans = 0
    if result_A &lt; A: 
        ans += 1
    if result_B &lt; C: 
        ans += 1
    return ans</t>
  </si>
  <si>
    <t>[
    {
        "line_number": "2",
        "feedback": "The calculation of result_A and result_B is incorrect. It should be the remainder of (X-1) divided by (A + B) and (C + D) respectively.",
        "category": "TP"
    },
    {
        "line_number": "4",
        "feedback": "The condition to check if the turnstile is working is incorrect. It should check if result_A and result_B is less than A and C respectively.",
        "category": "TP"
    },
    {
        "line_number": "5",
        "feedback": "Instead of assigning a fixed value to ans, you should increment it by 1 each time a turnstile is working.",
        "category": "FP-E"
    }
]</t>
  </si>
  <si>
    <t>def turnstiles(A, B, C, D, X):
    if (X-1)%(A+B) &lt; A:
        e= 1
    else:
        e= 0
    if (X-1)%(C+D) &lt; C:
        y= 1
    else:
        y= 0
    z= e+y
    return z</t>
  </si>
  <si>
    <t>[
    {
        "line_number": "2",
        "feedback": "You should subtract 1 from X before taking the modulus. This is because the problem statement says that if X is 3, it means "Sean arrived sometime during the third minute of the day". So, we should consider it as the end of the third minute, not the beginning.",
        "category": "TP"
    },
    {
        "line_number": "2",
        "feedback": "You should check if the remainder is less than A, not less than or equal to A. This is because if the remainder is equal to A, it means the turnstile has just broken down.",
        "category": "TP"
    },
    {
        "line_number": "5",
        "feedback": "You should subtract 1 from X before taking the modulus for the same reason as above.",
        "category": "TP"
    },
    {
        "line_number": "5",
        "feedback": "You should check if the remainder is less than C, not less than or equal to C for the same reason as above.",
        "category": "TP"
    }
]</t>
  </si>
  <si>
    <t>def turnstiles(A, B, C, D, X):
    ans =  f(A,B,X)+f(C,D,X)
    return ans
def f(A, B, X):
    return int(((X-1) % (A +B)) &lt; A)</t>
  </si>
  <si>
    <t>[
    {
        "line_number": "5",
        "feedback": "The logic you used to calculate the operational status of the turnstiles is incorrect. You need to calculate the total time for each turnstile (operational time + breakdown time) and then use the modulus operation to determine if the turnstile is operational at the given time. You should also use a helper function to avoid repeating code.",
        "category": "TP"
    },
    {
        "line_number": "6",
        "feedback": "The conditions in your if-else statements are incorrect. You should check if the time is less than the operational time for each turnstile separately, not together. Also, you don't need to compare the operational times of the two turnstiles.",
        "category": "TP"
    },
    {
        "line_number": "7",
        "feedback": "The conditions in your elif statement are incorrect. You should check if the time is less than the operational time for each turnstile separately, not together. Also, you don't need to compare the operational times of the two turnstiles.",
        "category": "TP"
    },
    {
        "line_number": "8",
        "feedback": "The conditions in your else statement are unnecessary. If the time is not less than the operational time for either turnstile, then both turnstiles are not operational.",
        "category": "TP"
    },
    {
        "line_number": "9",
        "feedback": "The return statement is correct, but the calculation of 'ans' is incorrect due to the errors in the if-else statements.",
        "category": "TP"
    }
]</t>
  </si>
  <si>
    <t>def turnstiles(A, B, C, D, X):
    if (X-1) % (A + B) &lt; A:
        o1 = True
    else:
        o1 = False
    if (X-1) % (C + D) &lt; C:
        o2 = True
    else:
        o2 = False
    if o1 == True:
        if o2 == True:
            ans = 2
        else:
            ans = 1
    elif o2 == True:
        ans = 1
    else:
        ans = 0
    return ans</t>
  </si>
  <si>
    <t>[
    {
        "line_number": "2",
        "feedback": "You need to subtract 1 from X before performing the modulo operation. This is because the problem statement says "if X is 3, it means Sean arrived sometime during the third minute of the day". So, if X is 3, you should consider it as the 2nd minute while performing the modulo operation.",
        "category": "TP"
    },
    {
        "line_number": "5",
        "feedback": "You need to subtract 1 from X before performing the modulo operation. This is because the problem statement says "if X is 3, it means Sean arrived sometime during the third minute of the day". So, if X is 3, you should consider it as the 2nd minute while performing the modulo operation.",
        "category": "TP"
    }
]</t>
  </si>
  <si>
    <t>import math
def snail(A, B, H):
    # WRITE YOUR CODE HERE
    d1 = (H-B)//(A-B)
    if (H-B)%(A-B) != 0:
        d1 += 1
    ans = d1 + 1
    return ans</t>
  </si>
  <si>
    <t>[
    {
        "line_number": "5",
        "feedback": "The calculation of d1 is incorrect. It should be the integer division of (H-B) by (A-B). If the remainder of this division is not zero, then increment d1 by 1. This represents the number of full days the snail will take to reach just below the top of the pole.",
      "category": "TP"
    },
    {
        "line_number": "9",
        "feedback": "The calculation of ans is incorrect. The snail will reach the top of the pole on the day after it reaches just below the top. So, ans should be d1 + 1.",
      "category": "TP"
    },
{
        "line_number":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"FN"
    },
    {
        "line_number": "6",
        "feedback": "The conditional statement checking if d2 is equal to 0 is not necessary. You can directly calculate the number of full days the snail will take to reach just below the top of the pole using integer division.",
      "category": "FN"
    },
    {
        "line_number": "11",
        "feedback": "The calculations of z and t are not necessary for this problem. You can directly calculate the total number of days the snail will take to reach the top of the pole using the formula mentioned in the feedback for line 8.",
      "category": "FN"
    }]</t>
  </si>
  <si>
    <t>def snail(A, B, H):
    if 1 &lt;= B &lt; A &lt;= H &lt;= 10 ** 9:
        if H % (A - B) != 0:
            ans = H // (A - B) + 1
        else:
            ans = H // (A - B)
    return ans</t>
  </si>
  <si>
    <t>[
    {
        "line_number": "4",
        "feedback": "You should use integer division (//) instead of float division (/) to get the correct number of days. Also, you should check if the remainder of H divided by (A - B) is not equal to 0, instead of comparing the integer and float divisions.",
      "category": "FP-I"
    },
    {
        "line_number": "5",
        "feedback": "You should use integer division (//) instead of float division (/).",
      "category": "TP"
    },
{
        "line_number":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"FN"
    }]</t>
  </si>
  <si>
    <t>def snail(A, B, H):
    days = (H-B-1)//(A-B) + 1
    ans = days
    return ans</t>
  </si>
  <si>
    <t>[
    {
        "line_number": "2",
        "feedback": "The logic you used to calculate the number of days is incorrect. The snail climbs up A meters during the day and slides down B meters at night. So, the effective climbing in a day is (A-B) meters. But on the last day, when the snail reaches the top, it will not slide down. So, we subtract B from H. We subtract 1 before division to handle the case when (H-B) is exactly divisible by (A-B). After that, we add 1 to the result to count the last day.",
 "category": "TP"
    }
]</t>
  </si>
  <si>
    <t>import math
def snail(A, B, H):
    # WRITE YOUR CODE HERE
    ans = math.ceil((H-B)/(A-B))
    return ans
#snail(2,1,5)
#snail(5,1,6)
#snail(100,99,1000000000)</t>
  </si>
  <si>
    <t>[
    {
    "line_number": "5",
    "feedback": "You forgot to assign the result of the calculation to the variable "ans". Always remember to store the result in a variable if you want to return it later.",
 "category": "TP"
    }]</t>
  </si>
  <si>
    <t>def snail(A, B, H):
    import math
    H-=A
    ans= math.ceil(H/(A-B))+1
    return ans</t>
  </si>
  <si>
    <t>[
    {
        "line_number": "5",
        "feedback": "Be careful with your syntax. In Python, the keyword for returning a value from a function is "return", not "Return". Python is case-sensitive.",
 "category": "TP"
    }
]</t>
  </si>
  <si>
    <t>def snail(A, B, H):
    if (H - B) % (A - B) == 0:
        ans = (H - B) // (A - B)
    else:
        ans = (H - B) // (A - B) + 1
    return ans</t>
  </si>
  <si>
    <t>[
    {
        "line_number": "2",
        "feedback": "You forgot to put a colon at the end of the if statement. In Python, you need to end the if statement with a colon.",
 "category": "TP"
    },
    {
        "line_number": "3",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
    {
        "line_number": "5",
        "feedback": "This condition is unnecessary and the calculation is incorrect. You should remove this condition.",
 "category": "TP"
    },
    {
        "line_number": "7",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
]</t>
  </si>
  <si>
    <t>def snail(A, B, H):
    hue = A - B
    hul = H - A
    ans = (hul // hue) + 1
    return ans</t>
  </si>
  <si>
    <t>[
    {
        "line_number": "3",
        "feedback": "The variables "lol" and "loe" are not needed in this code. You can remove them.",
 "category": "FP-E"
    },
    {
        "line_number": "4",
        "feedback": "The calculation for "hul" should be done before the calculation for "ans". Make sure to order your operations correctly.",
 "category": "FP-H"
    },
    {
        "line_number": "5",
        "feedback": "The calculation for "ans" is incorrect. You should divide "hul" by "hue" and add 1 to get the correct number of days.",
 "category": "FP-I"
    },
  {
        "line_number": "4",
        "feedback": "The calculation for 'ans' is incorrect. You should subtract 'B' from 'H", subtract 1, then divide by 'hue' and add 1 to get the correct number of days.",
 "category": "FN"
    }
]</t>
  </si>
  <si>
    <t>[
    {
        "line_number": "4",
        "feedback": "You have correctly identified that the snail climbs A meters and slides down B meters in a day. However, the calculation for the number of days is incorrect. The snail climbs (A-B) meters in a day. But on the last day, it does not slide down. So, we subtract B from H before dividing by (A-B). Also, to ensure that we round up to the next integer (since the number of days must be an integer), we subtract 1 from the numerator before performing the division.",
 "category": "TP"
    }]</t>
  </si>
  <si>
    <t>def snail(A, B, H):
    dist = 0
    ans = 0
    while dist &lt; H: 
        dist += A
        if dist &lt; H:
            dist -= B
        ans = ans+1
    return ans</t>
  </si>
  <si>
    <t>[
    {
        "line_number": "4",
        "feedback": "You should use a while loop instead of an if statement to keep adding the distance the snail climbs every day until it reaches or exceeds the height of the pole.",
 "category": "FP-I"
    },
{
        "line_number":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"FN"
    }]</t>
  </si>
  <si>
    <t>def snail(A, B, H):
    distance = A - B
    if H % distance == 0:
        ans = (H - A)// distance + 1
        return ans
    else: 
        rounds = H // distance
        ans = rounds + 1
        return ans</t>
  </si>
  <si>
    <t>[
    {
        "line_number": "3",
        "feedback": "You have used the "elif" keyword without a preceding "if" statement. Replace "elif" with "if" to correct the syntax.",
 "category": "TP"
    },
    {
        "line_number": "4",
        "feedback": "The logic for calculating the number of days is incorrect. The snail climbs during the day and slides down at night. So, on the last day when it reaches the top, it won't slide down. You need to account for this in your calculation.",
 "category": "TP"
    },
    {
        "line_number": "7",
        "feedback": "The logic for calculating the number of days is incorrect. The snail climbs during the day and slides down at night. So, on the last day when it reaches the top, it won't slide down. You need to account for this in your calculation.",
 "category": "TP"
    },
    {
        "line_number": "4",
        "feedback": "Also, you should check if (H - A) is divisible by distance, not H.",
 "category": "FN"
    }]</t>
  </si>
  <si>
    <t>def snail(A,B,H):
    if H==A:
        ans=1
    elif (H-A)%(A-B)==0:
        ans=(H-A)//(A-B)+1
    else:
        ans=((H-A)//(A-B))+2
    return ans</t>
  </si>
  <si>
    <t>[
    {
        "line_number": "3",
        "feedback": "Python is case-sensitive. Make sure to use the same variable name "ans" throughout your code.",
 "category": "TP"
    },
    {
        "line_number": "5",
        "feedback": "You have a syntax error. The elif statement is missing a block of code to execute. Make sure to provide a block of code for each control flow statement.",
 "category": "TP"
    }
]</t>
  </si>
  <si>
    <t>def snail(A,B,H):
    ans = (H-B-1)//(A-B) + 1 
    return ans</t>
  </si>
  <si>
    <t>[
    {
        "line_number": "4",
        "feedback": "You were on the right track with calculating the number of days it takes for the snail to reach the top. However, the logic in your code was slightly off. The snail climbs up A meters during the day and slides down B meters at night. So, the net distance covered by the snail in a day is (A-B) meters. But on the last day, the snail just needs to climb to the top and it won’t slide down. So, we subtract B from the total height H. Then, we divide the result by (A-B) to get the number of full days it takes for the snail to reach just below the top. We subtract 1 from the height before division to handle the case when the height is exactly divisible by (A-B). Finally, we add 1 to account for the last day when the snail climbs to the top. We use floor division (//) to get the number of full days.",
 "category": "TP"
    }]</t>
  </si>
  <si>
    <t>def snail(A, B, H):
    a = H-B
    if a%(A-B)==0:
        ans = a//(A-B)
    else:
        ans = a//(A-B) + 1
    return ans</t>
  </si>
  <si>
    <t>[
    {
    "line_number": "2",
    "feedback": "The conditions you have set are unnecessary and confusing. The snail will always slide down at night unless it has reached the top of the pole. So, you need to subtract B (the distance the snail slides down at night) from H (the height of the pole) first.",
 "category": "TP"
    },
    {
    "line_number": "5",
    "feedback": "The logic you used to calculate the number of days is incorrect. The snail climbs (A-B) meters in a full day. So, you need to divide the adjusted height (H-B) by (A-B) to get the number of full days. If there is a remainder, that means the snail will reach the top on the next day, so you need to add 1 to the number of days.",
 "category": "TP"
    },
    {
    "line_number": "6",
    "feedback": "You do not need to check for the case when A equals H or A equals B. The constraints given in the problem ensure that 1 ≤ B &lt; A ≤ H ≤ 10^9.",
 "category": "FP-E"
    }
]</t>
  </si>
  <si>
    <t>import math
def snail(A, B, H):
    ans = math.ceil((H - B) / (A - B))
    return ans</t>
  </si>
  <si>
    <t>[
    {
        "line_number": "3",
        "feedback": "You're on the right track with using the formula to calculate the number of days, but you need to subtract B from H before dividing. This is because on the last day, the snail will reach the top of the pole during the day and won't slide down at night. So, the effective height the snail needs to climb is (H - B).",
 "category": "TP"
    }
]</t>
  </si>
  <si>
    <t>def snail(A, B, H):
    from math import ceil
    before=H-B
    return ceil(before/(A-B)) + 1</t>
  </si>
  <si>
    <t>[
    {
        "line_number": "3",
        "feedback": "You should use math.ceil instead of math.floor to round up the result of the division.",
 "category": "FP-I"
    },
    {
        "line_number": "4",
        "feedback": "You need to add 1 to the result to account for the last day when the snail reaches the top of the pole.",
 "category": "FP-I"
    },
 {
        "line_number":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"FN"
    },
    {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"FN"
    }
]</t>
  </si>
  <si>
    <t>import math
def snail(A, B, H):
    result = math.ceil((H - B) / (A - B)) + 1
    return result</t>
  </si>
  <si>
    <t>[
    {
        "line_number": "3",
        "feedback": "You have made a small mistake in your calculation. You are subtracting A from H in the numerator, but you should subtract B instead. Also, you need to add 1 to the result to account for the first day of climbing.",
 "category": "FP-I"
    },
{
        "line_number":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"FN"
    }
]</t>
  </si>
  <si>
    <t>[
    {
    "line_number": "3",
    "feedback": "Your calculation for the number of days is incorrect. You should calculate the number of full days it takes for the snail to climb the pole, excluding the last day. This is done by subtracting the distance the snail slides down at night from the height of the pole, then dividing by the net distance the snail climbs in a day (which is the distance it climbs during the day minus the distance it slides down at night). After that, you should add 1 to account for the last day when the snail reaches the top. So, the correct calculation is (H-B-1)//(A-B) + 1.",
 "category": "TP"
    }]</t>
  </si>
  <si>
    <t>def snail(A, B, H):
    if H &lt;= A:
        result = 1
    else:
        result = (H-B-1)//(A-B) + 1
    return result</t>
  </si>
  <si>
    <t>[
    {
        "line_number": "2",
        "feedback": "Your logic for checking if the height is not divisible by (A-B) is correct, but you need to handle the case where the height is less than or equal to the distance the snail can climb in a day.",
 "category": "FP-I"
    },
    {
        "line_number": "4",
        "feedback": "The condition H/(A-B) == H does not make sense in this context. Instead, you should check if the height is less than or equal to the distance the snail can climb in a day, and if so, return 1 since the snail can reach the top in a single day.",
 "category": "TP"
    }
]</t>
  </si>
  <si>
    <t>def snail(A, B, H):
    # WRITE YOUR CODE HERE
    if ( H - B ) % ( A - B ) == 0 :
        ans=(H-B)//(A-B)
    else :
        ans=(H-B)//(A-B)+1
    return ans</t>
  </si>
  <si>
    <t>[
    {
        "line_number": "3",
        "feedback": "In Python, the equality operator is '==", not '='. '=' is used for assignment. So, you should use '==' in the if condition.",
 "category": "TP"
    },
    {
        "line_number": "4",
        "feedback": "Your formula to calculate the number of days is incorrect. The snail will reach the top during the day, so you should subtract B from H before dividing.",
 "category": "TP"
    },
    {
        "line_number": "6",
        "feedback": "Your formula to calculate the number of days is incorrect. The snail will reach the top during the day, so you should subtract B from H before dividing.",
 "category": "TP"
    }
]</t>
  </si>
  <si>
    <t>def snail(A, B, H):
    if A &gt;= H:
        ans = 1
    else:
        ans = (H-B-1)//(A-B) + 1
    return ans</t>
  </si>
  <si>
    <t>[
    {
        "line_number": "4",
        "feedback": "You forgot to assign the result of the calculation to the variable "ans". Always remember to store the result in a variable if you want to use it later.",
        "category": "TP"
    },
    {
        "line_number": "5",
        "feedback": "The variable "h" is not defined in your code. I believe you wanted to use "H" instead. Make sure to use the correct variable names.",
        "category": "FP-H"
    },
    {
        "line_number": "3",
        "feedback": "You need to subtract B from H before performing the division operation. This is because the snail does not slide down on the last day after reaching the top. So, the effective height it needs to climb is (H-B).",
        "category": "FN"
    }]</t>
  </si>
  <si>
    <t>def snail(A, B, H):
    x=A-B
    ans=(H-B-1)//x+1
    return ans</t>
  </si>
  <si>
    <t>[
    {
        "line_number": "3",
        "feedback": "You need to subtract B from H before performing the division operation. This is because the snail does not slide down on the last day after reaching the top. So, the effective height it needs to climb is (H-B).",
        "category": "TP"
    },
    {
        "line_number": "4",
        "feedback": "There is no need to check if H is odd or even. The formula to calculate the number of days is the same for both cases. You just need to subtract 1 from H, divide it by x (which is the net distance the snail covers in a day), and then add 1 to the result. The reason for subtracting 1 before division is to handle the case where H is exactly divisible by x. In such cases, the snail would reach the top exactly at the end of the day, so we don't need an extra day. The reason for adding 1 after division is to account for the last day when the snail reaches the top.",
        "category": "TP"
    }
]</t>
  </si>
  <si>
    <t>def snail(A, B, H):
    remaing_Days=H-B
    days=(remaing_Days-1)//(A-B)+1
    return days</t>
  </si>
  <si>
    <t>[
    {
        "line_number": "2",
        "feedback": "You should subtract B from H in the first step, not A. This is because the snail does not slide down on the last day after reaching the top.",
        "category": "TP"
    },
    {
        "line_number": "3",
        "feedback": "You should subtract 1 before dividing remaing_Days by (A-B). This is to handle the case when remaing_Days is exactly divisible by (A-B), in which case the snail would reach the top one day earlier than your original calculation.",
        "category": "TP"
    }
]</t>
  </si>
  <si>
    <t>import math
def snail(A, B, H):
    ans = (H - B - 1) // (A - B) + 1
    return ans</t>
  </si>
  <si>
    <t>[
    {
        "line_number": "3",
        "feedback": "You have the right idea of using the formula (H / (A - B)) to calculate the number of days, but you need to consider that the snail does not slide down on the last day. So, you need to subtract B from H before performing the division. Also, you should subtract 1 before performing the ceiling operation to handle the case where the snail reaches the top exactly at the end of a day. So, the correct formula should be (H - B - 1) // (A - B) + 1.",
        "category": "TP"
    }]</t>
  </si>
  <si>
    <t>def snail(A, B, H):
    if 1&lt;=B&lt;A&lt;=H&lt;=1000000000:
        D=A-B
        ans=(H-B)//D
        if (H-B)%D&gt;0:
            ans=ans+1
        return ans</t>
  </si>
  <si>
    <t>[
    {
    "line_number": "4",
    "feedback": "You are subtracting A from H at the beginning of the calculation, which is not necessary and causing the wrong output. The correct calculation should be (H-B) // (A-B).",
        "category": "TP"
    },
    {
    "line_number": "6",
    "feedback": "In your if condition, you should check if (H-B) % D &gt; 0, not (H/D) % 1 &gt; 0. This is because we want to see if there is a remainder when the total distance the snail needs to climb (H-B) is divided by the distance the snail can climb in a day (A-B). If there is a remainder, it means the snail will need an additional day to reach the top.",
        "category": "TP"
    }
]</t>
  </si>
  <si>
    <t>def snail(A,B,H):
    x=A-B
    if (H-B)%x==0:
        ans=int((H-B)/x)
    else:
        ans=int((H-B)/x)+1
    return ans</t>
  </si>
  <si>
    <t>[
    {
        "line_number": "4",
        "feedback": "You're on the right track calculating the difference between the distance the snail climbs and slides (x). However, the logic to calculate the days is incorrect. The snail climbs during the day and slides at night, so you should subtract B from H before dividing by x. If the remainder of this division is 0, it means the snail reaches the top during the day, so you can directly use the quotient as the number of days. If not, it means the snail will reach the top the next day after climbing, so you should add 1 to the quotient.",
        "category": "TP"
    },
    {
        "line_number": "5",
        "feedback": "The calculation of 'ans' is incorrect. You should not subtract (A-x) from the quotient. Instead, just use the quotient as the number of days.",
        "category": "TP"
    },
    {
        "line_number": "7",
        "feedback": "The calculation of 'ans' is incorrect. You should not add (A-x) to the quotient. Instead, add 1 to the quotient, as the snail will reach the top the next day after climbing.",
        "category": "TP"
    }
]</t>
  </si>
  <si>
    <t>def snail(A, B, H):
    a = A - B
    ans = H - A
    if ans % a == 0:
        ans = ans // a
    else:
        ans = ans // a + 1
    ans = ans + 1   
    return ans</t>
  </si>
  <si>
    <t>[
    {
        "line_number": "4",
        "feedback": "You should consider the case when 'ans' is not a multiple of 'a'. In such cases, you should round up the result of the division, not just round it to the nearest integer. You can do this by using the '//' operator for integer division and adding 1 if there is a remainder.",
        "category": "TP"
    }
]</t>
  </si>
  <si>
    <t>import math
def snail(A, B, H):
    result = (H-B-1)//(A-B) + 1 
    return result</t>
  </si>
  <si>
    <t>[
    {
        "line_number": "8",
        "feedback": "You do not need to check if B &gt; A as the problem constraints guarantee that B &lt; A.",
        "category": "FP-E"
    },
    {
        "line_number": "11",
        "feedback": "You do not need to check if H == 0 as the problem constraints guarantee that H &gt;= 1.",
        "category": "FP-E"
    },
    {
        "line_number": "14",
        "feedback": "You do not need to check if B == 0 as the problem constraints guarantee that B &gt;= 1.",
        "category": "FP-E"
    },
    {
        "line_number": "17",
        "feedback": "You do not need to check if H &lt;= A as the snail can climb A meters in a day, and it will reach the top in one day if H &lt;= A.",
        "category": "FP-E"
    },
    {
        "line_number": "20",
        "feedback": "Your formula for calculating the number of days is incorrect. The correct formula is (H-B-1)//(A-B) + 1. This is because the snail will climb A meters in a day and slide down B meters at night, so the effective climb in a day is (A-B) meters. The snail will reach the top of the pole when the total climb is equal to or greater than H. The -1 is to account for the fact that the snail does not slide down on the last day.",
        "category": "TP"
    }
]</t>
  </si>
  <si>
    <t>[
    {
        "line_number": "2",
        "feedback": "The condition in the if statement is not necessary and is causing the function to return incorrect results for some test cases. The snail will always climb during the day and slide down at night until it reaches the top.",
        "category": "TP"
    },
    {
        "line_number": "3",
        "feedback": "The calculation for the number of days is incorrect. The snail will climb (A-B) meters in a full day. So, the total number of full days it will take is (H-B)//(A-B). However, on the last day, the snail will reach the top during the day, so we subtract B from H before the division. We also add 1 to the result to account for the last day.",
        "category": "TP"
    },
    {
        "line_number": "4",
        "feedback": "This condition and the corresponding calculation are not needed. The calculation for the number of days is the same regardless of whether H is divisible by (A-B) or not.",
        "category": "TP"
    },
    {
        "line_number": "6",
        "feedback": "This calculation is incorrect. The correct calculation is the same as the one described in the feedback for line 3.",
        "category": "FP-E"
    }
]</t>
  </si>
  <si>
    <t>def snail(A,B,H):
    ans = (H-B-1)//(A-B) + 2
    return ans</t>
  </si>
  <si>
    <t>[
    {
        "line_number": "2",
        "feedback": "You need to adjust your formula. The snail is already at the top on the last day before it slides down. So, you should subtract B from H and then add 2 to the result of the division to account for the last day when the snail reaches the top.'
    }]</t>
  </si>
  <si>
    <t>def snail(A, B, H):
    h = H - A
    x = A - B
    c = (h / x)
    if h &lt;= 0:
        ans = 1
    elif c % 1 == 0:
        ans = c + 1
    else:
        ans = int(c) + 2
    return ans</t>
  </si>
  <si>
    <t>[
    {
    "line_number": "8",
    "feedback": "You need to add 1 to c when c is a whole number, not to w. You should assign the result to ans directly.",
        "category": "FP-E"
    },
    {
    "line_number": "10",
    "feedback": "When c is not a whole number, you should take the integer part of c and add 2, not round c and add 1. This is because the snail will reach or exceed the height of the pole on the next day.",
        "category": "TP"
    }
]</t>
  </si>
  <si>
    <t>def is_prime(n):
    if n &lt;= 1:
        return False
    for x in range(2, n):
        if n % x == 0:
            return False
    return True</t>
  </si>
  <si>
    <t>[
    {
        "line_number": "1",
        "feedback": "Your function should only take one argument, which is the number to be checked.'
    },
    {
        "line_number": "2",
        "feedback": "You should not loop through a fixed range of numbers. Instead, you should check if the given number is prime or not.'
    },
    {
        "line_number": "3",
        "feedback": "The variable is_prime is not needed. You can return False directly when you find a factor of the number.'
    },
    {
        "line_number": "4",
        "feedback": "You should start the loop from 2, because every number is divisible by 1.'
    },
    {
        "line_number": "4",
        "feedback": "The loop should run until the number to be checked, not until a fixed number x.'
    },
    {
        "line_number": "5",
        "feedback": "You should check if the number is divisible by the current loop variable, not a fixed number y.'
    },
    {
        "line_number": "7",
        "feedback": "You should return True after the loop, which means the number is not divisible by any number other than 1 and itself, so it is a prime number.'
    }
]</t>
  </si>
  <si>
    <t>def is_prime(n):
    if n == 1:
        return False
    if n == 2:
        return True
    x = 2
    for x in range(x, int(n**0.5)+1):
        if n % x == 0:
            return False
    return True</t>
  </si>
  <si>
    <t>[
    {
        "line_number": "7",
        "feedback": "The range of your loop should be from 2 to the square root of n, not to n. This is because a larger factor of the number must be a multiple of a smaller factor that has already been checked.",
        "category": "FP-E"
    },
    {
        "line_number": "8",
        "feedback": "You should use the modulus operator (%) to check if n is divisible by x, not division (/). The modulus operator gives the remainder of the division of two numbers.",
        "category": "TP"
    }
]</t>
  </si>
  <si>
    <t>def is_prime(n):
    if n &lt;= 1:
        return False
    for i in range(2,n):
        if n % i == 0:
            return False
    return True</t>
  </si>
  <si>
    <t>[
    {
        "line_number": "2",
        "feedback": "You need to initialize the 'ans' variable to True, not 0. Also, you don't need to use the 'ans' variable. You can return False directly inside the loop if 'n' is divisible by 'i'.",
        "category": "TP"
    },
    {
        "line_number": "3",
        "feedback": "You should start the loop from 2, not 1 because every number is divisible by 1.",
        "category": "FP-H"
    },
    {
        "line_number": "4",
        "feedback": "You don't need to calculate 'x'. You can directly check if 'n' is divisible by 'i'. If it is, return False.",
        "category": "FP-E"
    },
    {
        "line_number": "6",
        "feedback": "You don't need to set 'ans' to False here. You can return False directly.",
        "category": "FP-E"
    },
    {
        "line_number": "8",
        "feedback": "You don't need to set 'ans' to True here. You should return True after the loop. This is because if 'n' is not divisible by any number in the range, it is a prime number.",
        "category": "FP-E"
    },
    {
        "line_number": "2",
        "feedback": "You should add a condition at the beginning of your function to check if 'n' is less than or equal to 1. If it is, return False because 1 is not a prime number and negative numbers are not considered in prime number theory.",
        "category": "TP"
    }
]</t>
  </si>
  <si>
    <t>def is_prime(n):
    if n &lt;= 1:
        return False
    i = 2
    while i * i &lt;= n:
        if n % i:
            i += 1
        else:
            return False
    return True</t>
  </si>
  <si>
    <t>[
    {
        "line_number": "2",
        "feedback": "You need to handle the case when n is less than or equal to 1. By definition, 1 is not a prime number and negative numbers are not considered prime either.",
        "category": "TP"
    },
    {
        "line_number": "3",
        "feedback": "Your loop condition is incorrect. It should be 'while i * i &lt;= n'. This is because if n is not a prime, it can be factored into two factors a and b. If both of them were greater than the square root of n, a*b would be greater than n. Similarly, if both were less than the square root of n, a*b would be less than n. So at least one of those factors must be less than or equal to the square root of n, and to check if n is prime, we can check for factors up to the square root.",
        "category": "TP"
    },
    {
        "line_number": "5",
        "feedback": "The 'continue' statement is not necessary here. Instead, you should increment i by 1 when n is not divisible by i.",
        "category": "TP"
    },
    {
        "line_number": "7",
        "feedback": "The 'pass' statement is not necessary here. It is used when a statement is required syntactically, but you don't want any command or code to execute.",
        "category": "FP-E"
    }
]</t>
  </si>
  <si>
    <t>def is_prime(n):
    if n == 1:
        return False
    x = int(n**0.5) + 1
    for i in range(2,x):
        if n % i == 0:
            return False
    else:
        return True</t>
  </si>
  <si>
    <t>[
    {
    "line_number": "4",
    "feedback": "The range for the loop should go up to the square root of n, inclusive. Therefore, you should add 1 to the square root of n when converting it to an integer. This is because the range function in Python does not include the end value.",
        "category": "TP"
    }]</t>
  </si>
  <si>
    <t>import math
def is_prime(n):
    if n &lt;= 1:
        return False
    i = 2
    while i &lt;= int(math.sqrt(n)):
        if n%i == 0:
            return False
        i += 1
    return True</t>
  </si>
  <si>
    <t>[
    {
        "line_number": "3",
        "feedback": "You need to add a condition to check if the input number is less than or equal to 1. If it is, the function should return False because 1 is not a prime number and negative numbers are not considered in prime number theory.",
        "category": "TP"
    },
    {
        "line_number": "5",
        "feedback": "The condition in your while loop should be "i &lt;= int(math.sqrt(n))" instead of "i &lt; int(math.sqrt(n))". This is because you want to check divisibility up to and including the square root of the number. If you don't include the square root, you might miss a factor and incorrectly classify a composite number as prime.",
        "category": "TP"
    }
]</t>
  </si>
  <si>
    <t>import math
def is_prime(n):
    n = int(n)
    ans=True
    x = math.ceil(n**0.5)
    if n &lt; 2:
        return False
    elif n == 2:
        return True
    else:
        for a in range(2, x + 1):
            if n%a == 0 :
                ans=False
                break
    return ans</t>
  </si>
  <si>
    <t>[
    {
    "line_number": "3",
    "feedback": "The input to the function is a string. You should convert it to an integer before performing mathematical operations on it.",
        "category": "FP-H"
    },
,
 {
    "line_number": "15",
    "feedback": "The indentation of "return ans" does not match any outer indentation level",
        "category": "FN"
    }
]</t>
  </si>
  <si>
    <t>def is_prime(n):
    if n &gt; 1:
        for i in range(2,n):
            if (n % i) == 0:
                return False
        return True
    else:
        return False</t>
  </si>
  <si>
    <t>[
    {
        "line_number": "2",
        "feedback": "Indentation error. The variable "ans" and the rest of the code inside the function should be indented.",
        "category": "FP-H"
    },
    {
        "line_number": "5",
        "feedback": "Instead of assigning False to "ans" and breaking the loop when n is divisible by i, you can directly return False. This will exit the function immediately, making your code more efficient.",
        "category": "FP-E"
    },
    {
        "line_number": "8",
        "feedback": "Instead of assigning True to "ans" when n is not divisible by i, you can return True after the loop. This means that if n is not divisible by any number in the range, it must be a prime number.",
        "category": "FP-E"
    },
    {
        "line_number": "10",
        "feedback": "Instead of assigning False to "ans" when n is less than or equal to 1, you can directly return False.",
        "category": "FP-E"
    },
    {
        "line_number": "12",
        "feedback": "You do not need to return "ans" at the end of your function. Your function will have already returned by this point if it has found an answer.",
        "category": "FP-E"
    }
]</t>
  </si>
  <si>
    <t>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return True</t>
  </si>
  <si>
    <t>[
    {
    "line_number": "19",
    "feedback": "You forgot to add a return statement at the end of the function. If the function doesn't find any factors of the number, it should return True because the number is a prime.",
        "category": "TP"
    }]</t>
  </si>
  <si>
    <t>def is_prime(n):
    if n &lt;= 1:
        return False
    for i in range(2, n):
        if n % i == 0:
            return False
    return True</t>
  </si>
  <si>
    <t>def is_prime(f):
    if f &lt;= 1:
        return False
    if f &lt;= 3:
        return True
    if f % 2 == 0 or f % 3 == 0:
        return False
    i = 5
    while i * i &lt;= f:
        if f % i == 0 or f % (i + 2) == 0:
            return False
        i += 6
    return True
print(is_prime(2147483647))</t>
  </si>
  <si>
    <t>[
    {
        "line_number": "4",
        "feedback": "Your condition to check if a number is prime is not correct. A prime number is a number greater than 1 and has no positive divisors other than 1 and itself. So, you should check if the number is less than or equal to 1 and return False in that case.",
        "category": "TP"
    },
    {
        "line_number": "5",
        "feedback": "You don\'t need to check for 4 separately. It will be handled in the general case where you check if the number is divisible by 2 or 3.",
        "category": "TP"
    },
    {
        "line_number": "7",
        "feedback": "You don\'t need to check for 2 and 3 separately. It will be handled in the general case where you check if the number is divisible by 2 or 3.",
        "category": "TP"
    },
    {
        "line_number": "9",
        "feedback": "Your loop condition is not correct. You should continue checking for divisibility until the square of the current number is less than or equal to the input number.",
        "category": "TP"
    },
    {
        "line_number": "10",
        "feedback": "You should return False as soon as you find a number that divides the input number. You don\'t need to set a flag and continue the loop.",
        "category": "FP-H"
    },
    {
        "line_number": "11",
        "feedback": "You should increment the current number by 6 in each iteration. This is because all prime numbers are of the form 6k ± 1, for some integer k.",
        "category": "TP"
    },
    {
        "line_number": "13",
        "feedback": "You should return True only after you have checked all possible divisors and found that the number is not divisible by any of them.",
        "category": "TP"
    }
]</t>
  </si>
  <si>
    <t>[
    {
    "line_number": "2",
    "feedback": "Indentation is incorrect. Python uses indentation to determine the grouping of statements.",
        "category": "FP-H"
    },
    {
    "line_number": "2",
    "feedback": "The for loop should iterate over a range of numbers from 2 to n, not a tuple (2, n). Use the range() function to generate the sequence of numbers.",
        "category": "TP"
    },
    {
    "line_number": "3",
    "feedback": "Variable 'x' is not defined. You don't need to use an additional variable. You can return False directly if n is divisible by i.",
        "category": "TP"
    },
    {
    "line_number": "2",
    "feedback": "You need to handle the case where n is less than or equal to 1. According to the definition, these numbers are not prime.",
        "category": "TP"
    },
    {
    "line_number": "5",
    "feedback": "You should return True after the for loop. If n is not divisible by any number in the range, it means that n is a prime number.",
        "category": "TP"
    }
]</t>
  </si>
  <si>
    <t>def is_prime(n):
    if n == 1:
        return False
    x = int(n ** 0.5) + 1
    for i in range(2,x):
        if n % i == 0:
            return False
    return True</t>
  </si>
  <si>
    <t>[
    {
        "line_number": "8",
        "feedback": "The else clause is not necessary in this loop. The loop should continue to check all possible factors of the number. If the number is not divisible by any of the numbers in the range, then it is a prime number. Therefore, the return True statement should be outside the loop.",
        "category": "TP"
    },
    {
        "line_number": "10",
        "feedback": "The pass statement is not needed here. It is used when a statement is required syntactically, but you do not want any command or code to execute.",
        "category": "FP-E"
    }
]</t>
  </si>
  <si>
    <t>def is_prime(n):
    if n &lt;= 1:
        return False
    for x in range(2,int(n**0.5)+1):
        if n%x == 0:
            return False
    return True</t>
  </si>
  <si>
    <t>[
    {
        "line_number": "2",
        "feedback": "Indentation is incorrect. The statements inside the function should be indented.",
        "category": "FP-H"
    },
    {
        "line_number": "2",
        "feedback": "You need to initialize "ans" as True, not 0. But in this case, you don\'t need "ans" variable. You can return False directly when you find a factor.",
        "category": "TP"
    },
    {
        "line_number": "3",
        "feedback": "The range should start from 2 because every number is divisible by 1. And it should go up to sqrt(n)+1 because a larger factor of n must be a multiple of smaller factor that has already been checked.",
        "category": "TP"
    },
    {
        "line_number": "4",
        "feedback": "If n is divisible by x, then n is not a prime number. So, you should return False.",
        "category": "TP"
    },
    {
        "line_number": "6",
        "feedback": "You should return True outside the loop. If n is not divisible by any x, then n is a prime number.",
        "category": "TP"
    },
    {
        "line_number": "2",
        "feedback": "You should check if n is less than or equal to 1. If so, return False because 1 is not a prime number and negative numbers are not considered prime.",
        "category": "TP"
    }
]</t>
  </si>
  <si>
    <t>def is_prime(n):
    if n == 1:
        return False
    x = 2
    while x * x &lt;= n:
        if n % x:
            x += 1
        else:
            return False
    return True</t>
  </si>
  <si>
    <t>[
    {
        "line_number": "2",
        "feedback": "Your initial value of x should be 2, not 1. Because every number is divisible by 1, so starting from 2 makes more sense.",
        "category": "FP-I"
    },
    {
        "line_number": "3",
        "feedback": "Your loop should run until x * x &lt;= n, not until x &lt;= 20. This is because a larger number n can have factors greater than 20.",
        "category": "TP"
    },
    {
        "line_number": "5",
        "feedback": "You need to increment x only when n is not divisible by x, which is when n % x is not 0. So, the increment statement x += 1 should be inside the if block.",
        "category": "FP-I"
    },
    {
        "line_number": "7",
        "feedback": "If n is divisible by x, then n is not a prime number. So, you should return False in this case.",
        "category": "TP"
    },
    {
        "line_number": "8",
        "feedback": "After the loop, if no factor of n is found, then n is a prime number. So, you should return True in this case.",
        "category": "TP"
    },
    {
        "line_number": "2",
        "feedback": "You did not handle the special case of n=1. Recall, n=1 is not a prime number",
        "category": "FN"
    }
]</t>
  </si>
  <si>
    <t>def is_prime(n): 
    if n &lt; 2:
        return False
    for x in range (2, n): 
        if n % x == 0: 
            return False
    return True</t>
  </si>
  <si>
    <t>[
    {
        "line_number": "2",
        "feedback": "You need to check if the number is less than 2 and return False in that case, because 1 is not a prime number and negative numbers are not considered prime.",
        "category": "TP"
    },
    {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
    {
        "line_number": "6",
        "feedback": "You do not need to check if x == n - 1. If the function has not returned False after checking all numbers from 2 to n-1, it means that n is a prime number. So, you should return True at the end of the function.",
        "category": "FP-E"
    },
    {
        "line_number": "7",
        "feedback": "There is no variable or value named "statement". You should return True or False based on whether the number is prime or not.",
        "category": "TP"
    }
]</t>
  </si>
  <si>
    <t>[
    {
        "line_number": "2",
        "feedback": "Indentation is very important in Python. Your function definition and the code inside it should not be on the same level of indentation.",
        "category": "FP-H"
    },
    {
        "line_number": "2",
        "feedback": "Your loop should start from 2 because any number can be divided by 1.",
        "category": "FP-I"
    },
    {
        "line_number": "4",
        "feedback": "You should not return False as soon as you find a number that divides the input number. You should only return False if you find a number other than 1 and the number itself that divides the input number.",
        "category": "FP-I"
    },
    {
        "line_number": "6",
        "feedback": "You should not return True inside the loop. If the loop completes without finding any number that divides the input number other than 1 and the number itself, then you should return True.",
        "category": "TP"
    },
    {
        "line_number": "2",
        "feedback": "You need to handle the case when the input number is less than or equal to 1. In such cases, your function should return False because 1 is not a prime number and there are no prime numbers less than 1.",
        "category": "TP"
    }
]</t>
  </si>
  <si>
    <t>import math
def is_prime(n):
    x = 2
    if n == 1:
        return False
    elif n == 2:
        return True
    while x &lt;= math.sqrt(n):
        if n % x == 0:
            return False
        x += 1
    return True</t>
  </si>
  <si>
    <t>[
    {
    "line_number": "8",
    "feedback": "The condition in your while loop should be 'x &lt;= math.sqrt(n)' instead of 'x &lt; math.sqrt(n)'. This is because you want to check all numbers up to and including the square root of n. If you only check numbers less than the square root of n, you might miss out on a factor and incorrectly identify a composite number as a prime number.",
        "category": "TP"
    }]</t>
  </si>
  <si>
    <t>def perfect(n):
    list1 = list()
    x = 1
    while x * x &lt;= n:
        if n % x == 0:
            list1.append(x)
            if x * x != n:
                list1.append(n // x)
        x = x + 1
    y = sum(list1) - n
    if n == y:
        ans = True
    else:
        ans = False
    return ans</t>
  </si>
  <si>
    <t>[
    {
        "line_number": "5",
        "feedback": "You should use the modulus operator (%) instead of division (/) to check if a number is a divisor of n. The modulus operator gives the remainder of the division of two numbers. If the remainder is 0, then the number is a divisor of n.",
        "category": "TP"
    },
    {
        "line_number": "5",
        "feedback": "The loop should continue while x * x is less than or equal to n. This is because for a number n, you don't need to check for divisors greater than sqrt(n).",
        "category": "FP-E"
    },
    {
        "line_number": "7",
        "feedback": "You should also add n // x to the list of divisors. This is because if x is a divisor of n, then n // x is also a divisor of n.",
        "category": "FP-E"
    },
    {
        "line_number": "9",
        "feedback": "You should subtract n from the sum of its divisors. This is because a perfect number is a positive integer that is equal to the sum of its proper divisors, which does not include the number itself.",
        "category": "FP-E"
    }
]</t>
  </si>
  <si>
    <t>def is_perfect(n):
    sum = 1
    i = 2
    while i * i &lt;= n:
        if n % i:
            i += 1
        else:
            if i * (n // i) == n:
                sum = sum + i + n//i
            else:
                sum = sum + i
            i += 1
    return sum == n and n!=1</t>
  </si>
  <si>
    <t>[
    {
    "line_number": "1",
    "feedback": "The function name and the logic inside does not match with the problem description. You need to write a function to check if a number is perfect, not to solve the Collatz problem.",
        "category": "TP"
    },
    {
    "line_number": "2",
    "feedback": "The logic inside the function is incorrect. You need to calculate the sum of proper divisors and check if it equals to the input number.",
        "category": "TP"
    }
]</t>
  </si>
  <si>
    <t>def perfect(n):
    if sum(i for i in range(1, n//2 + 1) if n % i == 0) == n:
        ans = True
    else:
        ans = False
    return ans</t>
  </si>
  <si>
    <t>[
    {
        "line_number": "2",
        "feedback": "The range of numbers to check for divisors should start from 1, not 2, because 1 is a proper divisor of every number.",
        "category": "FP-I"
    },
    {
        "line_number": "2",
        "feedback": "The range should go up to n//2 + 1, not n/2. The division operator / returns a float, but we need an integer for the range function. Also, the range function goes up to but does not include the stop value, so we need to add 1 to include n//2.",
        "category": "TP"
    },
    {
        "line_number": "2",
        "feedback": "The sum of the proper divisors should be equal to n, not n - 1, to meet the definition of a perfect number.",
        "category": "FP-I"
    }
]</t>
  </si>
  <si>
    <t>def is_perfect_number(n):
    sum_of_divisors = 0
    for i in range(1, n):
        if n % i == 0:
            sum_of_divisors += i
    return sum_of_divisors == n</t>
  </si>
  <si>
    <t>[
    {
    "line_number": "1",
    "feedback": "The function name and parameters do not match the problem description. Please make sure you read the problem description carefully.",
        "category": "TP"
    },
    {
    "line_number": "2",
    "feedback": "The logic of your code does not match the problem description. You need to calculate the sum of proper divisors of the input number and check if it equals the number itself.",
        "category": "TP"
    },
    {
    "line_number": "3",
    "feedback": "The loop in your code does not serve the purpose of the problem. You need a loop to iterate over the numbers less than the input number to find its proper divisors.",
        "category": "TP"
    },
    {
    "line_number": "4",
    "feedback": "The string concatenation operation in your code is not needed for this problem. You need to calculate the sum of proper divisors, which is a numerical operation.",
        "category": "TP"
    }
]</t>
  </si>
  <si>
    <t>def perfect(n):
    sum = 1
    i = 2
    while i * i &lt;= n:
        if n % i:
            i += 1
        else:
            if i * (n // i) == n:
                sum = sum + i + (n//i)
            else:
                sum = sum + i
            i += 1
    return sum == n</t>
  </si>
  <si>
    <t>[
    {
        "line_number": "2",
        "feedback": "Your function currently does nothing. You need to implement the logic to check if a number is perfect. A number is perfect if the sum of its proper divisors is equal to the number itself.",
        "category": "TP"
    },
    {
        "line_number": "2",
        "feedback": "You can start by initializing a variable "sum" to 1, as 1 is a divisor for every number.",
        "category": "TP"
    },
    {
        "line_number": "2",
        "feedback": "Then, iterate from 2 to the square root of the number. For each i, check if it is a divisor of the number. If it is, add it and the result of the division to the sum.",
        "category": "TP"
    },
    {
        "line_number": "2",
        "feedback": "Finally, return whether the sum is equal to the number. This will be True for perfect numbers and False otherwise.",
        "category": "TP"
    }
]</t>
  </si>
  <si>
    <t>def perfect(n):
    if n &lt; 1:
        return False
    Sum = 0
    for i in range(1, n):
        if(n % i == 0):
            Sum = Sum + i
    if (Sum == n):
        return True
    else:
        return False</t>
  </si>
  <si>
    <t>[
    {
        "line_number": "2",
        "feedback": "The condition should be "n &lt; 1" instead of "n &lt; 0" because the problem statement specifies that the input is a positive integer.",
        "category": "TP"
    },
    {
        "line_number": "3",
        "feedback": "There is no need to assign a string "False" to variable b. You can directly return False.",
        "category": "TP"
    },
    {
        "line_number": "7",
        "feedback": "The check for "Sum == n" should be outside the for loop. The sum of all proper divisors should be compared with the number after all the divisors have been summed up.",
        "category": "FP-E"
    },
    {
        "line_number": "8",
        "feedback": "Instead of assigning True or False to a variable, you can directly return the result.",
        "category": "TP"
    }
]</t>
  </si>
  <si>
    <t>def perfect(n):
    ans = 0 
    for x in range(1,n):
        if n % x == 0:
            ans += x
        if ans &gt; n:
            break
    return ans == n</t>
  </si>
  <si>
    <t>[
    {
        "line_number": "5",
        "feedback": "Use the modulus operator (%) to check if a number is a divisor of n, not division (/).",
        "category": "TP"
    },
    {
        "line_number": "6",
        "feedback": "You should add the divisor to the sum directly, no need to check if it is equal to n at this stage.",
        "category": "FP-H"
    },
    {
        "line_number": "8",
        "feedback": "You don\'t need to increment x manually, the for loop does it for you.",
        "category": "TP"
    },
    {
        "line_number": "9",
        "feedback": "You should break the loop when the sum of divisors is greater than n, not less than or equal to n.",
        "category": "TP"
    },
    {
        "line_number": "10",
        "feedback": "You don\'t need to check if the sum of divisors is equal to n inside the loop. You can do it after the loop.",
        "category": "TP"
    },
    {
        "line_number": "13",
        "feedback": "You should return the result directly, no need to assign it to a variable.",
        "category": "FP-E"
    }
]</t>
  </si>
  <si>
    <t>def perfect(n):
    x = 1
    fac_sum = 0
    while x &lt; n:
        if n%x == 0:
            fac_sum += x
        x+=1
    if fac_sum == n:
        ans = True
    else:
        ans = False
    return ans</t>
  </si>
  <si>
    <t>[
    {
    "line_number": "2",
    "feedback": "The variable x should start from 1, not 0, as we are finding the divisors of the number.",
        "category": "FP-I"
    },
    {
    "line_number": "4",
    "feedback": "The while loop should run till x &lt; n, not till x &lt;= 1000000. We are looking for divisors of the number n, so we only need to check till n.",
        "category": "FP-E"
    },
    {
    "line_number": "10",
    "feedback": "The condition to check if a number is perfect is incorrect. A number is perfect if the sum of its proper divisors is equal to the number itself. So, you should check if fac_sum == n.",
        "category": "FP-E"
    },
    {
    "line_number": "7",
    "feedback": "The increment of x should be after the if condition. This is because we want to check if x is a divisor of n before we increment x.",
        "category": "FP-I"
    },
{
        "line_number": "5",
        "feedback": "The loop should iterate from 1 to n-1 (exclusive) to find the proper divisors.",
        "category": "FN"
    },
    {
        "line_number": "11",
        "feedback": "Instead of checking if fac_sum//2 is equal to n, check if fac_sum is equal to n.",
        "category": "FN"
    }
]</t>
  </si>
  <si>
    <t>def stop_time(n):
    a = 0
    while n != 1:
        if n % 2 == 0:
            n = n // 2
        else:
            n = (3 * n) + 1
        a += 1
    return a</t>
  </si>
  <si>
    <t>[
    {
    "line_number": "7",
    "feedback": "You forgot to return the result. Remember, in Python, if you do not explicitly return a value from a function, it will return None by default. Here, you need to return the variable "a" which is used to count the number of operations.",
        "category": "TP"
    }]</t>
  </si>
  <si>
    <t>def hailstone(n):
    count = 0
    assert n &gt; 0
    while n &gt; 1:
        if n % 2 == 0:
            n = n / 2
        else:
            n = (n * 3) + 1
        count += 1
    return count
result = hailstone(10)
print(result)</t>
  </si>
  <si>
    <t>[
    {
    "line_number": "2",
    "feedback": "The count should start from 0, not 1. Because when n is 1, no operation is needed.",
        "category": "TP"
    },
    {
    "line_number": "4",
    "feedback": "You should not print the value of n in the function. It is not necessary for the task.",
        "category": "FP-E"
    },
    {
    "line_number": "5",
    "feedback": "You should use a while loop instead of an if statement to keep reducing the value of n until it becomes 1.",
        "category": "TP"
    },
    {
    "line_number": "6",
    "feedback": "You should not call the function recursively. Instead, you should update the value of n in each iteration of the loop.",
        "category": "FP-I"
    }
]</t>
  </si>
  <si>
    <t>def stop_time(n):
    drstop = 0
    while n != 1:
        if n % 2 == 0:
            n //= 2
        else:
            n = 3 * n + 1
        drstop = drstop + 1
    return drstop</t>
  </si>
  <si>
    <t>[
    {
        "line_number": "6",
        "feedback": "There is a typo in your code. Instead of ""3 * 27n + 1"", it should be ""3 * n + 1"". The ""27"" seems to be a typo and should be removed.",
        "category": "TP"
    }
]</t>
  </si>
  <si>
    <t>def stop_time(n): 
    n = int(n)
    x=0
    while n!=1:
        x+=1
        if n%2==0:
            n/=2
        else:
            n=n*3+1   
    return x</t>
  </si>
  <si>
    <t>[
    {
    "line_number": "2",
    "feedback": "The input to the function is a string. You should convert it to an integer before performing the operations.",
        "category": "FP-H"
    },
   {
        "line_number": "6",
        "feedback": "Use floor division (//) instead of regular division (/) to ensure the result is an integer.",
        "category": "FN"
    },
   {
        "line_number": "9",
        "feedback": "You have an indentation error in return x statement.",
        "category": "FN"
    }
]</t>
  </si>
  <si>
    <t>def stop_time(n):
    count = 0
    while n != 1:
        if n % 2 == 0:
            n /= 2
            count += 1
        else:
            n = n * 3 + 1
            count += 1
    return count</t>
  </si>
  <si>
    <t>[
    {
    "line_number": "3",
    "feedback": "You should continue the while loop until n becomes 1, not 0. So, the condition in the while loop should be "n != 1" instead of "n != 0".",
        "category": "TP"
    },
   {
        "line_number": "6",
        "feedback": "Use floor division (//) instead of regular division (/) to ensure the result is an integer.",
        "category": "FN"
    }]</t>
  </si>
  <si>
    <t>[
    {
    "line_number": "2",
    "feedback": "Indentation is very important in Python. It indicates a block of code. Make sure to indent your code correctly.'
    }]</t>
  </si>
  <si>
    <t>[
    {
        "line_number": "2",
        "feedback": "You forgot to initialize the variable "ans". Always remember to initialize your variables before using them.",
        "category": "TP"
    },
    {
        "line_number": "3",
        "feedback": "You were asked to use a "for" loop, but you used a "while" loop instead. In Python, you can use the "range()" function in a "for" loop to iterate over a sequence of numbers.",
        "category": "TP"
    }
]</t>
  </si>
  <si>
    <t>def consecutiveSum(a, b):
    ans = 0
    for x in range(a, b+1): 
        ans += x
    return ans</t>
  </si>
  <si>
    <t>[
    {
        "line_number": "2",
        "feedback": "You need to initialize the variable "ans" before the loop. This is because you are trying to add values to "ans" in the loop, but "ans" is not defined before the loop.",
        "category": "TP"
    },
    {
        "line_number": "3",
        "feedback": "The range function in Python does not include the end value. So, if you want to include the end value, you should add 1 to the end value.",
        "category": "TP"
    },
    {
        "line_number": "3",
        "feedback": "You are not correctly adding the values in the range to "ans". You should add "x" to "ans" in each iteration of the loop, not "a + x + b".",
        "category": "TP"
    }
]</t>
  </si>
  <si>
    <t>def consecutiveSum(a,b):
    ans=0
    while a&lt;b+1:
        ans=ans+a
        a+=1
    return ans</t>
  </si>
  <si>
    <t>[
    {
    "line_number": "4",
    "feedback": "You are adding 1 to the answer in each iteration, instead you should add the current value of "a".",
        "category": "TP"
    }]</t>
  </si>
  <si>
    <t>def consecutiveSumEven(a, b):
    ans = 0
    if a % 2 != 0:    
        a += 1
    for t in range(a , b + 1 , 2 ):
        ans += t
    return ans</t>
  </si>
  <si>
    <t>[
    {
        "line_number": "2",
        "feedback": "You need to initialize the variable "ans" before using it in your loop.",
        "category": "TP"
    },
    {
        "line_number": "3",
        "feedback": "Your condition to check if "a" is even is incorrect. It should be "a % 2 != 0" to check if "a" is odd.",
        "category": "FP-H"
    },
    {
        "line_number": "4",
        "feedback": "The range in your loop should be from "a" to "b + 1" to include "b" in the range.",
        "category": "FP-E"
    },
    {
        "line_number": "5",
        "feedback": "You do not need to check if "b" is even inside the loop. The step of 2 in your range function will automatically skip odd numbers.",
        "category": "FP-H"
    }
]</t>
  </si>
  <si>
    <t>def consecutiveSumEven(a, b):
    if a%2 != 0: #odd a
        a += 1
    if b%2 != 0: #odd b
        b -= 1
    ans = 0
    for n in range(a, b+1, 2):
        ans = ans + n
    return ans</t>
  </si>
  <si>
    <t>[
    {
        "line_number": "2",
        "feedback": "You need to check if the start and end numbers 'a' and 'b' are even or odd. If 'a' is odd, you should start the sum from the next even number. If 'b' is odd, you should stop the sum at the last even number. You can do this by checking if 'a' or 'b' is divisible by 2 (i.e., a%2 != 0 or b%2 != 0). If 'a' is odd, add 1 to it to make it even. If 'b' is odd, subtract 1 from it to make it even.",
        "category": "TP"
    },
    {
        "line_number": "6",
        "feedback": "In your for loop, you should increment the counter by 2 (instead of 1) to ensure that you are only adding even numbers. You can do this by changing the third parameter of the range function from 1 to 2 (i.e., range(a, b+1, 2)).",
        "category": "TP"
    }
]</t>
  </si>
  <si>
    <t>def consecutiveSumEven(a, b):
    #add your code below
    if a%2 != 0: #odd a
        a += 1
    if b%2 != 0: #odd b
        b -= 1
    ans = 0
    for i in range(a, b+1, 2):
        ans = ans + i
    return ans</t>
  </si>
  <si>
    <t>[
    {
        "line_number": "2",
        "feedback": "You have not written any code in the function. Please write the code to calculate the sum of consecutive even numbers within a given range.",
        "category": "TP"
    },
    {
        "line_number": "5",
        "feedback": "The variable "ans" is not defined in your function. Please define and calculate "ans" as the sum of consecutive even numbers within the given range.",
        "category": "TP"
    }
]</t>
  </si>
  <si>
    <t>def consecutiveSumEven(a, b):
    ans=0
    if a%2==1:
        a=a+1
    else:
        a=a
    if b%2==1:
        b=b-1
    else:
        b=b
    for i in range(a,b+1,2):
        ans+=i
    return ans</t>
  </si>
  <si>
    <t>[
    {
        "line_number": "7",
        "feedback": "You have correctly handled the case when "a" is odd, but you forgot to handle the case when "b" is odd. If "b" is odd, you should subtract 1 from it to make it even.",
        "category": "TP"
    },
    {
        "line_number": "12",
        "feedback": "In your for loop, you are not including the upper limit "b" in your range. In Python, the upper limit in the range function is exclusive, so you need to add 1 to "b" in the range function to include it.",
        "category": "TP"
    }
]</t>
  </si>
  <si>
    <t>def consecutiveSumEven(a,b):
    ans=0
    if a%2==0:
        for i in range(a, b+1, 2):
            ans=ans+i
    else:
        a+=1
        for i in range(a, b+1, 2):
            ans=ans+i
    return ans</t>
  </si>
  <si>
    <t>[
    {
        "line_number": "3",
        "feedback": "You should use the modulo operator (%) to check if a number is even or odd. The expression a%2==0 will return True if a is even.",
        "category": "FP-E"
    },
    {
        "line_number": "4",
        "feedback": "You should use a for loop instead of a while loop to iterate through the range of numbers. The range function can be used with a step of 2 to only include even numbers.",
        "category": "TP"
    },
    {
        "line_number": "7",
        "feedback": "You should use a for loop instead of a while loop to iterate through the range of numbers. After incrementing a by 1, the range function can be used with a step of 2 to only include even numbers.",
        "category": "TP"
    },
    ,
    {
        "line_number": "4",
        "feedback": "You have a syntax error at while condition. The condition should be a &lt; b+1. '1' is missing",
        "category": "FN"
    }
]</t>
  </si>
  <si>
    <t>def smallestNsq(K):
    n = 1
    while n**2 &lt;= K:
        n+=1
    return n</t>
  </si>
  <si>
    <t>[
    {
        "line_number": "5",
        "feedback": "You are returning a variable "ans" which is not defined in your function. You should return the variable "n" which is the smallest integer such that the square of "n" is greater than a given positive integer "K".",
        "category": "TP"
    }
]</t>
  </si>
  <si>
    <t>def smallestNsq(K):
    n = 1
    while n**2 &lt;= K:
        n = n + 1
    return n</t>
  </si>
  <si>
    <t>[
    {
        "line_number": "2",
        "feedback": "You forgot to initialize the variable 'n'. Always remember to initialize your variables before using them.",
        "category": "TP"
    },
    {
        "line_number": "3",
        "feedback": "The condition in the while loop is incorrect. It should be 'n**2 &lt;= K' to find the smallest 'n' such that 'n**2' is greater than 'K'.",
        "category": "TP"
    },
    {
        "line_number": "3",
        "feedback": "Don't forget to use a colon at the end of the while statement. This is a syntax requirement in Python.",
        "category": "TP"
    }
]</t>
  </si>
  <si>
    <t>[
    {
        "line_number": "2",
        "feedback": "You have not written any code inside the function. You need to implement the logic of finding the smallest integer n such that n^2 is greater than K. You can do this by initializing n to 1 and then incrementing n in a while loop until n^2 is greater than K.",
        "category": "TP"
    },
    {
        "line_number": "3",
        "feedback": "You are returning a variable "ans" which is not defined anywhere in your code. Instead, you should return the variable "n" which holds the smallest integer n such that n^2 is greater than K.",
        "category": "TP"
    }
]</t>
  </si>
  <si>
    <t>def smallestNsq(K):
    n=1
    while n**2 &lt;= K:
        n+=1
    return n</t>
  </si>
  <si>
    <t>[
    {
        "line_number": "3",
        "feedback": "You should check if n**2 is less than or equal to K in the while loop condition. The loop should continue until n**2 is greater than K.",
        "category": "TP"
    },
    {
        "line_number": "5",
        "feedback": "There is no need to assign n to ans. You can directly return n after the while loop.",
        "category": "FP-E"
    }
]</t>
  </si>
  <si>
    <t>[
    {
        "line_number": "2",
        "feedback": "You should initialize n as 1, not 0. Because, 0 squared is still 0 and it will not help in finding the smallest integer n.",
        "category": "FP-E"
    },
    {
        "line_number": "5",
        "feedback": "There is no need to format the answer. The function should return an integer, not a string.",
        "category": "TP"
    }
]</t>
  </si>
  <si>
    <t>def smallestNsq(K):
    if K&gt;0:
        n=0
        while n**2&lt;=K:
            n=n+1
    return n</t>
  </si>
  <si>
    <t>[
    {
        "line_number": "5",
        "feedback": "The condition in the while loop should be n**2 &lt;= K, not n**2 &lt; K. This is because we want to find the smallest integer n such that n**2 is greater than K. If we use n**2 &lt; K, the loop will stop at the first integer n where n**2 is equal to K, not greater than K.",
        "category": "TP"
    },
    {
        "line_number": "7",
        "feedback": "The variable ans should be initialized before the while loop. Alternatively, you can directly return n",
        "category": "FN"
    }
]</t>
  </si>
  <si>
    <t>def pattern(n):
    s = ""
    for y in range(1,n+1):
       for x in range(1,y+1):
        s=s+str(y)
    return s</t>
  </si>
  <si>
    <t>[
    {
        "line_number": "4",
        "feedback": "You have used a wrong variable in the inner for loop. It should be "y" instead of "x". The inner loop should run "y" times, not "x" times.",
        "category": "TP"
    },
    {
        "line_number": "4",
        "feedback": "You should not use n as a loop variable as n in the parameter.",
        "category": "FN"
    }]</t>
  </si>
  <si>
    <t>def pattern(n):
    s = ""
    for i in range(n+1):
        for _ in range(i):
            s += str(i)
    return s</t>
  </si>
  <si>
    <t>[
    {
        "line_number": "2",
        "feedback": "You need to initialize an empty string at the start of your function to store the pattern.",
        "category": "TP"
    },
    {
        "line_number": "3",
        "feedback": "You should not use "n" as the variable in the inner loop as it is already used as the function argument. It is better to use another variable, like "_".",
        "category": "TP"
    },
    {
        "line_number": "4",
        "feedback": "Instead of printing each number, you should add it to the string "s".",
        "category": "TP"
    },
    {
        "line_number": "6",
        "feedback": "Your function should return the string "s", not None.",
        "category": "TP"
    }
]</t>
  </si>
  <si>
    <t>def pattern(n):
    s = ""
    for lol in range(1, n + 1):
        for ryan in range(lol):
            s += str(lol)
    return s</t>
  </si>
  <si>
    <t>[
    {
        "line_number": "5",
        "feedback": "You have used an undefined variable "leagueoflegend". It seems like you meant to use the variable "lol" instead. Always ensure that the variable you are using has been defined before.",
        "category": "TP"
    }
]</t>
  </si>
  <si>
    <t>def pattern(n):
    s = ""
    if n == 1:
        s = str(1)
    elif n &gt;=2:
        for i in range(1,n+1):
            a = str(i) * i
            s = s + a 
    return s</t>
  </si>
  <si>
    <t>[
    {
        "line_number": "3",
        "feedback": "You have initialized the variable "s" to 0 after declaring it as an empty string. This is not necessary and it is causing your function to return incorrect results. You should remove this line.",
        "category": "TP"
    },
    {
        "line_number": "8",
        "feedback": "You are converting the variable "a" to string again before concatenating it with "s". This is unnecessary as "a" is already a string. You should remove the str() function from this line.",
        "category": "FP-E"
    }
]</t>
  </si>
  <si>
    <t>def pattern(n):
    s = ""
    for a in range(1, n + 1):
        for b in range(a):
            s = s + "*"
        if a != n:
            s = s + "\n"
    return s</t>
  </si>
  <si>
    <t>[
    {
        "line_number": "5",
        "feedback": "You are supposed to add asterisks (*) to the string, not the value of the variable "a". Replace str(a) with "*".",
        "category": "TP"
    },
    {
        "line_number": "6",
        "feedback": "You need to add a newline character after each line except the last one. Add an if condition to check if the current line is not the last line, and if so, add a newline character.",
        "category": "TP"
    }
]</t>
  </si>
  <si>
    <t>def triangle1(dimension):
    s = ""
    #add your code here
    for N in range(dimension):
        s += "*" * (N+1)
        if N != dimension - 1:
            s += "\n"
    return s</t>
  </si>
  <si>
    <t>[
    {
    "line_number": "5",
    "feedback": "You should add a newline character after each line except the last one. You can achieve this by adding a condition to check if the current iteration is not the last one before appending the newline character.",
        "category": "TP"
    }]</t>
  </si>
  <si>
    <t>def triangle1(h):
    s = ""
    for i in range(1,h + 1):
        s = s + "*" * i
        if i != h:
            s = s + '\n'
    return s</t>
  </si>
  <si>
    <t>[
    {
    "line_number": "6",
    "feedback": "You do not need the second for loop "for x in range(1):". This loop only runs once for each value of i, so it is unnecessary.",
        "category": "FP-I"
    },
    {
    "line_number": "9",
    "feedback": "You should not print the result in the function. Instead, you should return the result so that it can be used elsewhere in the program.",
        "category": "TP"
    },
     {
    "line_number": "6",
    "feedback": "You loop should run for range(i) instead of range(1)",
        "category": "FN"
    }]</t>
  </si>
  <si>
    <t>def triangle1(n):
    s = ""
    for i in range(1,n+1):
        hue = "*" * i
        s += hue
        if i != n:
            s += "\n"
    return s</t>
  </si>
  <si>
    <t>[
    {
        "line_number": "5",
        "feedback": "You were close, but you made a typo in the newline character. It should be '\\n", not '/n'.",
        "category": "TP"
    }
]</t>
  </si>
  <si>
    <t>def triangle1(dimension):
    s = ""
    for count in range(1,dimension+1):
        for count in range(count):
            s = s + "*"
        if count&lt;dimension:
            s = s +"\n"
    return s</t>
  </si>
  <si>
    <t>[
    {
    "line_number": "5",
    "feedback": "You have declared and used a variable "i" which is not necessary for this function. The variable "count" in the outer loop is sufficient to control the number of lines in the triangle.",
        "category": "FP-E"
    },
    {
    "line_number": "8",
    "feedback": "There is a typo in your code. You wrote "dimention" instead of "dimension". Always be careful with spelling when writing code, as it can lead to unexpected errors.",
        "category": "TP"
    },
    {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"FN"
    }
]</t>
  </si>
  <si>
    <t>def triangle1(dimension):
    s = ""
    for n in range(1,dimension+1):
       for x in range(n):
            s+="*"
       if n!=dimension:
            s+="\n"
    return s</t>
  </si>
  <si>
    <t>[
    {
    "line_number": "7",
    "feedback": "You have used '/n' instead of '\\n' for a new line. The correct symbol for a new line in Python is '\\n'.",
        "category": "TP"
    }]</t>
  </si>
  <si>
    <t>def triangle1(dimension):
    s = ""
    for i in range(1,dimension+1):
        for j in range(i):
            s += "*"
        if i!= dimension:
            s += "\n"
    return s</t>
  </si>
  <si>
    <t>[
    {
        "line_number": "3",
        "feedback": "You need to use nested for loops to generate the pattern of asterisks. The outer loop should iterate from 1 to the input number (inclusive), and the inner loop should iterate as many times as the current number of the outer loop. This will ensure that each line of the pattern has one more asterisk than the line before it.",
        "category": "TP"
    },
    {
        "line_number": "4",
        "feedback": "In the inner loop, you should append an asterisk to the string for each iteration.",
        "category": "TP"
    },
    {
        "line_number": "5",
        "feedback": "After each iteration of the outer loop (except for the last iteration), you should append a newline character to the string. This will ensure that each line of asterisks is on a new line.",
        "category": "TP"
    }
]</t>
  </si>
  <si>
    <t>def triangle1(n):
    s = ""
    for k in range(1,n+1):
        s = s + "*" * k
        if k &lt; n:
            s = s + "\n"
    return s</t>
  </si>
  <si>
    <t>[
    {
        "line_number": "3",
        "feedback": "You do not need to use an extra variable "A". You can build the string "s" directly.",
        "category": "FP-E"
    },
    {
        "line_number": "5",
        "feedback": "You need to add "*" k times in each iteration, not just once. You can do this by using the multiplication operator "*" with strings.",
        "category": "TP"
    },
    {
        "line_number": "6",
        "feedback": "You need to add a newline character "\\n" to the string "s" after each line, except the last one. Also, you made a typo in the newline character. It should be "\\n", not "/n".",
        "category": "TP"
    },
    {
        "line_number": "7",
        "feedback": "You should return the string "s", not "A".",
        "category": "FP-H"
    }
]</t>
  </si>
  <si>
    <t>def triangle2(dimension):
    s = ""
    for i in range(1,dimension+1):
        for j in range(1,i+1):
            s = s + "*"
        if i != dimension:
            s = s + "\n"
    return s</t>
  </si>
  <si>
    <t>[
    {
        "line_number": "5",
        "feedback": "You should append "*" to the string "s" instead of str(i). The task is to generate a pattern of asterisks.",
        "category": "TP"
    },
    {
        "line_number": "7",
        "feedback": "The condition in the if statement should be "i != dimension" instead of "i == dimension". This is because you want to add a newline character after each line except the last one.",
        "category": "FP-I"
    },
    {
        "line_number": "2",
        "feedback": "The function name should be 'triangle1' as per the problem statement.",
        "category": "FN"
    },
    {
        "line_number": "7",
        "feedback": "The condition in the if statement should be 'i &lt; dimension' instead of 'i == dimension'. This is because you want to add a newline character after each line except the last one.",
        "category": "FN"
    }
]</t>
  </si>
  <si>
    <t>def triangle1(n):
    result = ""
    for i in range(n):
        for j in range(i+1):
            result += "*"
        if i != n-1:
            result += "\n"
    return result</t>
  </si>
  <si>
    <t>[
    {
        "line_number": "5",
        "feedback": "There is a syntax error in your code. You should not have a space between "!" and "=" in the condition of the if statement. It should be "!=" instead of "! =".",
        "category": "TP"
    }]</t>
  </si>
  <si>
    <t>def triangle2(n):
    s = ""
    for i in range(1,n+1):
        for j in range(1,i+1):
            s += str(j)
        if i!= n:
            s += "\n"
    return s</t>
  </si>
  <si>
    <t>[
    {
        "line_number": "4",
        "feedback": "You should iterate from 1 to i+1 to get the correct sequence of numbers for each line. Also, you should append the number j to the string, not the "*" character.",
        "category": "TP"
    }
]</t>
  </si>
  <si>
    <t>def patternPyramid(d):
    s = ""
    ans = ""
    for a in range(1, d + 1):
        s = s + str(a)
        if a &lt; d:
            ans = ans + s + "\n"
        else:
            ans = ans + s
    return(ans)</t>
  </si>
  <si>
    <t>[
    {
        "line_number": "3",
        "feedback": "The pattern you are trying to generate is not correct. You are appending "*" to the string "s" in each iteration, but you should be appending the current number in the loop.",
        "category": "TP"
    },
    {
        "line_number": "2",
        "feedback": "The function name should be "patternPyramid" as per the problem statement.",
        "category": "TP"
    },
    {
        "line_number": "4",
        "feedback": "You need to use nested loops to generate the correct pattern. The inner loop should append the numbers from 1 to the current number of the outer loop.",
        "category": "FN"
    },
    {
        "line_number": "6",
        "feedback": "You need to add a newline character after each line except the last one. You should check if the current number is less than 'd' before adding a newline character.",
        "category": "FN"
    }
]</t>
  </si>
  <si>
    <t>def triangle2(dimension):
    s = ""
    for D in range(1, dimension+1):
        for T in range(1, D+1):
           s += str(T)
        if D != dimension:
            s+= "\n"
    return s</t>
  </si>
  <si>
    <t>[
    {
        "line_number": "4",
        "feedback": "The range in the first for loop should start from 1 and end at dimension+1. This is because the range function in Python includes the start value but excludes the end value. So, to iterate from 1 to dimension (both inclusive), you should use range(1, dimension+1).",
        "category": "FP-E"
    },
    {
        "line_number": "5",
        "feedback": "The range in the second for loop should also start from 1 and end at D+1. This is to ensure that the correct number of digits are added to the string s in each iteration.",
        "category": "TP"
    },
    {
        "line_number": "6",
        "feedback": "You should add the string representation of T to s, not the sum of D and T + 2. This is because we want to append the numbers from 1 to D in each iteration, not their sum with D.",
        "category": "TP"
    },
    {
        "line_number": "8",
        "feedback": "You should add a newline character ("\\n") to s if D is not equal to dimension, not "/n". The newline character in Python is represented by "\\n", not "/n".",
        "category": "TP"
    }
]</t>
  </si>
  <si>
    <t>def triangle2(h):
    s = ""
    for i in range(1,h + 1):
        if i &gt; 1:
            s = s + "\n"
        for x in range(1, i + 1):
            s = s + str(x)
    return s</t>
  </si>
  <si>
    <t>[
    {
        "line_number": "3",
        "feedback": "You do not need to initialize variable n. The variable i in the outer loop already serves the purpose of incrementing the number of digits in each line.",
        "category": "FP-E"
    },
    {
        "line_number": "6",
        "feedback": "The condition in your if statement is incorrect. You should add a newline character after the first line, so the condition should be i &gt; 1.",
        "category": "FP-H"
    },
    {
        "line_number": "7",
        "feedback": "The range in your inner loop should start from 1 and end at i + 1. This is because you want to print all numbers from 1 to i in each line.",
        "category": "TP"
    },
    {
        "line_number": "8",
        "feedback": "You should append the variable x (converted to string) to the string s, not i. This is because you want to print all numbers from 1 to i in each line.",
        "category": "TP"
    }
]</t>
  </si>
  <si>
    <t>def triangle2(n):
    s = ""
    for i in range(1, n + 1):
        for j in range(1, i + 1):
            s += str(j)
        if i != n:
            s += "\n"
    return s</t>
  </si>
  <si>
    <t>[
    {
        "line_number": "4",
        "feedback": "The condition "if i == n: break" is not necessary and it is causing the last line of the pattern to be skipped. You should remove this condition.",
        "category": "TP"
    },
    {
        "line_number": "6",
        "feedback": "The inner loop should iterate from 1 to i + 1, not from 1 to n + 3 - i. This is because for each line i, we want to print the numbers from 1 to i, not from 1 to n + 3 - i.",
        "category": "TP"
    },
    {
        "line_number": "9",
        "feedback": "You forgot to add a newline character at the end of each line except the last one. You can do this by checking if i is not equal to n, and if so, add a newline character.",
        "category": "TP"
    }
]</t>
  </si>
  <si>
    <t>def triangle2(dimension):
    s = ""
    i = 0
    for count in range(1,dimension+1):
        for x in range(1,count+1):
            s = s + str(x)
        i = i + 1
        if i &lt; dimension:
            s = s + "\n"
    return s</t>
  </si>
  <si>
    <t>[
    {
        "line_number": "9",
        "feedback": "You have used "/n" instead of "\\n" for newline. Please correct it.",
        "category": "TP"
    }]</t>
  </si>
  <si>
    <t>def triangle2(dimension):
    s = ""
    for n in range(1,dimension+1):
        for x in range(n):
            s+=str(x+1)
        if n != dimension:
            s+='\n'
    return s</t>
  </si>
  <si>
    <t>[
    {
    "line_number": "2",
    "feedback": "Indentation is important in Python. Make sure to indent your code properly.",
        "category": "FP-H"
    },
    {
    "line_number": "3",
    "feedback": "You forgot to put a colon at the end of the for loop statement.",
        "category": "TP"
    },
    {
    "line_number": "4",
    "feedback": "You forgot to put a colon at the end of the for loop statement.",
        "category": "TP"
    },
    {
    "line_number": "5",
    "feedback": "You used the variable c which is not defined anywhere in your code. You should use x instead.",
        "category": "TP"
    },
    {
    "line_number": "6",
    "feedback": "You forgot to put a colon at the end of the if statement.",
        "category": "TP"
    },
    {
    "line_number": "8",
    "feedback": "You used the string "/n" instead of "\\n" to create a new line.",
        "category": "TP"
    }
]</t>
  </si>
  <si>
    <t>def triangle2(dimension):
    s = ""
    for i in range(1, dimension+1):
        for j in range(1, i+1):
            s += str(j)
        if i != dimension:
            s += "\n"
    return s</t>
  </si>
  <si>
    <t>[
    {
        "line_number": "2",
        "feedback": "Indentation is important in Python. Your function body should be indented.",
        "category": "FP-H"
    },
    {
        "line_number": "3",
        "feedback": "The outer loop should start from 1 and go up to "dimension+1" to correctly form the pattern.",
        "category": "TP"
    },
    {
        "line_number": "4",
        "feedback": "You need a nested loop to form the pattern. The inner loop should also start from 1 and go up to "i+1".",
        "category": "TP"
    },
    {
        "line_number": "5",
        "feedback": "You should append the string "s" with the string representation of "j", not "i".",
        "category": "TP"
    },
    {
        "line_number": "6",
        "feedback": "The "print" function is not needed here. Instead, you should append a newline character to "s" if "i" is not equal to "dimension".",
        "category": "TP"
    },
    {
        "line_number": "7",
        "feedback": "The function should return the string "s" at the end.",
        "category": "TP"
    }
]</t>
  </si>
  <si>
    <t>def patternPyramid(dimension):
    s = ""
    for i in range(1, dimension+1):
        for j in range(1, i+1):
            s += str(j)
        if i != dimension:
            s += "\n"
    return s</t>
  </si>
  <si>
    <t>[
    {
        "line_number": "2",
        "feedback": "You should not use the same variable "s" for both the string and the loop counter. This is causing a conflict and an error in your code.",
        "category": "TP"
    },
    {
        "line_number": "4",
        "feedback": "You do not need to increment "s" in the inner loop. You should append the string representation of "j" to "s".",
        "category": "TP"
    },
    {
        "line_number": "5",
        "feedback": "The print statement is not needed here. You should append the numbers to the string "s" instead of printing them.",
        "category": "FP-E"
    },
    {
        "line_number": "6",
        "feedback": "The print statement is not needed here. You should append a newline character to the string "s" instead of printing a new line.",
        "category": "FP-E"
    },
    {
        "line_number": "1",
        "feedback": "The function name should be "patternPyramid" as per the problem statement.",
        "category": "FP-H"
    }
]</t>
  </si>
  <si>
    <t>def triangle3(h):
    s = ""
    for i in range(1,h + 1):
        gap = h - i
        s = s + " " *gap
        for z in range(1,i + 1):
            s = s + str(z)
        if i != h:
            s = s + '\n'
    return s</t>
  </si>
  <si>
    <t>[
    {
    "line_number": "7",
    "feedback": "In the inner loop, you should append the variable "z" to the string "s", not "i". Because "z" is the number that changes with each iteration of the inner loop, while "i" is the number that changes with each iteration of the outer loop.",
        "category": "TP"
    }]</t>
  </si>
  <si>
    <t>def triangle3(dimension):
    s = ""
    i = 0
    for count in range(1,dimension+1):
        s = s + " "*(dimension-count)
        for x in range(1,count+1):
            s = s+str(x)
        i = i + 1
        if i &lt; dimension:
            s = s+"\n"
    return s</t>
  </si>
  <si>
    <t>[
    {
    "line_number": "5",
    "feedback": "You forgot to add the space character in the multiplication operation. It should be \" \"*(dimension-count) instead of just *(dimension-count).",
        "category": "TP"
    }]</t>
  </si>
  <si>
    <t>def triangle3(dimension):
    s = ""
    for i in range (1, dimension+1):
        for v in range (dimension-i):
            s += " "
        for x in range(1,i+1):
            s += str(x)
        if i != dimension:
            s += '\n'
    return s</t>
  </si>
  <si>
    <t>[
    {
        "line_number": "2",
        "feedback": "You forgot to initialize the variable "s" which you are using to accumulate your string. Always remember to initialize your variables before using them.",
        "category": "TP"
    }
]</t>
  </si>
  <si>
    <t>def check_validity(lst):
    evensum=0
    oddsum=lst[0]
    if len(lst) == 13:
        for i in range(1,12,2):
            evensum=evensum+lst[i]
        evensum=evensum*3
        for j in range(0,13,2):
            oddsum=oddsum+lst[j]
        total = evensum + oddsum
        if total % 10 == 0:
            return True
        else:
            return False
    else:
        return False</t>
  </si>
  <si>
    <t>[
    {
    "line_number": "5",
    "feedback": "You should start the range from 1 and end at 12 for even positioned digits as per the problem statement. Remember, Python uses 0-based indexing.",
        "category": "TP"
    },
    {
    "line_number": "8",
    "feedback": "You should start the range from 0 and end at 13 for odd positioned digits as per the problem statement.",
        "category": "FP-I"
    },
    {
    "line_number": "11",
    "feedback": "You do not need to calculate abc and ans. You can directly check if the total sum (oddsum + evensum) is divisible by 10. If it is, then the barcode is valid.",
        "category": "FP-E"
    },
    {
    "line_number": "8",
    "feedback": "You should start the range from 0 and end at 12 for odd positioned digits as per the problem statement.",
        "category": "FN"
    }]</t>
  </si>
  <si>
    <t>def check_validity(lst):
    odd = []
    even = []
    if len(lst) != 13:
        return False
    check_digit = lst[-1]
    for a in range(0,len(lst) - 1,2):
        odd.append(lst[a])
    for b in range(1,len(lst) - 1,2):
        even.append(lst[b])
    e = sum(even) * 3 + sum(odd)
    if (e + check_digit) % 10 == 0:
        return True
    else:
        return False</t>
  </si>
  <si>
    <t>[
    {
        "line_number": "7",
        "feedback": "You are appending the wrong elements to the even list. The even positioned elements are at the odd indices. So, you should start your range from 1.",
        "category": "TP"
    },
    {
        "line_number": "9",
        "feedback": "You are appending the wrong elements to the odd list. The odd positioned elements are at the even indices. So, you should start your range from 0.",
        "category": "TP"
    },
    {
        "line_number": "11",
        "feedback": "You are not considering the check digit in the final sum. The check digit should be added to the sum of the products and sums of the even and odd positioned digits.",
        "category": "TP"
    }
]</t>
  </si>
  <si>
    <t>def check_validity(lst):
    if len(lst) != 13:
        return False
    oddnum = evennum = 0
    check = int(lst.pop())
    for i in range(len(lst)):
        if i % 2:
            oddnum += int(lst[i])
        else:
            evennum += int(lst[i])
    something = evennum * 3 + oddnum
    if (10 - something % 10) % 10 == check:
        return True
    else:
        return False</t>
  </si>
  <si>
    <t>[
    {
        "line_number": "5",
        "feedback": "You are popping the check digit from the list and assigning it to the variable "check". This is correct, but remember to convert it to an integer before assigning.",
        "category": "FP-E"
    },
    {
        "line_number": "7",
        "feedback": "In the for loop, you are adding the elements of the list to the variables "oddnum" and "evennum". This is correct, but remember to convert the elements to integers before adding.",
        "category": "FP-E"
    },
    {
        "line_number": "10",
        "feedback": "You are calculating the sum of the even positioned digits multiplied by 3 and the sum of the odd positioned digits. This is correct, but the check digit is not added to this sum. It is used to check the validity of the barcode. The check digit is the number that needs to be added to this sum to make it divisible by 10. So, you should calculate the remainder of this sum when divided by 10, subtract it from 10 and then compare it with the check digit. If the remainder is 0, the check digit should also be 0. So, you should calculate the check digit as (10 - sum % 10) % 10.",
        "category": "FP-I"
    },
   {
        "line_number": "8",
        "feedback": "The condition in the if statement should be i % 2 == 0 to check for even positions.",
        "category": "FN"
    }
]</t>
  </si>
  <si>
    <t>def check_validity(lst):
    if len(lst) != 13:
        return False
    else:
        lel = 0
        for x in range(1,13,2):
            lel += lst[x]
        lel = (lel * 3)
        for y in range(0,13,2):
            lel += lst[y]
        if lel % 10 == 0:
            return True
        else:
            return False</t>
  </si>
  <si>
    <t>[
    {
        "line_number": "9",
        "feedback": "You should include the 13th digit in the sum of the odd positioned digits.",
        "category": "TP"
    },
    {
        "line_number": "12",
        "feedback": "You do not need to convert the sum to a string and then add up its digits. You should directly check if the total sum is divisible by 10.",
        "category": "TP"
    },
    {
        "line_number": "14",
        "feedback": "You do not need to calculate the remainder when the sum is divided by 10 and compare it with the last digit. You should directly check if the total sum is divisible by 10.",
        "category": "TP"
    }
]</t>
  </si>
  <si>
    <t>def check_validity(lst):
    if len(lst) != 13:
        ANS = False
    elif len(lst) == 13:
        sum1 = lst[1] + lst[3] + lst[5] + lst[7] + lst[9] + lst[11]
        sum2 = lst[0] + lst[2] +lst[4] + lst[6] + lst[8] + lst[10] + lst[12]
        sum3 = ((sum1 * 3) + sum2) % 10
        if sum3 == 0:
            ANS = True
        else:
            ANS = False
    return ANS</t>
  </si>
  <si>
    <t>[
    {
        "line_number": "5",
        "feedback": "You are not considering the last digit (check digit) in the sum of odd positioned digits. Please include it in the sum2.",
        "category": "TP"
    },
    {
        "line_number": "7",
        "feedback": "The check digit is valid if the total sum of digits is divisible by 10, not if 10 minus the sum is equal to the last digit. So, you should check if sum3 is equal to 0.",
        "category": "TP"
    }
]</t>
  </si>
  <si>
    <t>def check_validity(lst):
    result = 0
    if len(lst) != 13:
        return False
    for i in range(0, len(lst)-1, 2):
        result = result + lst[i] + lst[i+1]*3
    if (result + lst[-1]) % 10 == 0:
        return True
    else:
        return False</t>
  </si>
  <si>
    <t>[
    {
        "line_number": "3",
        "feedback": "You should check if the length of the list is not equal to 13, not less than 13.",
        "category": "TP"
    },
    {
        "line_number": "5",
        "feedback": "In the for loop, you should start from index 0, not 1. Also, you should add lst[i] and lst[i+1]*3 to the result, not lst[i]*3 + lst[i-1].",
        "category": "FP-E"
    },
    {
        "line_number": "6",
        "feedback": "You should add lst[i] and lst[i+1]*3 to the result, not lst[i]*3 + lst[i-1].",
        "category": "FP-E"
    },
    {
        "line_number": "4",
        "feedback": "Incorrect indentation of return False statement",
        "category": "FN"
    }
]</t>
  </si>
  <si>
    <t>def calculate_winner(lst, n):
    A_score=0
    B_score=0
    last_char = ''
    for count in range(len(lst)):
        if lst[count]=='A':
            if last_char == 'A':
                A_score+=2
            else:
                A_score+=1
            if A_score&gt;=n:
                return str('A')
        elif lst[count]=='B':
            if last_char == 'B':
                B_score+=2
            else:
                B_score+=1
            if B_score&gt;=n:
                return str('B')
        last_char = lst[count]
    return</t>
  </si>
  <si>
    <t>[
    {
    "line_number": "5",
    "feedback": "You are only checking the first character of the list in each iteration. You should check the character at the current index.",
        "category": "TP"
    },
    {
    "line_number": "7",
    "feedback": "You are not checking if the current character is the same as the last character before adding to the score. You should add this check to correctly implement the winning streak logic.",
        "category": "TP"
    },
    {
    "line_number": "12",
    "feedback": "You are removing the first character of the list in each iteration. This is unnecessary and can lead to errors. You should instead keep track of the last character for the winning streak logic.",
        "category": "TP"
    },
    {
    "line_number": "18",
    "feedback": "You are returning None at the end of each iteration. This should be done at the end of the function, after all characters in the list have been checked.",
        "category": "TP"
    }
]</t>
  </si>
  <si>
    <t>def calculate_winner(lst, n):
    Ascore = 0
    Bscore = 0
    prev = None
    for i in lst:
        if i == 'A':
            if prev == 'A':
                Ascore += 2
            else:
                Ascore += 1
        elif i == 'B':
            if prev == 'B':
                Bscore += 2
            else:
                Bscore += 1
        prev = i
        if Ascore &gt;= n:
            return 'A'
        elif Bscore &gt;= n:
            return 'B'
    return None</t>
  </si>
  <si>
    <t>[
    {
    "line_number": "2",
    "feedback": "You forgot to initialize the variable "prev". This is causing an error because you are trying to check its value before it has been assigned.",
        "category": "TP"
    },
    {
    "line_number": "5",
    "feedback": "You should increment the score by 2 only if the current player is the same as the previous player. Otherwise, increment the score by 1. This is to account for the rule that a player gets 2 points if they are on a winning streak.",
        "category": "FP-E"
    },
    {
    "line_number": "8",
    "feedback": "You should increment the score by 2 only if the current player is the same as the previous player. Otherwise, increment the score by 1. This is to account for the rule that a player gets 2 points if they are on a winning streak.",
        "category": "FP-E"
    }
]</t>
  </si>
  <si>
    <t>def calculate_winner(lst, n):
    scoreA = 0
    scoreB = 0
    z = -1
    last_winner = None
    while scoreA &lt; n and scoreB &lt; n:
        z += 1
        if z == len(lst):
            break
        elif lst[z] == 'A':
            if last_winner == 'A':
                scoreA += 2
            else:
                scoreA += 1
            last_winner = 'A'
        elif lst[z] == 'B':
            if last_winner == 'B':
                scoreB += 2
            else:
                scoreB += 1
            last_winner = 'B'
        else:
            continue
    if scoreA &gt;= n:
        ANS = "A"
    elif scoreB &gt;= n:
        ANS = "B"
    else:
        ANS = None
    return ANS</t>
  </si>
  <si>
    <t>[
    {
    "line_number": "6",
    "feedback": "You need to keep track of the last winner to handle the case of winning streaks. You can do this by adding a variable "last_winner".",
        "category": "TP"
    },
    {
    "line_number": "10",
    "feedback": "You should increase the score by 2 if the same player wins consecutive rounds. You can do this by checking if the current winner is the same as the last winner.",
        "category": "TP"
    },
    {
    "line_number": "14",
    "feedback": "You should increase the score by 2 if the same player wins consecutive rounds. You can do this by checking if the current winner is the same as the last winner.",
        "category": "TP"
    },
    {
    "line_number": "22",
    "feedback": "If neither player reaches the threshold, your function should return None, not "None".",
        "category": "TP"
    }
]</t>
  </si>
  <si>
    <t>def calculate_winner(lst, n):
    a_count = 0
    b_count = 0
    last_char = lst[0]
    if last_char == 'A':
        a_count += 1
    elif last_char == 'B':
        b_count += 1
    for i in lst[1:]:
        if i == 'A':
            a_count += 1
            if last_char == 'A':
                a_count += 1
        elif i == 'B':
            b_count += 1
            if last_char == 'B':
                b_count += 1
        last_char = i
        if a_count &gt;= n:
            return 'A'
        elif b_count &gt;= n:
            return 'B'
    return None</t>
  </si>
  <si>
    <t>[
    {
    "line_number": "2",
    "feedback": "The function is currently empty. You need to implement the logic as per the problem statement. Start by initializing the counts for player A and B to 0. Then, check the first character in the list. If it is A, increment the count for A, and if it is B, increment the count for B.",
        "category": "TP"
    },
    {
    "line_number": "7",
    "feedback": "Then, iterate over the rest of the list. If the current character is A, increment the count for A. If the last character was also A, increment the count for A again. Do the same for B.",
        "category": "FP-E"
    },
    {
    "line_number": "15",
    "feedback": "After updating the counts, check if the count for A or B has reached the threshold. If it has, return the corresponding character. If neither count has reached the threshold by the end of the list, return None.",
        "category": "FP-E"
    }
]</t>
  </si>
  <si>
    <t>def calculate_winner(lst, n):
    a = 0
    b = 0
    last = None
    for i in range(len(lst)):
        if lst[i] == 'A':
            if last == 'A':
                a += 2
            else:
                a += 1
            last = 'A'
        elif lst[i] == 'B':
            if last == 'B':
                b += 2
            else:
                b += 1
            last = 'B'
        if a &gt;= n:
            return 'A'
        elif b &gt;= n:
            return 'B'
    return None</t>
  </si>
  <si>
    <t>[
    {
        "line_number": "6",
        "feedback": "You should add a variable to keep track of the last winner. This is because the first element in the list does not have a previous element, so the condition lst[i-1] will give wrong result for the first element.",
        "category": "TP"
    },
    {
        "line_number": "11",
        "feedback": "You should update the last winner after each round.",
        "category": "TP"
    },
    {
        "line_number": "14",
        "feedback": "The threshold for winning the match is given as n, but you have hardcoded the value as 6. You should use the variable n instead.",
        "category": "TP"
    }
]</t>
  </si>
  <si>
    <t>import random
def createList(size):
    mylist = [] # Create an empty list
    for i in range(size): # Change 50 to size
        mylist.append(random.randint(0,50))
    return mylist</t>
  </si>
  <si>
    <t>[
    {
    "line_number": "5",
    "feedback": "You should loop till the size of the list you want to create, not till 50. Change the range from 50 to size.",
        "category": "TP"
    }]</t>
  </si>
  <si>
    <t>import random
def createList(s):
    return [random.randint(0, 50) for i in range(s)]</t>
  </si>
  <si>
    <t>[
    {
        "line_number": "2",
        "feedback": "You need to import the 'random' module to use the 'randint' function. Also, the 'pass' statement is not needed in this function. It is used when a statement is required syntactically, but you do not want any command or code to execute.",
        "category": "TP"
    }
]</t>
  </si>
  <si>
    <t>def createList(s):
    lst = []
    for i in range(s):
        lst.append(random.randint(0,50))
    return lst</t>
  </si>
  <si>
    <t>[
    {
        "line_number": "2",
        "feedback": "You are trying to append a random number to an integer 's'. This is not possible. You should first initialize an empty list and then append the random numbers to this list."
    },
    {
        "line_number": "2",
        "feedback": "You need to generate 's' random numbers. This means you should use a loop that runs 's' times. In each iteration of the loop, you should generate a random number and append it to the list."
    }
]</t>
  </si>
  <si>
    <t>import random
def createList(s):
    list1 = []
    count = 0
    while count &lt; s:
        list1.append(random.randint(0,50))
        count += 1
    return list1</t>
  </si>
  <si>
    <t>[
    {
    "line_number": "6",
    "feedback": "You should use the append() method to add an element to the list. The += operator is used for concatenation of lists, not for adding a single element to the list.",
        "category": "TP"
    }]</t>
  </si>
  <si>
    <t>import random
def createList(s):
    return [random.randint(0,50) for _ in range(s)]</t>
  </si>
  <si>
    <t>[
    {
        "line_number": "2",
        "feedback": "The range function is not used correctly. It should be used in a loop to generate 's' number of random numbers.",
        "category": "TP"
    },
    {
        "line_number": "3",
        "feedback": "You are returning the function name itself, not the result. You should return the list of random numbers.",
        "category": "TP"
    },
    {
        "line_number": "3",
        "feedback": "You need to use a list comprehension or loop to generate the list of random integers.",
        "category": "FN"
    }]</t>
  </si>
  <si>
    <t>import random
def createList(s):
    List = [random.randint(0,50) for _ in range(s)]
    return List</t>
  </si>
  <si>
    <t>[
    {
        "line_number": "2",
        "feedback": "The syntax you used to create and assign the list is incorrect. You should use list comprehension or a loop to create a list of size "s".",
        "category": "TP"
    },
    {
        "line_number": "3",
        "feedback": "You are trying to assign values to a function call, which is not valid in Python. You should create a list variable and assign the values to it.",
        "category": "TP"
    },
    {
        "line_number": "3",
        "feedback": "You are missing a closing parenthesis in your range function.",
        "category": "FP-I"
    },
    {
        "line_number": "2",
        "feedback": "You need to import the random module to generate random numbers.",
        "category": "TP"
    }
]</t>
  </si>
  <si>
    <t>import random
def createList(s):
    alist=[]
    run=0
    while s&gt;run:
        n=random.randint(0,50)
        alist.append(n)
        run+=1
    return alist</t>
  </si>
  <si>
    <t>[
    {
    "line_number": "9",
    "feedback": "You forgot to return the list 'alist' after the while loop. Instead, you wrote 'pass' which does nothing. Your function should return the list 'alist' that you have generated.",
        "category": "TP"
    }]</t>
  </si>
  <si>
    <t>import random
def createList(s):
    list1 = []
    for i in range (s): 
        list1.append(random.randint(0, 50))
    return list1</t>
  </si>
  <si>
    <t>[
    {
    "line_number": "3",
    "feedback": "You should initialize the list outside the for loop. In your current code, the list is getting re-initialized in every iteration of the loop, and hence, only the last random number is getting stored in the list. Move the list initialization before the for loop to fix this.",
        "category": "TP"
    }]</t>
  </si>
  <si>
    <t>import random
def createList(s):
    x=[]
    for count in range(s):
        x.append(random.randint(0,50))
    return x</t>
  </si>
  <si>
    <t>[
    {
        "line_number": "6",
        "feedback": "You've forgotten to return the list 'x' at the end of your function. Without this, your function doesn't output anything, which is why it's failing the test cases. Always remember to return the result in your function.",
        "category": "TP"
    }]</t>
  </si>
  <si>
    <t>import random
def createList(s):
    return [random.randint(0, 50) for _ in range(s)]</t>
  </si>
  <si>
    <t>[
    {
        "line_number": "2",
        "feedback": "You cannot assign a value to a function like len(). Also, you have not defined or initialized the list variable.",
        "category": "TP"
    },
    {
        "line_number": "3",
        "feedback": "This line does not do anything. You need to use the random.randint() function to generate random numbers and add them to the list.",
        "category": "TP"
    },
    {
        "line_number": "1",
        "feedback": "You forgot to import the random module which is needed to generate random numbers.",
        "category": "TP"
    }
]</t>
  </si>
  <si>
    <t>def createList(s):
    import random
    list1 = [random.randrange(0,50) for x in range(s)]
    return list1</t>
  </si>
  <si>
    <t>[
    {
        "line_number": "4",
        "feedback": "You have created the list 'list1' but you are returning 'list' which is not defined in your function. You should return 'list1' instead.",
        "category": "TP"
    }
]</t>
  </si>
  <si>
    <t>def calculateSumAndAverage(mylist):
    s = sum(mylist)
    x = s / len(mylist) if len(mylist) != 0 else 0
    return s, x</t>
  </si>
  <si>
    <t>[
    {
        "line_number": "1",
        "feedback": "The function name should be calculateSumAndAverage as per the problem statement, not SumAndAverage.",
        "category": "FP-I"
    },
    {
        "line_number": "2",
        "feedback": "The variable myList is not defined. Python is case sensitive. You should use mylist as defined in the function parameters.",
        "category": "TP"
    },
    {
        "line_number": "3",
        "feedback": "Your function fails when the input list is empty because you are trying to divide by zero. You should check if the list is empty before calculating the average.",
        "category": "TP"
    }
]</t>
  </si>
  <si>
    <t>def calculateSumAndAverage(mylist):
    x = sum(mylist)
    y = x / len(mylist) if len(mylist) != 0 else 0
    return x, y</t>
  </si>
  <si>
    <t>[
    {
        "line_number": "2",
        "feedback": "You should use the sum() function to calculate the `sum of all elements in the list, not the len() function.",
        "category": "TP"
    },
    {
        "line_number": "3",
        "feedback": "To calculate the average, you should divide the sum of all elements by the number of elements. Also, you should check if the list is not empty before dividing to avoid division by zero error.",
        "category": "TP"
    },
    {
        "line_number": "1",
        "feedback": "The function name should be calculateSumAndAverage as per the problem description.",
        "category": "FP-I"
    }
]</t>
  </si>
  <si>
    <t>def calculateSumAndAverage(mylist):
    x=sum(mylist)
    y=(sum(mylist))/(len(mylist))
    return x, y</t>
  </si>
  <si>
    <t>[
    {
        "line_number": "1",
        "feedback": "The function name should be "calculateSumAndAverage" as per the problem description.",
        "category": "FP-I"
    },
    {
        "line_number": "3",
        "feedback": "You do not need to print the sum of the list. Instead, you should return it.",
        "category": "TP"
    },
    {
        "line_number": "5",
        "feedback": "You do not need to print the average of the list. Instead, you should return it.",
        "category": "TP"
    },
    {
        "line_number": "4",
        "feedback": "You should handle the case when the list is empty. In that case, the average should be 0.",
        "category": "FN"
    }]</t>
  </si>
  <si>
    <t>def numOccurrence(mylist, data):
    mylen = len(mylist)
    count = 0
    for i in range(0, mylen):
        if mylist[i] == data:
            count += 1
    return count</t>
  </si>
  <si>
    <t>[
    {
        "line_number": "1",
        "feedback": "There is a typo in the function name. It should be "numOccurrence" instead of "numOcurrence".",
        "category": "FP-I"
    },
    {
        "line_number": "1",
        "feedback": "There is a typo in the function name. It should be ""numOccurrence"" instead of ""numOcurrence"".",
        "category": "FP-E"
    },
    {
        "line_number": "5",
        "feedback": "You should use the ""run"" variable to index ""mylist"" instead of ""npos"". The ""npos"" variable is not necessary in this context.",
        "category": "FP-E"
    },
    {
        "line_number": "4",
        "feedback": "The range in the for loop should be from 0 to "mylen", not "mylen + 1". In Python, list indexing starts from 0, so the last index will be "mylen - 1". Going up to "mylen" will result in an "IndexError".",
        "category": "TP"
    }
]</t>
  </si>
  <si>
    <t>def numOccurrence(mylist, data):
    ans=0
    nseq=len(mylist)
    run=0
    while run&lt;nseq:
        if mylist[run]==data:
            ans+=1
        else:
            ans+=0
        run+=1
    return ans</t>
  </si>
  <si>
    <t>[
    {
        "line_number": "1",
        "feedback": "There is a typo in the function name. It should be "numOccurrence" instead of "numOcurrence".",
        "category": "FP-I"
    },
    {
        "line_number": "5",
        "feedback": "You should use the "run" variable to index "mylist" instead of "npos". The "npos" variable is not necessary in this context.",
        "category": "FP-E"
    }
]</t>
  </si>
  <si>
    <t>def numOccurrence(mylist, data):
    return mylist.count(data)</t>
  </si>
  <si>
    <t>[
    {
        "line_number": "1",
        "feedback": "You have a typo in your function name. It should be 'numOccurrence' not 'numOcurrence'.",
        "category": "FP-I"
    },
    {
        "line_number": "2",
        "feedback": "The way you are trying to count the occurrences is incorrect. The correct way to count the occurrences of 'data' in 'mylist' is by using the 'count' method of the list like this: 'mylist.count(data)'.",
        "category": "FP-I"
    },
    {
        "line_number": "3",
        "feedback": "The 'pass' statement is not needed here. It is used when a statement is required syntactically but you do not want any command or code to execute.",
        "category": "FP-E"
    }
]</t>
  </si>
  <si>
    <t>def  subset(list1, list2):
    if set(list1).issubset(set(list2)):
        return "List 1 is a subset of List 2"
    elif set(list2).issubset(set(list1)):
        return "List 2 is a subset of List 1"
    else:
        return "The two lists are not subsets of each other"</t>
  </si>
  <si>
    <t>[
    {
    "line_number": "2",
    "feedback": "The logic you used to combine the lists and then check for duplicates is not the correct way to check for subsets. Instead, you can use the all() function along with a for loop to check if all elements of one list are in the other list.",
        "category": "FP-I"
    },
    {
    "line_number": "4",
    "feedback": "The use of a counter variable (z) and checking if the count of an element in the combined list is 2, is not a correct way to check for subsets. This approach might fail in cases where there are duplicate elements in the lists.",
        "category": "TP"
    },
    {
    "line_number": "9",
    "feedback": "The condition len(list2) == 2 seems to be a typo. It should be len(list2) == z. However, this whole approach of using a counter variable and checking for duplicates is not correct for checking subsets.",
        "category": "TP"
    },
    {
    "line_number": "14",
    "feedback": "The variable c is not defined in all code paths. If none of the conditions are met, the function will return an undefined variable. It is better to directly return the result from within the conditions.",
        "category": "TP"
    }
]</t>
  </si>
  <si>
    <t>list = [5, 7, 1, 6, 2, -4, 0, -5]
var = 0
for i in range(5):
    var = list[var]
ans = var</t>
  </si>
  <si>
    <t>[
    {
    "line_number": "1",
    "feedback": "You need to implement the logic provided in the problem description. Simply assigning a value to the variable \'ans\' is not correct. Run the provided code snippet and store the output in \'ans\'.",
        "category": "FP-H"
    },
    {
        "line_number": "1",
        "feedback": "You did not perform the operations correctly. The correct answer after performing the operations is 7.",
        "category": "FN"
    }
]</t>
  </si>
  <si>
    <t>[
    {
        "line_number": "1",
        "feedback": "You misunderstood the problem. You were supposed to perform the operations on the list and then write down the elements inside the list. But you directly wrote down the list. The correct list after performing the operations is [6, 2, 1, 4, 0, 8, 5].",
        "category": "TP"
    }
]</t>
  </si>
  <si>
    <t>items = "12.65.23.1.65.2.8".split('.')</t>
  </si>
  <si>
    <t>[
    {
    "line_number": "1",
    "feedback": "You need to use the split() function to separate the string into individual items. The split() function splits a string into a list where each word is a separate item. In this case, you should split the string by the period character.",
        "category": "FP-H"
    },
    {
    "line_number": "1",
    "feedback": "The elements inside the list should be strings, not integers.",
        "category": "FN"
    }
]</t>
  </si>
  <si>
    <t>x = 10
y = [1, 2, 3]
def m1():
    global x, y
    m2(x, y)
def m2(number, numbers):
    global x
    x = 1001
    numbers[0] = -999
m1()</t>
  </si>
  <si>
    <t>[
    {
        "line_number": "1",
        "feedback": "You misunderstood the problem. You were supposed to perform the operations on the list and then write down the elements inside the list. But you directly wrote down the list. The correct list after performing the operations is [6, 2, 1, 4, 0, 8, 5].",
        "category": "TP"
    }
]</t>
  </si>
  <si>
    <t>def m1():
    x = 10
    y = [1, 2, 3]
    m2(x, y)
def m2(number, numbers):
    number = 1001
    numbers[0] = -999
m1()</t>
  </si>
  <si>
    <t>[
    {
        "line_number": "1",
        "feedback": "You should define the function m1() at the beginning of your code. This function initializes the variables x and y and calls the function m2().",
        "category": "FP-E"
    },
    {
        "line_number": "2",
        "feedback": "The variables x and y should be defined inside the function m1(), not outside. This is because the scope of these variables should be within the function m1().",
        "category": "FP-E"
    },
    {
        "line_number": "3",
        "feedback": "You should call the function m2() inside the function m1(), not outside. This is because m2() is supposed to modify the values of x and y that are initialized in m1().",
        "category": "FP-E"
    },
    {
        "line_number": "5",
        "feedback": "You should define the function m2() after defining the function m1(). This function modifies the values of the arguments it receives from m1().",
        "category": "FP-E"
    },
    {
        "line_number": "9",
        "feedback": "You should call the function m1() at the end of your code to execute the functions m1() and m2().",
        "category": "FP-E"
    },
    {
    "line_number": "1",
    "feedback": "x should have contained the final ouput after executing the given code. So it should have been: x =  10",
        "category": "FN"
    },
    {
    "line_number": "2",
    "feedback": "y should have contained the final ouput after executing the given code. So it should have been: y =  [-999, 2, 3] ",
        "category": "FN"
    }]</t>
  </si>
  <si>
    <t>list1 = [5 * x for x in range(0,21)]</t>
  </si>
  <si>
    <t>[
    {
    "line_number": "1",
    "feedback": "The range function in Python starts from 0 by default. However, in this task, you need to include 0 in the list as well, which is a multiple of 5. So, the range should start from 0 instead of 1. Therefore, you should change the range to start from 0. The correct code should be: list1 = [5 * x for x in range(0,21)].",
        "category": "TP"
    }]</t>
  </si>
  <si>
    <t>list1 = [x for x in range(0, 101) if x%5==0]</t>
  </si>
  <si>
    <t>[
    {
    "line_number": "1",
    "feedback": "You should use the double equals sign "==" for comparison in Python. The single equals sign "=" is used for assignment.",
        "category": "TP"
    }]</t>
  </si>
  <si>
    <t>[
    {
        "line_number": "1",
        "feedback": "Your list comprehension is almost correct, but you should start the range from 0 instead of 1 to include 0 in the list, as it is also a multiple of 5.",
        "category": "TP"
    }
]</t>
  </si>
  <si>
    <t>[
    {
        "line_number": "1",
        "feedback": "You have made a logical error in your code. The range function generates numbers from the start (inclusive) to the stop (exclusive). So, if you want to include 100 in your list, you should set the stop argument in the range function to 21 (as 5*20=100). Also, the condition "if x &lt;= 100" is not needed because the range function already ensures that x will not exceed 20.",
        "category": "TP"
    }
]</t>
  </si>
  <si>
    <t>list1 = [x*5 for x in range(21)]</t>
  </si>
  <si>
    <t>[
    {
    "line_number": "1",
    "feedback": "You are on the right track using list comprehension to generate the list of multiples of 5. However, the range function in Python does not include the stop number. So, you need to increase the stop number by 1 to include 100 in your list. Therefore, instead of range(20), use range(21).",
        "category": "TP"
    }]</t>
  </si>
  <si>
    <t>[
    {
    "line_number": "1",
    "feedback": "The range function in Python excludes the stop value. So, to include 100 in the list, you need to set the stop value in range function as 101. Also, it is good to leave a space before and after the "if" keyword for better readability.",
        "category": "TP"
    }]</t>
  </si>
  <si>
    <t>list1 = list()
for i in range(0,101,5):
    list1.append(i)</t>
  </si>
  <si>
    <t>[
    {
    "line_number": "2",
    "feedback": "You forgot to put a colon at the end of the for loop. In Python, you need to end the for loop declaration with a colon.",
        "category": "TP"
    }]</t>
  </si>
  <si>
    <t>def shiftRight(list1):
    if len(list1) == 0:
        return list1
    temp = list1[-1]
    for i in range(len(list1)-2,-1,-1):
        list1[i+1]=list1[i]
    list1[0] = temp    
    return list1</t>
  </si>
  <si>
    <t>[
    {
        "line_number": "2",
        "feedback": "You should check if the list is empty before proceeding with the shift operation. If the list is empty, return it as is.",
        "category": "TP"
    },
    {
        "line_number": "3",
        "feedback": "You should retain the last element of the list, not the first one. Replace list1[0] with list1[-1].",
        "category": "TP"
    },
    {
        "line_number": "4",
        "feedback": "There is a typo in your code. Replace list[i] with list1[i].",
        "category": "TP"
    }
]</t>
  </si>
  <si>
    <t>def shiftRight(list1):
    temp = list1[len(list1)-1] 
    for i in range(len(list1)-2, -1, -1):
        list1[i + 1] = list1[i]
    list1[0] = temp
    return list1</t>
  </si>
  <si>
    <t>[
    {
        "line_number": "2",
        "feedback": "The function currently does not perform any operations and simply returns the input list. You need to implement the logic to shift the elements of the list to the right.",
        "category": "TP"
    },
    {
        "line_number": "2",
        "feedback": "You can use a temporary variable to hold the last element of the list. Then, use a loop to shift all the elements to the right. Finally, place the last element at the beginning of the list.",
        "category": "TP"
    }
]</t>
  </si>
  <si>
    <t>def shiftRight(list1):
    if len(list1) == 0:
        return list1
    temp = list1[-1]
    for i in range(len(list1)-1, 0, -1):
        list1[i] = list1[i - 1]
    list1[0] = temp
    return list1</t>
  </si>
  <si>
    <t>[
    {
        "line_number": "4",
        "feedback": "You need to iterate from the end of the list to the beginning, not from the beginning to the end. Also, you should start from len(list1)-1, not len(list1).",
        "category": "TP"
    },
    {
        "line_number": "3",
        "feedback": "You should add a condition to check if the list is empty. If it is, just return the empty list.'
        "category": "TP"
   },
    {
        "line_number": "4",
        "feedback": "You should shift the elements to the right, not to the left. So, replace 'lst[i] = lst[i+1]' with 'lst[i] = lst[i - 1]'.",
        "category": "FN"
    }]</t>
  </si>
  <si>
    <t>def shiftRight(list1):
    if len(list1) == 0:
        return list1
    temp = list1[-1]
    for i in range(len(list1)-1, 0, -1):
        list1[i] = list1[i-1]
    list1[0]=temp
    return list1</t>
  </si>
  <si>
    <t>[
    {
    "line_number": "2",
    "feedback": "You need to handle the case when the input list is empty. You can do this by checking if the length of the list is 0 at the start of your function. If it is, you can immediately return the list.",
        "category": "TP"
    },
    {
    "line_number": "3",
    "feedback": "You should store the last element of the list in the temp variable, not the first one. You can access the last element of the list using the index -1.",
        "category": "TP"
    },
    {
    "line_number": "4",
    "feedback": "Your loop should start from the last element of the list and go to the second element. You can do this by setting the start of the range to len(list1)-1 and the end to 0. Also, the step should be -1 to go backwards.",
        "category": "TP"
    },
    {
    "line_number": "5",
    "feedback": "In the loop, you should set the current element of the list to the previous one. You can access the previous element using the index i-1.",
        "category": "TP"
    },
    {
    "line_number": "6",
    "feedback": "After the loop, you should set the first element of the list to the value stored in the temp variable.",
        "category": "TP"
    }
]</t>
  </si>
  <si>
    <t>def shiftRight(list1):
    if len(list1) &gt; 0:
        temp = list1[-1]
        list1.pop(len(list1) - 1)
        list1.insert(0, temp)
    return list1</t>
  </si>
  <si>
    <t>[
    {
        "line_number": "3",
        "feedback": "You correctly popped the last element from the list, but when inserting it back at the beginning, you used the value of the element (temp) as the index. The index should be 0 to insert at the beginning of the list.",
        "category": "TP"
    },
    {
        "line_number": "2",
        "feedback": "Your code fails when the input list is empty. Always check if the list is empty before trying to access its elements.",
        "category": "TP"
    }
]</t>
  </si>
  <si>
    <t>def shiftRight(lst):
    temp = lst[-1] 
    for i in range(len(lst)-1, 0, -1):
        lst[i] = lst[i - 1]
    lst[0] = temp
    return lst</t>
  </si>
  <si>
    <t>[
    {
        "line_number": "2",
        "feedback": "You should retain the last element of the list, not the first one. So, replace 'lst[0]' with 'lst[-1]'.",
        "category": "TP"
    },
    {
        "line_number": "3",
        "feedback": "You should iterate from the last element to the second one, not from the second to the last. So, replace 'range(1, len(lst))' with 'range(len(lst)-1, 0, -1)'.",
        "category": "TP"
    },
    {
        "line_number": "4",
        "feedback": "You should shift the elements to the right, not to the left. So, replace 'lst[i - 1] = lst[i]' with 'lst[i] = lst[i - 1]'.",
        "category": "TP"
    },
    {
        "line_number": "6",
        "feedback": "You should replace the first element of the list with the last one. So, replace 'lst[len(lst) - 1] = temp' with 'lst[0] = temp'.",
        "category": "TP"
    },
    {
        "line_number": "7",
        "feedback": "You should return the modified list 'lst", not 'list1'. So, replace 'return list1' with 'return lst'.",
        "category": "FP-I"
    },
    {
        "line_number": "3",
        "feedback": "You have used the wrong variable name 'lst' instead of 'list1'. Please change it to 'list1'. Replace this everywhere in the code.",
        "category": "FN"
    }
]</t>
  </si>
  <si>
    <t>def shiftRight(list1):
    if len(list1) &gt; 0:
        x  = list1.pop()
        list1.insert(0, x)
    return list1</t>
  </si>
  <si>
    <t>[
    {
        "line_number": "2",
        "feedback": "Your logic of popping the last element is correct but you should insert it at the beginning of the list. You can use the insert() function for this.",
        "category": "TP"
    },
    {
        "line_number": "3",
        "feedback": "The "+" operator concatenates two lists but it does not modify the original list. So, you should use the insert() function to add the element at the beginning of the list.",
        "category": "FP-I"
    }
]</t>
  </si>
  <si>
    <t>mapping = [2, 2, 2, 3, 3, 3, 4, 4, 4, 5, 5, 5, 6, 6, 6, 7, 7, 7, 7, 8, 8, 8, 9, 9, 9, 9]
def translate(tele_str):
    ans = ""
    for i in range(0, len(tele_str)):
        if tele_str[i].isdigit():
            ans += tele_str[i]
        elif tele_str[i].isalpha():
            ans += str(mapping[ord(tele_str[i].upper()) - 65])
    return ans</t>
  </si>
  <si>
    <t>[
    {
        "line_number": "2",
        "feedback": "The mapping list you have defined does not correctly map the alphabets to their corresponding digits. The correct mapping list is already provided in the prefix code. Please use that.",
        "category": "FP-I"
    },
    {
        "line_number": "5",
        "feedback": "Your condition to check if a character is a digit is correct, but the action you take when the condition is true is not. You should add the digit to the answer string as it is.",
        "category": "FP-I"
    },
    {
        "line_number": "7",
        "feedback": "Instead of checking for each individual alphabet, you can use the ASCII value of the alphabets to map them to their corresponding digits. This can be done using the mapping list provided in the prefix code.",
        "category": "FP-E"
    },
    {
        "line_number": "22",
        "feedback": "The pass statement at the end of your function is not needed and can be removed.",
        "category": "FP-E"
    },
    {
        "line_number": "10",
        "feedback": "You need to handle the case when the character is neither a digit nor an alphabet. In such cases, you should add the character to the answer string as it is.",
        "category": "FN"
    },
   {
        "line_number": "5",
        "feedback": "Your condition to check if a character is a digit is incorrect. You should add the digit to the answer string if you encounter a digit.",
        "category": "FN"
    }
]</t>
  </si>
  <si>
    <t>mapping = ['A",'B",'C",'D",'E",'F",'G",'H",'I",'J",'K",'L",'M",'N",'O",'P",'Q",'R",'S",'T",'U",'V",'W",'X",'Y",'Z']
num = [2,2,2,3,3,3,4,4,4,5,5,5,6,6,6,7,7,7,7,8,8,8,9,9,9,9]
def translate(tele_str):
    num_str = ''
    tele_str = tele_str.upper()
    for i in range(len(tele_str)):
         for j in range(len(mapping)):
             if(tele_str[i] == mapping[j]):
                 num_str += str(num[j])
    return num_str</t>
  </si>
  <si>
    <t>[
    {
        "line_number": "7",
        "feedback": "The line "tele_str.upper()" does not change the original string to uppercase. You should assign the result back to tele_str.",
        "category": "FP-E"
    },
    {
        "line_number": "9",
        "feedback": "The print statements are not necessary for the function to work and they can make the output confusing. It is better to remove them.",
        "category": "FP-E"
    },
    {
        "line_number": "12",
        "feedback": "You need to add a condition to check if the character is a digit or a letter. If it's a digit, just append it to the result string. If it's a letter, find its corresponding number and append it.",
        "category": "FN"
    }
]</t>
  </si>
  <si>
    <t>#fill up the list
mapping = [["a","b","c"],["d","e","f"],["g","h","i"],["j","k","l"],["m","n","o"],["p","q","r","s"],["t","u","v"],["w","x","y","z"]]
def translate(tele_str):
    tele_str = list(tele_str)
    for count in range(len(tele_str)):
        if tele_str[count].isalpha():
            if ord(tele_str[count]) &lt; 97:
                tele_str[count] = chr(ord(tele_str[count])+32)
            i = 0
            while tele_str[count] not in mapping[i]:
                i += 1
            tele_str[count] = str(i+2)
    return ''.join(tele_str)</t>
  </si>
  <si>
    <t>[
    {
        "line_number": "8",
        "feedback": "You are converting uppercase letters to lowercase, but your condition is incorrect. The ASCII value of lowercase 'a' is 97, not 95.",
        "category": "TP"
    },
    {
        "line_number": "14",
        "feedback": "You are correctly identifying the index of the list where the character is found, but you are not correctly translating it to the telephone digit. The digits start from 2, not 1, so you should add 2 instead of 1.",
        "category": "TP"
    },
    {
        "line_number": "12",
        "feedback": "The else block is wrongly indented.",
        "category": "FN"
    }
]</t>
  </si>
  <si>
    <t>#fill up the list
mapping = [2, 2, 2, 3, 3, 3, 4, 4, 4, 5, 5, 5, 6, 6, 6, 7, 7, 7, 7, 8, 8, 8, 9, 9, 9, 9]
def translate(tele_str):
    str_1 = tele_str.lower()
    str_x = ""
    for i in range(len(str_1)): 
        if str_1[i].isalpha(): 
            str_x += str(mapping[ord(str_1[i]) - 97])
        else: 
            str_x += str_1[i]
    return str_x</t>
  </si>
  <si>
    <t>[
    {
    "line_number": "8",
    "feedback": "You should use isalpha() function to check if a character is a letter. You missed the parentheses after isalpha.",
        "category": "TP"
    },
    {
    "line_number": "12",
    "feedback": "The return statement should be outside the for loop. Currently, your function is returning after checking the first character of the input string.",
        "category": "TP"
    }
]</t>
  </si>
  <si>
    <t>def convert16Bit(decimal):
    s = '{0:016b}'.format(decimal)
    return s</t>
  </si>
  <si>
    <t>[
    {
        "line_number": "2",
        "feedback": "Instead of converting the decimal to binary and then filling zeros, you can do both in a single step using the format specifier {0:016b}. This will convert the decimal to binary and fill zeros to make it a 16 bit number.",
        "category": "FP-E"
    },
    {
        "line_number": "4",
        "feedback": "Your function is currently printing the result instead of returning it. In Python, functions should return their result so that it can be used elsewhere in the program.",
        "category": "TP"
    }
]</t>
  </si>
  <si>
    <t>def convert16Bit(decimal):
    ans = bin(decimal)[2:]
    res = ans.zfill(16)
    return res</t>
  </si>
  <si>
    <t>[
    {
        "line_number": "4",
        "feedback": "You forgot to return the result from your function. Always remember to return the result so that it can be used elsewhere in the program.",
        "category": "TP"
    }
]</t>
  </si>
  <si>
    <t>count_FN_Missing</t>
  </si>
  <si>
    <t>name = input("Please enter your name: ")
age = input("Please enter your age: ")
result = "My friend "+ name+" is "+age+" years old."
print(result)</t>
  </si>
  <si>
    <t>[
    {
    "line_number": "2",
    "feedback": "The input function in Python usually takes a prompt string as an argument. You should add a prompt string to your input function when asking for the user's name.",
        "category": "FP-E"
    },
    {
    "line_number": "3",
    "feedback": "The input function in Python usually takes a prompt string as an argument. You should add a prompt string to your input function when asking for the user's age.",
        "category": "FP-E"
    },
{
    "line_number": "5",
    "feedback": "You need to print the result",
        "category": "FN"
    }
]</t>
  </si>
  <si>
    <t>def count_substring(string):
    ans = 0
    countX = 0
    for i in reversed(range(len(string))):
        if string[i] == 'X':
            countX += 1
        elif string[i] == 'A':
            ans += countX
    return ans</t>
  </si>
  <si>
    <t>[
    {
    "line_number":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"TP"
    }]</t>
  </si>
  <si>
    <t>def count_substring(string):
    lst = list(string)
    ans = 0
    count_A = 0
    for i in range(len(lst)):
        if lst[i] == 'A':
            count_A += 1
        if lst[i] == 'X':
            ans += count_A
    return ans</t>
  </si>
  <si>
    <t>[
    {
        "line_number": "5",
        "feedback": "The logic of the code is incorrect. The count of 'X' after each 'A' is not the correct way to count the substrings that start with 'A' and end with 'X'. Instead, you should increment a counter every time you encounter an 'A", and for each 'X' you encounter, add the current count of 'A's to the answer. This is because each 'X' can pair with any 'A' that came before it to form a valid substring.",
        "category": "TP"
    }
]</t>
  </si>
  <si>
    <t>[
    {
    "line_number": "2",
    "feedback": "You don't need to split the string. Instead, you can iterate over it directly.",
        "category": "FP-E"
    },
    {
    "line_number": "3",
    "feedback": "The variable 'l' and the join operation are not necessary. You can count the number of 'A's directly in the loop.",
        "category": "FP-E"
    },
    {
    "line_number": "5",
    "feedback": "You don't need to calculate the length of the string and subtract it from the length of 'a'. You can count the number of 'A's directly in the loop.",
        "category": "FP-E"
    },
    {
    "line_number": "6",
    "feedback": "You don't need to use a while loop with a negative index. You can use a for loop to iterate over the string.",
        "category": "FP-I"
    },
    {
    "line_number": "7",
    "feedback": "You don't need to check if the character is 'X' in the loop. Instead, you can increment the count of 'A's when you encounter an 'A' and add the count of 'A's to the answer when you encounter an 'X'.",
        "category": "TP"
    },
    {
    "line_number": "9",
    "feedback": "You don't need to decrement the count of 'A's when you encounter an 'A'. Instead, you should increment the count of 'A's.",
        "category": "TP"
    },
    {
    "line_number": "11",
    "feedback": "You don't need to assign 'ans' to itself. This line can be removed.",
        "category": "FP-E"
    }
]</t>
  </si>
  <si>
    <t>def count_substring(string):
    ans = 0
    count_A = 0
    for i in range(len(string)):
        if string[i] == 'A':
            count_A += 1
        if string[i] == 'X':
            ans += count_A
    return ans</t>
  </si>
  <si>
    <t>[
    {
    "line_number": "6",
    "feedback": "You are counting all the 'X's after each 'A'. However, you should consider that each 'A' starts a new substring. Therefore, you need to keep a count of 'A's and for each 'X' you find, add the current count of 'A's to the answer.",
        "category": "TP"
    }]</t>
  </si>
  <si>
    <t>def count_substring(string):
    count = 0
    start = 0
    for i in range(len(string)):
        if string[i] == 'A':
            start += 1
        elif string[i] == 'X' and start:
            count += start
    return count</t>
  </si>
  <si>
    <t>[
    {
        "line_number": "5",
        "feedback": "You should initialize 'start' to 0, not 'count'. 'start' should keep track of the number of 'A's encountered since the last 'X' (or the start of the string).",
        "category": "FP-H"
    },
    {
        "line_number": "7",
        "feedback": "You need to check each character in the string individually. If the character is 'A", then you should increment 'start'. If the character is 'X", then you should add 'start' to 'count' and continue. This is because each 'A' can form a substring with the 'X'.",
        "category": "TP"
    },
    {
        "line_number": "9",
        "feedback": "You should not be checking if string[i] == 'A' and string[n] == 'X' at the same time. These checks should be separate.",
        "category": "TP"
    },
    {
        "line_number": "11",
        "feedback": "You should only increment your count if you have encountered an 'A' before the 'X'. So, you should have a variable that keeps track of whether you have encountered an 'A'.",
        "category": "TP"
    },
    {
        "line_number": "15",
        "feedback": "You do not need this else statement. If the character is not an 'A' or an 'X", you should simply continue to the next character.",
        "category": "FP-I"
    }
]</t>
  </si>
  <si>
    <t>[
    {
        "line_number": "2",
        "feedback": "You should initialize "ans" to 1, not 0. Because anything multiplied by 0 is 0, your function will always return 0.",
        "category": "TP"
    },
    {
        "line_number": "3",
        "feedback": "You should iterate from 1 to n (inclusive), not from 0 to n. Also, you need to include a colon at the end of the for loop.",
        "category": "TP"
    },
    {
        "line_number": "4",
        "feedback": "You should multiply "ans" by the current number "i", not "n". Also, use the "*=" operator to update the value of "ans".",
        "category": "TP"
    }
]</t>
  </si>
  <si>
    <t>[
    {
    "line_number": "3",
    "feedback": "You should use a for loop as per the problem statement, not a while loop. Also, you forgot to update the value of n in the loop. It should be n = n - 1, not just n-1.",
        "category": "TP"
    },
    {
    "line_number": "4",
    "feedback": "In your loop, you should multiply ans by i, where i ranges from 1 to n. This is because the factorial of a number is the product of all positive integers up to that number.",
        "category": "TP"
    }
]</t>
  </si>
  <si>
    <t>[
    {
        "line_number": "2",
        "feedback": "You should initialize your result variable to 1, not 0. Because you are calculating a product, starting with 0 will always result in 0.",
        "category": "TP"
    },
    {
        "line_number": "3",
        "feedback": "You should be using a for loop to calculate the factorial, not a while loop. The while loop you have written is calculating something else.",
        "category": "TP"
    },
    {
        "line_number": "4",
        "feedback": "Your logic for updating the variable n is incorrect. You should be decrementing n by 1 each time, not dividing by 2 or multiplying by 3.",
        "category": "TP"
    },
    {
        "line_number": "6",
        "feedback": "You should be multiplying your result variable by i each time through the loop, not adding 1 to it.",
        "category": "TP"
    },
    {
        "line_number": "7",
        "feedback": "You should be returning your result variable, not a.",
        "category": "TP"
    }
]</t>
  </si>
  <si>
    <t>[
    {
        "line_number": "2",
        "feedback": "You forgot to initialize the variable "ans". It should be initialized to 1 before the loop starts. This is because the variable "ans" is used in the loop for multiplication, and any number multiplied by 1 remains the same. If "ans" is not initialized and you try to use it in the loop, it will cause an error because "ans" would not have a value yet.",
        "category": "TP"
    }
]</t>
  </si>
  <si>
    <t>result = int(input())
ans = result % 10
result = result // 10
ans += result % 10
result = result // 10
ans += result
result = ans</t>
  </si>
  <si>
    <t>[
    {
        "line_number": "1",
        "feedback": "You forgot to take the user's input. You should assign the input to the variable 'result' before performing operations on it.",
        "category": "TP"
    },
    {
        "line_number": "2",
        "feedback": "You should use '//' for integer division instead of '/'. The '//' operator performs floor division which returns the largest possible integer.",
        "category": "TP"
    },
    {
        "line_number": "4",
        "feedback": "You should use '//' for integer division instead of '/'. The '//' operator performs floor division which returns the largest possible integer.",
        "category": "TP"
    },
    {
        "line_number": "6",
        "feedback": "You should assign the final sum 'ans' back to 'result' as per the problem statement.",
        "category": "TP"
    }
]</t>
  </si>
  <si>
    <t>def decimal(b):
    ans = 0
    for digit in b:
        ans = ans * 2 + (1 if digit == '1' else 0)
    return ans</t>
  </si>
  <si>
    <t>[
    {
        "line_number": "2",
        "feedback": "The built-in 'int' function is not allowed to be used for this task. Instead, you should iterate over each digit in the binary string, multiply the current total by 2 (since binary is base 2), and then add 1 if the current digit is '1' and 0 otherwise. This will convert the binary number to its decimal equivalent.",
        "category": "TP"
    },
{
        "line_number": "2",
        "feedback": "Convert the integer variable b to string by using 'b=str(b)'",
        "category": "FN"
    }
]</t>
  </si>
  <si>
    <t>[
    {
        "line_number": "3",
        "feedback": "The input is a binary number, so it should be treated as a string. Convert the input to string first.",
        "category": "FP-H"
    },
    {
        "line_number": "5",
        "feedback": "The initial condition is not necessary and does not contribute to the final result. Remove it.",
        "category": "TP"
    },
    {
        "line_number": "7",
        "feedback": "The while loop is not the correct approach here. Instead, iterate over the reversed binary string.",
        "category": "FP-E"
    },
    {
        "line_number": "9",
        "feedback": "The condition inside the loop is not correct. You should check if the current digit is 1, not if the remaining number is odd.",
        "category": "TP"
    },
    {
        "line_number": "10",
        "feedback": "The calculation of the decimal value is incorrect. It should be 2 to the power of the position if the digit is 1.",
        "category": "TP"
    },
    {
        "line_number": "14",
        "feedback": "The else clause is not necessary and does not contribute to the final result. Remove it.",
        "category": "FP-E"
    }
]</t>
  </si>
  <si>
    <t>def fibo(n):
    if n == 1 or n == 2:
        return 1
    else:
        a, b = 1, 1
        for i in range(2, n):
            a, b = b, a + b
        return b</t>
  </si>
  <si>
    <t>[
    {
        "line_number": "4",
        "feedback": "The recursive approach you initially used can be inefficient for large inputs due to repeated computations. Instead, you can use a loop to calculate the Fibonacci sequence. This approach starts with the first two numbers in the sequence, then repeatedly calculates the next number by adding the last two, updating these two numbers each time. This is much more efficient for large inputs.",
        "category": "FP-H"
    }]</t>
  </si>
  <si>
    <t>def fibo(n):
    fib = [0, 1]
    for i in range(2, n+1):
        fib.append(fib[i-1] + fib[i-2])
    return fib[n]</t>
  </si>
  <si>
    <t>[
    {
    "line_number": "2",
    "feedback": "The base case for the Fibonacci sequence is correct, but your solution is not efficient for large inputs due to repeated computation. Consider using dynamic programming to store the Fibonacci numbers as you compute them.",
        "category": "TP"
    }]</t>
  </si>
  <si>
    <t>[
    {
        "line_number": "2",
        "feedback": "The Fibonacci sequence starts with two 1s. So, you should initialize two variables, say a and b, to 1.",
        "category": "TP"
    },
    {
        "line_number": "3",
        "feedback": "Your loop should start from 2 because the first two terms of the Fibonacci sequence are already defined. Also, the loop should run until n, not n+1.",
        "category": "TP"
    },
    {
        "line_number": "4",
        "feedback": "In each iteration, you should update a and b such that a becomes b and b becomes the sum of the old a and b. This is because each term in the Fibonacci sequence is the sum of the previous two terms.",
        "category": "TP"
    },
    {
        "line_number": "5",
        "feedback": "You should return b, not x, because b is the variable that holds the nth term of the Fibonacci sequence.",
        "category": "TP"
    }
]</t>
  </si>
  <si>
    <t>def fibo(n):
    a = 0
    b = 1
    for _ in range(n):
        a, b = b, a + b
    return a</t>
  </si>
  <si>
    <t>[
    {
    "line_number": "4",
    "feedback": "The Fibonacci sequence starts with two 1s, so if n is 1 or 2, the answer should be 1.",
        "category": "TP"
    },
    {
    "line_number": "6",
    "feedback": "You should use a for loop instead of a while loop. The loop should start from 0 and go up to n (not included), because we want to compute the nth term. Also, you can use tuple unpacking to swap the values of a and b, and to add the last two terms to get the next term in the sequence.",
        "category": "FP-E"
    },
    {
    "line_number": "8",
    "feedback": "The nth term of the Fibonacci sequence is stored in the variable a after the loop, so you should return a.",
        "category": "TP"
    }
]</t>
  </si>
  <si>
    <t>[
    {
        "line_number": "4",
        "feedback": "You forgot to put a colon at the end of the for loop. In Python, the syntax of the for loop is "for variable in iterable:", so you need to put a colon at the end.",
        "category": "TP"
    }]</t>
  </si>
  <si>
    <t>def reverse_number(n):
    reversed_number = 0
    while n &gt; 0:
        reversed_number = reversed_number * 10 + n % 10
        n = n // 10
    return reversed_number</t>
  </si>
  <si>
    <t>[
    {
        "line_number": "2",
        "feedback": "The initial approach to count the digits and then reverse the number is not necessary and makes the code more complex. A simpler approach is to continuously take the last digit of the number and add it to the reversed number after shifting the current digits one place to the left (multiplying by 10).",
        "category": "TP"
    },
    {
        "line_number": "4",
        "feedback": "The while loop condition should be 'n &gt; 0'. This is because we want to keep taking the last digit of the number and adding it to the reversed number until there are no more digits left.",
        "category": "TP"
    },
    {
        "line_number": "5",
        "feedback": "To reverse the number, continuously take the last digit of the number (n % 10) and add it to the reversed number after shifting the current digits one place to the left (multiplying by 10).",
        "category": "TP"
    },
    {
        "line_number": "6",
        "feedback": "After taking the last digit of the number, remove it by doing integer division by 10.",
        "category": "TP"
    }
]</t>
  </si>
  <si>
    <t>def reverse_number(num):
    n = 0
    while num:
        n*=10
        n += num%10
        num //= 10
    return n
def palindrome_count(a, b):
    ans = 0
    for A in range(a, b+1):
        if A == reverse_number(A):
            ans += 1
    return ans</t>
  </si>
  <si>
    <t>[
    {
        "line_number": "2",
        "feedback": "Indentation is incorrect in the 'reverse_number' function. Python uses indentation to define blocks of code.",
        "category": "FP-H"
    },
    {
        "line_number": "7",
        "feedback": "You don't need to convert the numbers to strings and compare each digit individually. You can directly compare the number and its reverse. If they are equal, then the number is a palindrome.",
        "category": "TP"
    },
    {
        "line_number": "8",
        "feedback": "The 'else: break' statement is not needed. If the numbers are not equal, the loop will automatically move to the next number.",
        "category": "FP-I"
    },
    {
        "line_number": "10",
        "feedback": "The check 'if i == len(x):' is not needed. You can directly increment 'ans' if the number is a palindrome.",
        "category": "FP-I"
    },
    {
        "line_number": "12",
        "feedback": "The 'pass' statement is not needed. It is used when a statement is required syntactically, but you do not want any command or code to execute.",
        "category": "FP-E"
    }
]</t>
  </si>
  <si>
    <t>[
    {
        "line_number": "6",
        "feedback": "You forgot to return the count of palindrome numbers. Always remember to return the result from your function.",
        "category": "TP"
    },
    {
        "line_number": "5",
        "feedback": "The continue statement is unnecessary here. The loop will automatically continue to the next iteration after executing the code inside the loop.",
        "category": "FP-E"
    }
]</t>
  </si>
  <si>
    <t>def find_mystery():
    z = 1
    while z&lt;=1000:
        if not mystery(z):
            return z
        z += 1</t>
  </si>
  <si>
    <t>[
    {
    "line_number": "2",
    "feedback": "The function mystery() is already defined in the prefix. You should define a new function to find the value of Z.",
        "category": "TP"
    },
    {
    "line_number": "4",
    "feedback": "The variable i is not needed. You should use z in the while loop.",
        "category": "FP-E"
    },
    {
    "line_number": "5",
    "feedback": "You should check if mystery(z) returns False, not if z equals i.",
        "category": "TP"
    },
    {
    "line_number": "6",
    "feedback": "Instead of printing z, you should return z when mystery(z) returns False.",
        "category": "TP"
    },
    {
    "line_number": "8",
    "feedback": "You should print nothing when mystery(z) returns True.",
        "category": "FP-E"
    },
    {
    "line_number": "10",
    "feedback": "You should increment z by 1, not i by i + 1.",
        "category": "FP-E"
    }
]</t>
  </si>
  <si>
    <t>def determine():
    z = 1
    while z&lt;=1000:
        if not mystery(z):
            return z
        z = z + 1
    return None</t>
  </si>
  <si>
    <t>[
    {
        "line_number": "2",
        "feedback": "The function determine does not need any parameter. Remove z from the function definition.",
        "category": "TP"
    },
    {
        "line_number": "5",
        "feedback": "You need to check if mystery(z) is False, not if z equals mystery(z). Change the if condition to 'if not mystery(z):'.",
        "category": "TP"
    },
    {
        "line_number": "6",
        "feedback": "You should return the value of z when mystery(z) is False. So, remove the increment operation from this line and place it after the if-else block.",
        "category": "TP"
    },
    {
        "line_number": "8",
        "feedback": "The function should return None if no value of z makes mystery(z) False. Add 'return None' at the end of the function.",
        "category": "FP-E"
    }
]</t>
  </si>
  <si>
    <t>result = [len(myList), min(myList), max(myList), sum(myList)]
return result</t>
  </si>
  <si>
    <t>[
    {
    "line_number": "1",
    "feedback": "You have correctly used the functions to get the length, minimum, maximum and sum of the list. However, you are not storing or returning the results of these functions. Therefore, even though the functions are being called, their results are not being used or displayed anywhere. You need to store the results in a list and return them.",
        "category": "TP"
    }]</t>
  </si>
  <si>
    <t>[
    {
        "line_number":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
    {
        "line_number": "2",
        "feedback": "You have used double quotes to enclose the string, which is correct. But you have not escaped the inner double quotes and single quotes. Use a backslash before the inner quotes to escape them.",
        "category": "TP"
    }
]</t>
  </si>
  <si>
    <t>[
    {
    "line_number": "1",
    "feedback": "You were close, but you made a small mistake. You don't need to escape the double quotes at the start and end of the string. Also, there should be a space after the comma before 'Steve recalled'. Lastly, the backslash in 'nested\\annoying' should only be escaped once, not twice.",
        "category": "TP"
    }]</t>
  </si>
  <si>
    <t>[
    {
        "line_number": "1",
        "feedback": "You don't need to create multiple strings and then concatenate them. You can define the entire string in one line. Also, to escape a character in a string, you can use the backslash (\\).",
        "category": "FP-E"
    },
    {
        "line_number": "2",
        "feedback": "The strip() function is not needed here. It is used to remove leading and trailing characters. In this case, you don't need to remove any characters.",
        "category": "FP-I"
    },
    {
        "line_number": "3",
        "feedback": "This line is not necessary. You can include this part of the string in the final string.",
        "category": "FP-E"
    },
    {
        "line_number": "4",
        "feedback": "This line is not necessary. You can include this part of the string in the final string.",
        "category": "FP-E"
    },
    {
        "line_number": "5",
        "feedback": "The lstrip() function is not needed here. It is used to remove leading characters. In this case, you don't need to remove any characters.",
        "category": "FP-I"
    },
    {
        "line_number": "6",
        "feedback": "This line is not necessary. You can include this part of the string in the final string.",
        "category": "FP-E"
    },
    {
        "line_number": "7",
        "feedback": "The rstrip() function is not needed here. It is used to remove trailing characters. In this case, you don't need to remove any characters.",
        "category": "FP-I"
    },
    {
        "line_number": "8",
        "feedback": "Instead of concatenating multiple strings, you can define the entire string in one line.",
        "category": "FP-E"
    }
]</t>
  </si>
  <si>
    <t>[
    {
        "line_number": "1",
        "feedback": "You need to correctly escape the nested quotes and backslashes. To include a double quote inside a string, you can use \\\". To include a single quote, you can use \\\'. To include a backslash, you need to use \\\\.",
        "category": "FP-I"
    },
    {
        "line_number": "2",
        "feedback": "This line is not necessary. You can define the entire string in one line.",
        "category": "FP-E"
    },
    {
        "line_number": "3",
        "feedback": "This line is not necessary. You can define the entire string in one line.",
        "category": "FP-E"
    }
]</t>
  </si>
  <si>
    <t>s = "He said, 'This is nested\\\\annoying", Steve recalled."</t>
  </si>
  <si>
    <t>[
    {
        "line_number": "1",
        "feedback": "You're on the right track with using escape characters to handle quotes and backslashes. However, you missed to include ", Steve recalled.' in your string. Remember, the entire sentence including ", Steve recalled.' should be part of the string. Also, the backslash in the nested string should be escaped twice, not once. So it should be '\\\\\\\\' instead of '\\' inside the string.",
        "category": "FP-I"
    }
]</t>
  </si>
  <si>
    <t>[
    {
        "line_number": "1",
        "feedback": "You have extra escape characters before commas which are not needed. Also, the backslash in 'nested\\annoying' should be escaped only once, not twice. So the correct line should be: s = \"He said, 'This is nested\\annoying", Steve recalled\"",
        "category": "FP-I"
    }
]</t>
  </si>
  <si>
    <t>[
    {
    "line_number": "1",
    "feedback": "You were close! The only mistake was with the backslash. In Python, if you want to print a single backslash, you need to use two backslashes (\\\\). So, the correct code would be: s = \"He said, 'This is nested\\\\annoying", Steve recalled.\"",
        "category": "FP-I"
    }]</t>
  </si>
  <si>
    <t>def pad(message):
    space = 140 - len(message)
    if space % 2 == 0:
        message += ' ' + 'lo'*((space-1) // 2) + 'l'
    else:
        message += 'lo'*(space // 2)
    return message</t>
  </si>
  <si>
    <t>[
    {
        "line_number": "2",
        "feedback": "You should calculate the remaining space after adding the message, and then check if it's even or odd. If it's even, add a space to the message and then add 'lo' for half of the remaining space after adding the space, and then add 'l'.",
        "category": "TP"
    },
    {
        "line_number": "5",
        "feedback": "If the remaining space is odd, you should add 'lo' for half of the remaining space. You do not need to add 'l' at the end in this case because the 'lo' sequence will already end with 'l'.",
        "category": "FP-I"
    }
]</t>
  </si>
  <si>
    <t>def pad(message):
    space = 140 - len(message)
    if space == 0:
        return message
    if len(message) % 2 == 0:
        return message + " " + "lo" * ((space - 1) // 2) + "l"
    else:
        return message + "lo" * (space // 2) + "l"</t>
  </si>
  <si>
    <t>[
    {
        "line_number": "3",
        "feedback": "The total length of the tweet should be 140 characters, not 139. So, you should subtract the length of the message from 140, not 139.",
        "category": "TP"
    },
    {
        "line_number": "5",
        "feedback": "The 'lolololol' part should be added after a space if the length of the message is even, not if the remaining space is even. So, you should check if the length of the message is even, not if the remaining space is even.",
        "category": "TP"
    },
    {
        "line_number": "6",
        "feedback": "The 'lolololol' part should be added without a space if the length of the message is odd, not if the remaining space is odd. So, you should check if the length of the message is odd, not if the remaining space is odd.",
        "category": "TP"
    }
]</t>
  </si>
  <si>
    <t>def pad(message):
    # Your code here
    a = len(message)
    b = message[ : a]
    c = 140 - a
    if a % 2 == 0:
        b += " "
        c -= 1
    for d in range( c // 2):
        b += "lo"
    if c % 2 != 0:
        b += "l"
    tweet = b
    return tweet</t>
  </si>
  <si>
    <t>[
    {
    "line_number": "7",
    "feedback": "Your logic for adding a space only when the remaining characters are even is incorrect. According to the problem statement, you should add a space only when the length of the message is even, not when the remaining characters are even. So, you should check if 'a' (the length of the message) is even, not 'c' (the remaining characters).",
        "category": "TP"
    },
    {
    "line_number": "12",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
    }]</t>
  </si>
  <si>
    <t>def pad(message):
    r = 140 - len(message)
    if r % 2 == 0:
        message += " "
        r -= 1
    count = r // 2
    lo = "lo" * count
    if r % 2 != 0:
        lo += "l"
    message += lo
    return message</t>
  </si>
  <si>
    <t>[
    {
        "line_number": "5",
        "feedback": "You are reducing the remaining characters by 1 unnecessarily when the remaining characters are even. This is not required as per the problem statement.",
        "category": "TP"
    },
    {
        "line_number": "8",
        "feedback": "You are always adding an extra 'l' at the end of the message. This should only be done when the remaining characters are odd.",
        "category": "TP"
    }
]</t>
  </si>
  <si>
    <t>def pad(message):
    if (len(message))%2 ==0:
        message+=' '
    y=(140-len(message))//2
    message+='lo'*y
    if (140-len(message))%2!=0:
        message+='l'
    return message</t>
  </si>
  <si>
    <t>[
    {
    "line_number": "2",
    "feedback": "You are adding a space to the message if the length of the message is even. However, you should add a space only if the length of the message is odd. So, you should change your condition to (len(message))%2 !=0.",
        "category": "FP-I"
    },
    {
    "line_number": "5",
    "feedback": "You are adding 'lo' to the message without considering the total length of the message. If the length of the message is already 140, you should not add 'lo'. Instead, you should add 'lo' only if the length of the message is less than 140. So, you should change your code to message+='lo'*y.",
        "category": "FP-H"
    },
    {
    "line_number": "6",
    "feedback": "You are adding 'l' to the message if the length of the message is odd. However, you should add 'l' only if the length of the message is even. So, you should change your condition to if (140-len(message))%2==0.",
        "category": "FP-I"
    }
]</t>
  </si>
  <si>
    <t>def pad(message):
    x=message
    if len(x)%2==1:
        while len(x)&lt;140:
            if len(x)==139:
                x=x+'l'
            else:
                x=x+'l'
                x=x+'o'
    elif len(x)%2==0 and len(x)!=140:
        x=x+' '
        while len(x)&lt;140:
            if len(x)==139:
                x=x+'l'
            else:
                x=x+'l'
                x=x+'o'
    return x</t>
  </si>
  <si>
    <t>def pig_latin_sentence(sentence):
    xo = sentence.split()
    res = ''
    for counter in range(len(xo)):
        y = len(xo[counter])
        ans = ''
        for counter1 in range(y):
            if counter1 == 0:
                thi = xo[counter][0]
            else:
                ans = ans + xo[counter][counter1]
        ans = ans + thi + 'ay'
        res = res + ans + ' '
    return res.strip()</t>
  </si>
  <si>
    <t>[
    {
    "line_number": "6",
    "feedback": "The inner loop is not iterating over all the characters of the word. It should iterate over all the characters, not excluding the last one.",
        "category": "FP-I"
    },
    {
    "line_number": "7",
    "feedback": "You are always setting 'thi' to the first character of the word in every iteration. You should set 'thi' to the first character only in the first iteration.",
        "category": "FP-I"
    },
    {
    "line_number": "14",
    "feedback": "The logic for the last word in the sentence is the same as for the other words. You do not need to handle it separately.",
        "category": "FP-I"
    },
    {
    "line_number": "18",
    "feedback": "Remember to remove the trailing space at the end of the sentence. You can use the strip() function to remove trailing spaces.",
        "category": "FP-I"
    }
]</t>
  </si>
  <si>
    <t>[
    {
        "line_number": "3",
        "feedback": "Your logic for checking if a number is a palindrome is incorrect. You are trying to compare the first and last digits, but you are not considering the middle digit for numbers with 3 digits. Also, for 2 digit numbers, your logic for checking if a number is a palindrome is incorrect. You should reverse the number and compare it with the original number.'
        "category": "FP-I"
    },
    {
        "line_number": "5",
        "feedback": "Your condition for checking if a number is a palindrome is incorrect. You should reverse the number and compare it with the original number.'
        "category": "FP-E"
    },
    {
        "line_number": "7",
        "feedback": "Your condition for checking if a number is a palindrome is correct for single digit numbers. But you should also check if the number is within the valid range.'
        "category": "FP-I"
    },
    {
        "line_number": "9",
        "feedback": "Your condition for checking if a number is not a palindrome is incorrect. You should check if the number is less than 0 or greater than 999.'
        "category": "FP-I"
    }{
    "line_number": "3",
    "feedback": "Use interger division // instead of float division /. Similarly in the below condition",
        "category": "FN"
    }]</t>
  </si>
  <si>
    <t>def palindromeNumber(number):
    number = int(number)
    if number &lt;= 999 and number &gt;= 0:
        reversedNumber = int(str(number)[::-1])
        if number == reversedNumber:
            return True
        else:
            return False
    else:
        return False</t>
  </si>
  <si>
    <t>[
    {
    "line_number": "3",
    "feedback": "Your condition to check if the number is within the range 0 to 999 is incorrect. It should be 'if number &lt;= 999 and number &gt;= 0:' instead of 'if number &lt; 999 or number &gt; 0:'.",
        "category": "TP"
    },
    {
    "line_number": "4",
    "feedback": "The way you are trying to check if the number is a palindrome is incorrect. A simpler and more effective way is to convert the number to a string, reverse it and then convert it back to an integer. If the original number and the reversed number are the same, then the number is a palindrome.",
        "category": "FP-E"
    },
    {
    "line_number": "5",
    "feedback": "You need to check if the original number and the reversed number are the same inside the if statement where you check if the number is within the valid range.",
        "category": "FP-I"
    },
    {
        "line_number": "11",
        "feedback": "Depending on whether the number is 3-digit or 2-digit, your condition should either be a==b or b==c respectively, to return True. ",
        "category": "FN"
    }
]</t>
  </si>
  <si>
    <t>def palindromeNumber(number):
    if (number &gt;= 0) and (number &lt;= 9):
        result = True
    elif (number &gt;= 10) and (number &lt;= 99):
        if number % 10 == number // 10:
            result = True
        else:
            result = False
    elif (number &gt;= 100) and (number &lt;= 999):
        if number % 10 == number // 100 and (number // 10) % 10 == (number // 10) % 10:
            result = True
        else:
            result = False
    else:
        result = False
    return result</t>
  </si>
  <si>
    <t>[
    {
    "line_number":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
    {
    "line_number": "6",
    "feedback": "You need to return a result for every possible input. The function does not return anything when the input is not in the range 0-999. You should add an else clause to handle this case.",
        "category": "TP"
    }
]</t>
  </si>
  <si>
    <t>[
    {
        "line_number": "2",
        "feedback": "You need to check if the number is between 0 and 999. If it is not, return False.",
        "category": "TP"
    },
    {
        "line_number": "3",
        "feedback": "Your logic for checking if a number is a palindrome is incorrect. You need to reverse the number and then compare it with the original number. If they are the same, then the number is a palindrome.",
        "category": "TP"
    },
    {
        "line_number": "4",
        "feedback": "Indentation is important in Python. The "result=True" statement should be indented under the if statement.",
        "category": "TP"
    },
    {
        "line_number": "5",
        "feedback": "The else statement should be aligned with the if statement.",
        "category": "TP"
    },
    {
        "line_number": "6",
        "feedback": "The "result=False" statement should be indented under the else statement.",
        "category": "FP-H"
    },
    {
        "line_number": "7",
        "feedback": "The return statement should be aligned with the if and else statements.",
        "category": "FP-H"
    }
]</t>
  </si>
  <si>
    <t>def palindromeNumber(number):
    if number &gt;= 1000 or number &lt; 0:
        return False
    else:
        ones = number % 10
        tens = (number // 10) % 10
        hundreds = number // 100
        if hundreds &gt; 0:
            y = int(str(hundreds) + str(tens) + str(ones))
        else:
            y = int(str(tens) + str(ones))
        if number == y:
            return True
        else:
            return False</t>
  </si>
  <si>
    <t>[
    {
        "line_number": "3",
        "feedback": "You don't need to convert the number to int as it is already an integer.",
        "category": "TP"
    },
    {
        "line_number": "6",
        "feedback": "You don't need to convert the number to int as it is already an integer. Also, you are trying to get the last two digits of the number by using number%100 which is not correct. You should get the ones place by using number%10 and the tens place by using (number//10)%10.",
        "category": "FP-E"
    },
    {
        "line_number": "7",
        "feedback": "You are trying to get the tens place by dividing the last two digits by 10. This is not correct. You should get the tens place by using (number//10)%10.",
        "category": "TP"
    },
    {
        "line_number": "8",
        "feedback": "You are trying to get the hundreds place by subtracting tens and ones from the number and then dividing by 100. This is not correct. You should get the hundreds place by using number//100.",
        "category": "FP-E"
    },
    {
        "line_number": "10",
        "feedback": "You are trying to form the reversed number by concatenating ones, tens and hundreds as strings and then converting to int. This is not correct. You should form the reversed number by using hundreds*100 + tens*10 + ones for three digit numbers and tens*10 + ones for two digit numbers.",
        "category": "FP-E"
    },
    {
        "line_number": "15",
        "feedback": "You don't need to convert the number to int for the comparison as it is already an integer.",
        "category": "FP-I"
    },
    {
        "line_number": "6",
        "feedback": "Instead of a adding a dummy string continue here, shift the below code until return result inside the else part",
        "category": "FN"
    }
]</t>
  </si>
  <si>
    <t>def palindromeNumber(number):
    if (number//1000==0) and (number&gt;=0):
        a=str(number)
        b=a[::-1]
        result= a==b
        return result
    else:
        return False</t>
  </si>
  <si>
    <t>[
    {
    "line_number": "4",
    "feedback": "You are only comparing the first and last digits of the number. This will not work for numbers with more than 2 digits. You need to reverse the string and compare it with the original string to check if the number is a palindrome.",
        "category": "TP"
    }
]</t>
  </si>
  <si>
    <t>def palindromeNumber(n):
    if n &lt; 0 or n &gt; 999:
        return False
    temp = n
    reverse=0
    while temp!=0:
        digit=temp%10
        temp=temp//10
        reverse=reverse*10+digit
    if n==reverse:
        return True
    else:
        return False</t>
  </si>
  <si>
    <t>def rectangles(x1, y1, w1, h1, x2, y2, w2, h2):
    # Check if the rectangles are valid
    if w1 &lt;= 0 or h1 &lt;= 0 or w2 &lt;= 0 or h2 &lt;= 0:
        return "Not a valid rectangle"
    # Calculate the coordinates of the four corners of the rectangles
    r1_left, r1_right = x1 - w1 / 2, x1 + w1 / 2
    r1_bottom, r1_top = y1 - h1 / 2, y1 + h1 / 2
    r2_left, r2_right = x2 - w2 / 2, x2 + w2 / 2
    r2_bottom, r2_top = y2 - h2 / 2, y2 + h2 / 2
    # Check the relationship between the two rectangles
    if (r1_left, r1_right, r1_bottom, r1_top) == (r2_left, r2_right, r2_bottom, r2_top):
        return "r2 intersect r1 exactly"
    elif r1_left &lt;= r2_left and r2_right &lt;= r1_right and r1_bottom &lt;= r2_bottom and r2_top &lt;= r1_top:
        return "r2 is inside r1"
    elif r1_right &lt; r2_left or r2_right &lt; r1_left or r1_top &lt; r2_bottom or r2_top &lt; r1_bottom:
        return "r2 does not overlap r1"
    else:
        return "r2 overlaps r1"</t>
  </si>
  <si>
    <t>[
    {
        "line_number": "5",
        "feedback": "You need to check if the rectangles are valid by ensuring both the width and height are greater than 0.",
        "category": "TP"
    },
    {
        "line_number": "8",
        "feedback": "You should calculate the coordinates of the four corners of the rectangles instead of using the center coordinates directly.",
        "category": "TP"
    },
    {
        "line_number": "12",
        "feedback": "You should check if the four corners of r2 are all inside r1 to determine if r2 is inside r1.",
        "category": "TP"
    },
    {
        "line_number": "14",
        "feedback": "You should check if r1 and r2 do not overlap to determine if r2 does not overlap r1.",
        "category": "TP"
    },
    {
        "line_number": "16",
        "feedback": "If none of the above conditions are met, then r2 overlaps r1.",
        "category": "TP"
    }
]</t>
  </si>
  <si>
    <t>def rectangles(x1, y1, w1, h1, x2, y2, w2, h2):
    if w1 &lt;= 0 or h1 &lt;= 0 or w2 &lt;= 0 or h2 &lt;= 0:
        return "Not a valid rectangle"
    r1_left, r1_right = x1 - w1 / 2, x1 + w1 / 2
    r1_bottom, r1_top = y1 - h1 / 2, y1 + h1 / 2
    r2_left, r2_right = x2 - w2 / 2, x2 + w2 / 2
    r2_bottom, r2_top = y2 - h2 / 2, y2 + h2 / 2
    if r2_left &gt;= r1_left and r2_right &lt;= r1_right and r2_bottom &gt;= r1_bottom and r2_top &lt;= r1_top:
        return "r2 is inside r1"
    elif r1_left == r2_left and r1_right == r2_right and r1_bottom == r2_bottom and r1_top == r2_top:
        return "r2 intersect r1 exactly"
    elif r2_right &lt; r1_left or r2_left &gt; r1_right or r2_top &lt; r1_bottom or r2_bottom &gt; r1_top:
        return "r2 does not overlap r1"
    else:
        return "r2 overlaps r1"</t>
  </si>
  <si>
    <t>[
    {
        "line_number": "2",
        "feedback": "Your condition for checking if the rectangles are valid is correct. A rectangle is considered valid if both its width and height are greater than 0.",
        "category": "FP-E"
    },
    {
        "line_number": "4",
        "feedback": "You need to calculate the left, right, top, and bottom coordinates of the rectangles. The left coordinate is the center x coordinate minus half the width, the right coordinate is the center x coordinate plus half the width, the bottom coordinate is the center y coordinate minus half the height, and the top coordinate is the center y coordinate plus half the height.",
        "category": "TP"
    },
    {
        "line_number": "8",
        "feedback": "You need to check if the second rectangle (r2) is inside the first rectangle (r1). So, you should check if the left, right, bottom, and top coordinates of r2 are within the left, right, bottom, and top coordinates of r1 respectively.",
        "category": "TP"
    },
    {
        "line_number": "10",
        "feedback": "You need to check if the second rectangle (r2) intersects the first rectangle (r1) exactly. So, you should check if the left, right, bottom, and top coordinates of r2 are equal to the left, right, bottom, and top coordinates of r1 respectively.",
        "category": "TP"
    },
    {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"TP"
    },
    {
        "line_number": "14",
        "feedback": "If none of the above conditions are met, then the second rectangle (r2) overlaps the first rectangle (r1).",
        "category": "TP"
    },
,
    {
        "line_number": "14",
        "feedback": "Your condition for 'r2 is inside r1", 'r2 does not overlap r1", and "r2 overlaps r1' is incorrect. Compute the x and y cordinates and use abs values to improve your code",
        "category": "FN"
    }
]</t>
  </si>
  <si>
    <t>def rectangles(x1, y1, w1, h1, x2, y2, w2, h2):
    if (w1 &lt;= 0.0) or (h1 &lt;= 0.0) or (w2 &lt;= 0.0 )or (h2 &lt;= 0.0):
        return "Not a valid rectangle"
    high1 = y1 + (0.5 * h1)
    low1 = y1 - (0.5 * h1)
    left1 = x1 - (0.5 * w1)
    right1 = x1 + (0.5 * w1)
    high2 = y2 + (0.5 * h2)
    low2= y2 - (0.5 * h2)
    left2 = x2 - (0.5 * w2)
    right2 = x2 + (0.5 * w2)
    #Case 4
    if ((high1 == high2) and (low1 == low2) and (left1 == left2) and (right1 == right2)):
        return "r2 intersect r1 exactly"
    #Case 1
    if ((high2 &lt;= high1) and (low2 &gt;= low1) and (left2 &gt;= left1) and (right2 &lt;= right1)):
        return "r2 is inside r1"
    #Case 2
    if ((high2 &lt; high1) and (low2 &gt; low1) and (left2 &lt; right1) and (right2 &gt; left1)):
        return "r2 overlaps r1"
    #Case 3
    return "r2 does not overlap r1"</t>
  </si>
  <si>
    <t>[
    {
    "line_number": "4",
    "feedback": "The check for valid rectangles should be done at the beginning of the function. If the rectangle is not valid, we should return immediately and not proceed with further calculations.",
        "category": "TP"
    },
    {
    "line_number": "18",
    "feedback": "The conditions for checking if r2 is inside r1 were correct. We need to check if all the sides of r2 are within the sides of r1.",
        "category": "FP-E"
    },
    {
    "line_number": "22",
    "feedback": "The conditions for checking if r2 overlaps r1 were incorrect. We need to check if any of the sides of r2 intersect with the sides of r1. The conditions should be that the right side of r2 is greater than the left side of r1 and the left side of r2 is less than the right side of r1.",
        "category": "TP"
    },
    {
    "line_number": "14",
    "feedback": "The conditions for checking if r2 intersects r1 exactly were correct.",
        "category": "FP-E"
    },
    {
    "line_number": "26",
    "feedback": "If none of the above conditions are met, then r2 does not overlap r1. So, we can return this as the default case.",
        "category": "TP"
    }
]</t>
  </si>
  <si>
    <t>def rectangles(x1, y1, w1, h1, x2, y2, w2, h2):
    # WRITE YOUR CODE HERE
    a = x1 - w1/2 #left side of r1
    b = x1 + w1/2 # right side of r1
    c = x2 - w2/2 # left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c and b &gt;= d and e &gt;= g and f &lt;= h:
        message = "r2 is inside r1"
    elif a &lt;= d and b &gt;= c and e &gt;= h and f &lt;= g:
        message = "r2 overlaps r1"
    else:
        message = "r2 does not overlap r1"
    return message</t>
  </si>
  <si>
    <t>[
    {
    "line_number": "19",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
    }
]</t>
  </si>
  <si>
    <t>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&gt;= y2 - h2/2) or (x1 - w1/2 &lt;= x2 + w2/2 and y1 - h1/2 &lt;= y2 + h2/2):
        message = "r2 overlaps r1"
        return message
    else:
        message = "r2 does not overlap r1"
    return message</t>
  </si>
  <si>
    <t>[
    {
        "line_number": "2",
        "feedback": "The condition to check if the rectangle is valid should be 'w1 &lt;= 0 or h1 &lt;= 0 or w2 &lt;= 0 or h2 &lt;= 0' instead of 'w1 &lt; 0 or h1 &lt; 0 or w2 &lt; 0 or h2 &lt; 0'. Because a rectangle with either width or height equal to 0 is not a valid rectangle.",
        "category": "TP"
    },
    {
        "line_number": "9",
        "feedback": "The conditions to check if r2 overlaps r1 are incorrect. It should be '(x1 + w1/2 &gt;= x2 - w2/2 and y1 + h1/2 &gt;= y2 - h2/2) or (x1 - w1/2 &lt;= x2 + w2/2 and y1 - h1/2 &lt;= y2 + h2/2)'.",
        "category": "TP"
    },
    {
        "line_number": "13",
        "feedback": "The condition to check if r2 does not overlap r1 is incorrect. It should be 'else' instead of 'elif'. Because if none of the previous conditions are met, it means that r2 does not overlap r1.",
        "category": "FP-H"
    }
]</t>
  </si>
  <si>
    <t>def rectangles(x1, y1, w1, h1, x2, y2, w2, h2):
    if w1 &lt;= 0 or h1 &lt;= 0 or w2 &lt;= 0 or h2 &lt;= 0:
        return "Not a valid rectangle"
    if x1==x2 and y1==y2 and w1==w2 and h1==h2:
        return "r2 intersect r1 exactly"
    elif ((x2 + w2/2)&lt;=(x1 + w1/2)) and ((x2 - w2/2)&gt;=(x1 - w1/2)) and ((y2 + h2/2)&lt;=(y1 + h1/2)) and ((y2 - h2/2)&gt;=(y1 - h1/2)):
        return "r2 is inside r1"
    elif ((((x1 - w1/2) &lt;= (x2 + w2/2)) and ((y1 - h1/2) &lt;= (y2 + h2/2))) and (((x1 + w1/2) &gt;= (x2 - w2/2)) and ((y1 + h1/2) &gt;= (y2 - h2/2)))):
        return "r2 overlaps r1"
    else:
        return "r2 does not overlap r1"</t>
  </si>
  <si>
    <t>[
    {
        "line_number": "8",
        "feedback": "The condition to check if 'r2 overlaps r1' is incorrect. It should be an 'and' condition instead of 'or'.",
        "category": "TP"
    },
 {
        "line_number": "2",
        "feedback": "Missed the case of invalid rectangle",
        "category": "FN"
    }
]</t>
  </si>
  <si>
    <t>def rectangles(x1, y1, w1, h1, x2, y2, w2, h2):
    if h1 &lt;= 0 or h2 &lt;= 0 or w1 &lt;= 0 or w2 &lt;= 0:
        return 'Not a valid rectangle'
    else:
        left1, right1 = x1 - w1/2, x1 + w1/2
        bottom1, top1 = y1 - h1/2, y1 + h1/2
        left2, right2 = x2 - w2/2, x2 + w2/2
        bottom2, top2 = y2 - h2/2, y2 + h2/2
        if left1 &lt;= left2 and right1 &gt;= right2 and bottom1 &lt;= bottom2 and top1 &gt;= top2:
            if left1 == left2 and right1 == right2 and bottom1 == bottom2 and top1 == top2:
                return "r2 intersect r1 exactly"
            else:
                return "r2 is inside r1"
        elif right1 &lt; left2 or left1 &gt; right2 or top1 &lt; bottom2 or bottom1 &gt; top2:
            return "r2 does not overlap r1"
        else:
            return "r2 overlaps r1"</t>
  </si>
  <si>
    <t>def rectangles(x1, y1, w1, h1, x2, y2, w2, h2):
    if w1 &lt;= 0 or h1 &lt;= 0 or w2 &lt;= 0 or h2 &lt;= 0:
        return "Not a valid rectangle"
    left1, right1 = x1 - w1/2, x1 + w1/2
    bottom1, top1 = y1 - h1/2, y1 + h1/2
    left2, right2 = x2 - w2/2, x2 + w2/2
    bottom2, top2 = y2 - h2/2, y2 + h2/2
    if left1 == left2 and right1 == right2 and bottom1 == bottom2 and top1 == top2:
        return "r2 intersect r1 exactly"
    elif left1 &lt;= left2 and right1 &gt;= right2 and bottom1 &lt;= bottom2 and top1 &gt;= top2:
        return "r2 is inside r1"
    elif right1 &lt; left2 or left1 &gt; right2 or top1 &lt; bottom2 or bottom1 &gt; top2:
        return "r2 does not overlap r1"
    else:
        return "r2 overlaps r1"</t>
  </si>
  <si>
    <t>[
    {
    "line_number": "2",
    "feedback": "The initial code was hardcoded for specific values and did not take into account the general case. You need to calculate the corners of the rectangles and compare them to determine the relationship between the rectangles.",
        "category": "TP"
    },
    {
    "line_number": "3",
    "feedback": "You need to check if the rectangles are valid by ensuring that both the width and height are greater than 0.",
        "category": "TP"
    },
    {
    "line_number": "5",
    "feedback": "To determine if the rectangles are exactly the same, you need to check if the corners of both rectangles are equal.",
        "category": "TP"
    },
    {
    "line_number": "7",
    "feedback": "To determine if one rectangle is inside the other, you need to check if the corners of the first rectangle are outside the corners of the second rectangle.",
        "category": "TP"
    },
    {
    "line_number": "9",
    "feedback": "To determine if the rectangles do not overlap, you need to check if one rectangle is completely to the left, right, above, or below the other.",
        "category": "TP"
    },
    {
    "line_number": "11",
    "feedback": "If none of the above conditions are met, then the rectangles overlap.",
        "category": "TP"
    }
]</t>
  </si>
  <si>
    <t>def rectangles(x1, y1, w1, h1, x2, y2, w2, h2):
    if w1 &lt;= 0 or h1 &lt;= 0 or w2 &lt;= 0 or h2 &lt;= 0:
        return 'Not a valid rectangle'
    elif x1 == x2 and y1 == y2 and w1 == w2 and h1 == h2:
        return 'r2 intersect r1 exactly'
    elif abs(x1 - x2) * 2 &lt; w1 and abs(y1 - y2) * 2 &lt; h1:
        return 'r2 is inside r1'
    elif abs(x1 - x2) * 2 &lt; w1 + w2 and abs(y1 - y2) * 2 &lt; h1 + h2:
        return 'r2 overlaps r1'
    else:
        return 'r2 does not overlap r1'</t>
  </si>
  <si>
    <t>[
    {
    "line_number": "2",
    "feedback": "You should check if the width or height of the rectangles are less than or equal to zero, not just equal to zero. If they are, return "Not a valid rectangle".",
        "category": "TP"
    },
    {
    "line_number": "4",
    "feedback": "You should check if the rectangles have the same center and dimensions to determine if they intersect exactly. If they do, return "r2 intersect r1 exactly".",
        "category": "TP"
    },
    {
    "line_number": "6",
    "feedback": "You should check if the absolute difference between the x-coordinates times 2 is less than the width of the first rectangle and the absolute difference between the y-coordinates times 2 is less than the height of the first rectangle to determine if one rectangle is inside the other. If it is, return "r2 is inside r1".",
        "category": "FP-I"
    },
    {
    "line_number": "8",
    "feedback": "You should check if the absolute difference between the x-coordinates times 2 is less than the sum of the widths and the absolute difference between the y-coordinates times 2 is less than the sum of the heights to determine if the rectangles overlap. If they do, return "r2 overlaps r1".",
        "category": "FP-I"
    },
    {
    "line_number": "10",
    "feedback": "If none of the above conditions are met, the rectangles do not overlap. In this case, return "r2 does not overlap r1".",
        "category": "TP"
    }
]</t>
  </si>
  <si>
    <t>def rectangles(x1, y1, w1, h1, x2, y2, w2, h2):
    if w1 &lt;= 0 or w2 &lt;= 0 or h1 &lt;= 0 or h2 &lt;= 0:
        return "Not a valid rectangle"
    else:
        if x1 == x2 and y1 == y2 and w1 == w2 and h1 == h2:
            return "r2 intersect r1 exactly"
        elif abs(x1 - x2) * 2 &gt;= w1 + w2 or abs(y1 - y2) * 2 &gt;= h1 + h2:
            return "r2 does not overlap r1"
        elif abs(x1 - x2) * 2 &lt; w1 and abs(y1 - y2) * 2 &lt; h1:
            return "r2 is inside r1"
        else:
            return "r2 overlaps r1"</t>
  </si>
  <si>
    <t>[
    {
        "line_number": "3",
        "feedback": "You should check if the width or height is less than or equal to 0, not just less than 0. Also, you can combine all these conditions into one using the logical OR operator.",
        "category": "TP"
    },
    {
        "line_number": "10",
        "feedback": "The condition for checking if one rectangle does not overlap the other is incorrect. You should check if the distance between the centers of the rectangles is greater than or equal to the sum of half of their widths or heights.",
        "category": "TP"
    },
    {
        "line_number": "13",
        "feedback": "The condition for checking if one rectangle is inside the other is incorrect. You should check if the distance between the centers of the rectangles is less than or equal to the difference of half of their widths or heights.",
        "category": "TP"
    },
    {
        "line_number": "16",
        "feedback": "You need to handle the case where the rectangles overlap but one is not inside the other. This can be done by checking if the distance between the centers of the rectangles is less than or equal to the sum of half of their widths or heights.",
        "category": "FP-I"
    }
]</t>
  </si>
  <si>
    <t>def rectangles(x1, y1, w1, h1, x2, y2, w2, h2):
    if (w1&lt;=0) or (h1&lt;=0) or (w2&lt;=0) or (h2&lt;=0):
        return "Not a valid rectangle"
    elif (x1==x2) and (y1==y2) and (w1==w2) and (h1==h2):
        return "r2 intersect r1 exactly"
    elif ((x1+w1/2)&gt;=(x2+w2/2)) and ((x1-w1/2)&lt;=(x2-w2/2)) and ((y1+h1/2)&gt;=(y2+h2/2)) and ((y1-h1/2)&lt;=(y2-h2/2)):
        return "r2 is inside r1"
    elif (((x1+w1/2)&gt;=(x2+w2/2)) and ((y1+h1/2)&gt;=(y2+h2/2))) or ((x1-w1/2)&lt;=(x2-w2/2)) and ((y1-h1/2)&lt;=(y2-h2/2)):
        return "r2 overlaps r1"
    elif ((x1+w1/2)&lt;(x2-w2/2)) or ((x1-w1/2)&gt;(x2+w2/2)) or ((y1+h1/2)&lt;(y2-h2/2)) or ((y1-h1/2)&gt;(y2+h2/2)):
        return "r2 does not overlap r1"</t>
  </si>
  <si>
    <t>[
    {
    "line_number": "10",
    "feedback": "The condition to check if r2 does not overlap r1 is incorrect. You should compare the coordinates of the edges of the rectangles, not the coordinates of the centers. The edge of a rectangle is calculated by adding or subtracting half of the width or height to or from the center coordinate.",
        "category": "TP"
    }
]</t>
  </si>
  <si>
    <t>def turnstiles(A, B, C, D, X):
    cycle1 =  A + B
    work1 = X % cycle1
    if work1 &lt;= A and work1 != 0:
        ans1 = True
    else :
        ans1 = False
    cycle2 =  C + D 
    work2 = X % cycle2
    if work2 &lt;= C and work2 != 0:
        ans2 = True
    else :
        ans2 = False
    if ans1 == True and ans2 == True : 
        ans = 2
    elif ans1 == True or ans2 == True:
        ans = 1
    else :
        ans = 0
    return ans</t>
  </si>
  <si>
    <t>[
    {
        "line_number": "5",
        "feedback": "The condition to check if the first turnstile is working is incorrect. It should be 'work1 &lt;= A and work1 != 0' instead of '(work1 - A) &gt;= 0'. The turnstile is working if the remainder of X divided by the cycle time is less than or equal to A and not equal to 0 (which means X is not a multiple of the cycle time and the turnstile is not in the breakdown period).",
        "category": "TP"
    },
    {
        "line_number": "12",
        "feedback": "The condition to check if the second turnstile is working is incorrect. It should be 'work2 &lt;= C and work2 != 0' instead of '(work1 - C ) &gt;= 0'. Also, you have used the wrong variable work1 instead of work2. The turnstile is working if the remainder of X divided by the cycle time is less than or equal to C and not equal to 0 (which means X is not a multiple of the cycle time and the turnstile is not in the breakdown period).",
        "category": "TP"
    },
    {
        "line_number": "7",
        "feedback": "The condition 'if X &lt;= A :' is not necessary and should be removed. The working condition of the turnstile is already checked with 'work1 &lt;= A and work1 != 0'.",
        "category": "TP"
    },
    {
        "line_number": "15",
        "feedback": "The condition 'if X &lt;= C :' is not necessary and should be removed. The working condition of the turnstile is already checked with 'work2 &lt;= C and work2 != 0'.",
        "category": "TP"
    }
]</t>
  </si>
  <si>
    <t>def t(A, B, X):
    if ((X-1) % (A + B) &gt;= 0) and ((X-1) % (A + B) &lt; A):
        ans = 1
        return ans
    else:
        ans = 0 
        return ans
def turnstiles(A, B, C, D, X):
    ans = t(A, B, X) + t(C, D, X)
    return ans</t>
  </si>
  <si>
    <t>[
    {
        "line_number": "2",
        "feedback": "The condition in the if statement should be ((X-1) % (A + B) &lt; A) instead of (X % (A + B) &lt;= A). This is because if X is exactly equal to A, then the turnstile is not operational at that time, it's in the breakdown period. Also, the time should start from 0, so you should subtract 1 from X.",
        "category": "TP"
    },
    {
        "line_number": "7",
        "feedback": "The function t(C, D, X) is not needed. You can use the same function t(A, B, X) for both turnstiles by calling it with different parameters in the turnstiles function.",
        "category": "TP"
    }
]</t>
  </si>
  <si>
    <t>def turnstiles(A,B,C,D,X):
    ans = 0
    if (X-1) % (A+B) &lt; A:
        ans += 1
    if (X-1) % (C+D) &lt; C:
        ans += 1
    return ans</t>
  </si>
  <si>
    <t>[
    {
    "line_number": "3",
    "feedback": "Your initial condition checks are not correct. You should be checking if the remainder of (X-1) divided by the sum of the working and breakdown times is less than the working time. This would mean that the turnstile is still working when Sean arrives.",
        "category": "TP"
    },
    {
    "line_number": "4",
    "feedback": "You do not need to check for all these conditions. You just need to check if the turnstile is working when Sean arrives, which can be done using the modulus operator and comparing the result with the working time of the turnstile.",
        "category": "TP"
    },
    {
    "line_number": "20",
    "feedback": "You are not returning any value from your function. You should return the variable \"ans\" which stores the number of turnstiles that are operational when Sean arrives.",
        "category": "TP"
    }
]</t>
  </si>
  <si>
    <t>[
    {
        "line_number":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"TP"
    },
    {
        "line_number": "6",
        "feedback": "The conditional statement checking if d2 is equal to 0 is not necessary. You can directly calculate the number of full days the snail will take to reach just below the top of the pole using integer division.",
 "category": "TP"
    },
    {
        "line_number": "8",
        "feedback": "The calculation of d1 is incorrect. It should be the integer division of (H-B-1) by (A-B), and then add 1 to this number to account for the final day when the snail reaches the top. This represents the total number of days the snail will take to reach the top of the pole.",
 "category": "TP"
    },
    {
        "line_number": "11",
        "feedback": "The calculations of z and t are not necessary for this problem. You can directly calculate the total number of days the snail will take to reach the top of the pole using the formula mentioned in the feedback for line 8.",
 "category": "TP"
    },
    {
        "line_number": "14",
        "feedback": "The calculation of ans is incorrect. It should be equal to the number of full days the snail will take to reach just below the top of the pole, plus 1 to account for the final day when the snail reaches the top. This can be done in one line of code.",
 "category": "TP"
    }
]</t>
  </si>
  <si>
    <t>def snail(A, B, H):
    if 1 &lt;= B &lt; A &lt;= H &lt;= 10 ** 9:
        ans = (H-B-1)//(A-B) + 1
    return ans</t>
  </si>
  <si>
    <t>[
    {
        "line_number":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"TP"
    },
    {
        "line_number": "5",
        "feedback": "The else part of your code is not necessary because the formula (H-B-1)//(A-B) + 1 works for all cases.",
 "category": "TP"
    }
]</t>
  </si>
  <si>
    <t>def snail(A, B, H):
    hue = A - B
    ans = ((H - B - 1) // hue) + 1
    return ans</t>
  </si>
  <si>
    <t>[
    {
        "line_number": "2",
        "feedback": "The variables 'lol' and 'loe' are not needed in this code. You can remove them.",
 "category": "FP-E"
    },
    {
        "line_number": "3",
        "feedback": "The variable 'hul' is not needed in this code. You can remove it.",
 "category": "FP-E"
    },
    {
        "line_number": "4",
        "feedback": "The calculation for 'ans' is incorrect. You should subtract 'B' from 'H", subtract 1, then divide by 'hue' and add 1 to get the correct number of days.",
 "category": "TP"
    }
]</t>
  </si>
  <si>
    <t>[
    {
        "line_number":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"TP"
    }]</t>
  </si>
  <si>
    <t>def snail(A, B, H):
    distance = A - B
    if (H - A) % distance == 0:
        ans = (H - A) // distance + 1
        return ans
    else: 
        ans = (H - A) // distance + 2
        return ans</t>
  </si>
  <si>
    <t>[
    {
        "line_number": "3",
        "feedback": "You have used the "elif" keyword without a preceding "if" statement. Replace "elif" with "if" to correct the syntax.",
 "category": "TP"
    },
    {
        "line_number": "4",
        "feedback": "The logic for calculating the number of days is incorrect. The snail climbs during the day and slides down at night. So, on the last day when it reaches the top, it won't slide down. You need to account for this in your calculation. Also, you should check if (H - A) is divisible by distance, not H.",
 "category": "TP"
    },
    {
        "line_number": "7",
        "feedback": "The logic for calculating the number of days is incorrect. The snail climbs during the day and slides down at night. So, on the last day when it reaches the top, it won't slide down. You need to account for this in your calculation. If (H - A) is not divisible by distance, you should add 2 to the result, not 1.",
 "category": "TP"
    }
]</t>
  </si>
  <si>
    <t>def snail(A, B, H):
    days = (H-B)//(A-B)
    if (H-B)%(A-B) != 0:
        days += 1
    return days</t>
  </si>
  <si>
    <t>[
    {
        "line_number":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"TP"
    },
    {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"TP"
    }
]</t>
  </si>
  <si>
    <t>import math
def snail(A, B, H):
    result = (H - B) // (A - B)
    if (H - B) % (A - B) != 0:
        result += 1
    return result</t>
  </si>
  <si>
    <t>[
    {
        "line_number":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"TP"
    }
]</t>
  </si>
  <si>
    <t>def snail(A,B,H):
    ans = (H-B-1)//(A-B) + 2
    if (H-B)%(A-B) != 0:
        ans += 1
    return ans</t>
  </si>
  <si>
    <t>[
    {
        "line_number": "2",
        "feedback": "Your formula is almost correct, but you need to account for the case where the remaining distance to the top after the last full day is less than the distance the snail can climb in a day, but more than 0. In this case, the snail will need an additional day to reach the top. You can do this by checking if the remainder of the division (H-B)%(A-B) is not equal to 0. If it is not, add 1 to your answer. Also, you should subtract B from H before the division, not after. Lastly, you should add 2 to the result of the division, not 1, to account for the last day when the snail reaches the top.",
        "category": "FP-I"
    }]</t>
  </si>
  <si>
    <t>def is_prime(n):
    if n &lt;= 1:
        return False
    for x in range(2, int(n**0.5) + 1):
        if n % x == 0:
            return False
    return True</t>
  </si>
  <si>
    <t>[
    {
        "line_number": "1",
        "feedback": "Your function should only take one argument, which is the number to be checked.",
        "category": "TP"
    },
    {
        "line_number": "2",
        "feedback": "You should not loop through a fixed range of numbers. Instead, you should check if the given number is prime or not.",
        "category": "TP"
    },
    {
        "line_number": "3",
        "feedback": "The variable is_prime is not needed. You can return False directly when you find a factor of the number.",
        "category": "FP-E"
    },
    {
        "line_number": "4",
        "feedback": "You should start the loop from 2, because every number is divisible by 1.",
        "category": "TP"
    },
    {
        "line_number": "4",
        "feedback": "The loop should run until the square root of the number to be checked, not until the number itself. This is because a larger factor of the number must be a multiple of smaller factor that has already been checked.",
        "category": "FP-E"
    },
    {
        "line_number": "5",
        "feedback": "You should check if the number is divisible by the current loop variable, not a fixed number y.",
        "category": "TP"
    },
    {
        "line_number": "7",
        "feedback": "You should return True after the loop, which means the number is not divisible by any number other than 1 and itself, so it is a prime number.",
        "category": "TP"
    }
]</t>
  </si>
  <si>
    <t>def is_prime(n):
    if n &lt;= 1:
        return False
    for i in range(2, int(n**0.5) + 1):
        if n % i == 0:
            return False
    return True</t>
  </si>
  <si>
    <t>[
    {
        "line_number": "2",
        "feedback": "You need to initialize the 'ans' variable to True, not 0. Also, you don't need to use the 'ans' variable. You can return False directly inside the loop if 'n' is divisible by 'i'.",
        "category": "TP"
    },
    {
        "line_number": "3",
        "feedback": "You should start the loop from 2, not 1 because every number is divisible by 1.",
        "category": "FP-H"
    },
    {
        "line_number": "4",
        "feedback": "You don't need to calculate 'x'. You can directly check if 'n' is divisible by 'i'. If it is, return False.",
        "category": "FP-E"
    },
    {
        "line_number": "6",
        "feedback": "You don't need to set 'ans' to False here. You can return False directly.",
        "category": "FP-E"
    },
    {
        "line_number": "8",
        "feedback": "You don't need to set 'ans' to True here. You should return True after the loop. This is because if 'n' is not divisible by any number in the range, it is a prime number.",
        "category": "FP-E"
    },
    {
        "line_number": "2",
        "feedback": "You should add a condition at the beginning of your function to check if 'n' is less than or equal to 1. If it is, return False because 1 is not a prime number and negative numbers are not considered in prime number theory.",
        "category": "TP"
    },
    {
        "line_number": "3",
        "feedback": "The loop should run until the square root of 'n' instead of 'n'. This is an optimization that can be done because a larger factor of the number must be a multiple of a smaller factor that has already been checked.",
        "category": "FP-E"
    }
]</t>
  </si>
  <si>
    <t>[
    {
    "line_number": "3",
    "feedback": "The input to the function is a string. You should convert it to an integer before performing mathematical operations on it.",
        "category": "FP-H"
    },
 {
    "line_number": "15",
    "feedback": "The indentation of "return ans" does not match any outer indentation level",
        "category": "FN"
    }
]</t>
  </si>
  <si>
    <t>def is_prime(n):
    if n &gt; 1:
        for i in range(2, int(n**0.5)+1):
            if (n % i) == 0:
                return False
        return True
    else:
        return False</t>
  </si>
  <si>
    <t>[
    {
        "line_number": "2",
        "feedback": "Indentation error. The variable "ans" and the rest of the code inside the function should be indented.",
        "category": "FP-H"
    },
    {
        "line_number": "4",
        "feedback": "Instead of checking divisibility up to n, you only need to check up to the square root of n. This is because a larger factor of n must be a multiple of a smaller factor that has already been checked.",
        "category": "FP-E"
    },
    {
        "line_number": "5",
        "feedback": "Instead of assigning False to "ans" and breaking the loop when n is divisible by i, you can directly return False. This will exit the function immediately, making your code more efficient.",
        "category": "FP-E"
    },
    {
        "line_number": "7",
        "feedback": "Instead of assigning True to "ans" when n is not divisible by i, you can return True after the loop. This means that if n is not divisible by any number in the range, it must be a prime number.",
        "category": "FP-E"
    },
    {
        "line_number": "9",
        "feedback": "Instead of assigning False to "ans" when n is less than or equal to 1, you can directly return False.",
        "category": "FP-E"
    },
    {
        "line_number": "11",
        "feedback": "You do not need to return "ans" at the end of your function. Your function will have already returned by this point if it has found an answer.",
        "category": "FP-E"
    }
]</t>
  </si>
  <si>
    <t>[
    {
        "line_number": "2",
        "feedback": "Indentation is incorrect. The for loop should be inside the function.",
        "category": "FP-H"
    },
    {
        "line_number": "2",
        "feedback": "The range in the for loop should start from 2, not 3. Because any number is divisible by 1 and itself. So, we start checking from 2.",
        "category": "TP"
    },
    {
        "line_number": "2",
        "feedback": "You need to add a condition to check if the number is less than or equal to 1. Because 1 is not a prime number.",
        "category": "TP"
    },
    {
        "line_number": "3",
        "feedback": "The loop should only go up to the square root of n. This is because a larger factor of the number would be a multiple of smaller factor that has already been checked.",
        "category": "FP-E"
    }
]</t>
  </si>
  <si>
    <t>[
    {
    "line_number": "2",
    "feedback": "Indentation is incorrect. Python uses indentation to determine the grouping of statements.",
        "category": "FP-H"
    },
    {
    "line_number": "2",
    "feedback": "The for loop should iterate over a range of numbers from 2 to the square root of n, not a tuple (2, n). This is because a larger factor of the number must be a multiple of smaller factor that has already been checked.",
        "category": "TP"
    },
    {
    "line_number": "3",
    "feedback": "Variable 'x' is not defined. You don't need to use an additional variable. You can return False directly if n is divisible by i.",
        "category": "FP-E"
    },
    {
    "line_number": "2",
    "feedback": "You need to handle the case where n is less than or equal to 1. According to the definition, these numbers are not prime.",
        "category": "TP"
    },
    {
    "line_number": "5",
    "feedback": "You should return True after the for loop. If n is not divisible by any number in the range, it means that n is a prime number.",
        "category": "TP"
    }
]</t>
  </si>
  <si>
    <t>def is_prime(n): 
    if n &lt; 2:
        return False
    for x in range(2, int(n**0.5) + 1): 
        if n % x == 0: 
            return False
    return True</t>
  </si>
  <si>
    <t>[
    {
        "line_number": "2",
        "feedback": "You need to check if the number is less than 2 and return False in that case, because 1 is not a prime number and negative numbers are not considered prime.",
        "category": "TP"
    },
    {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
    {
        "line_number": "3",
        "feedback": "To optimize your code, you should only check for divisors up to the square root of n. If n is not a prime number, it will have a factor less than or equal to its square root.",
        "category": "FP-E"
    },
    {
        "line_number": "6",
        "feedback": "You do not need to check if x == n - 1. If the function has not returned False after checking all numbers from 2 to sqrt(n), it means that n is a prime number. So, you should return True at the end of the function.",
        "category": "FP-E"
    },
    {
        "line_number": "7",
        "feedback": "There is no variable or value named 'statement'. You should return True or False based on whether the number is prime or not.",
        "category": "TP"
    }
]</t>
  </si>
  <si>
    <t>def is_perfect(n):
    sum = 0
    i = 1
    while i * i &lt;= n:
        if n % i == 0:
            if n / i == i:
                sum = sum + i
            else:
                sum = sum + i + n//i
        i += 1
    sum = sum - n
    return sum == n</t>
  </si>
  <si>
    <t>def is_perfect_number(n):
    if n &lt; 1:
        return False
    sum_of_divisors = 1
    i = 2
    while i * i &lt;= n:
        if n % i:
            i += 1
        elif n / i == i:
            sum_of_divisors += i
            i += 1
        else:
            sum_of_divisors += i + n / i
            i += 1
    return sum_of_divisors == n and n!=1</t>
  </si>
  <si>
    <t>[
    {
    "line_number": "1",
    "feedback": "The function name and parameters do not match the problem description. Please make sure you read the problem description carefully.",
        "category": "TP"
    },
    {
    "line_number": "2",
    "feedback": "The logic of your code does not match the problem description. You need to calculate the sum of proper divisors of the input number and check if it equals the number itself.",
        "category": "TP"
    },
    {
    "line_number": "3",
    "feedback": "The loop in your code does not serve the purpose of the problem. You need a loop to iterate over the numbers less than the input number to find its proper divisors.",
        "category": "TP"
    },
    {
    "line_number": "4",
    "feedback": "The string concatenation operation in your code is not needed for this problem. You need to calculate the sum of proper divisors, which is a numerical operation.",
        "category": "TP"
    }
]</t>
  </si>
  <si>
    <t>def perfect(n):
    sum = 1
    i = 2
    while i * i &lt;= n:
        if n % i:
            i += 1
        else:
            if i * (n // i) == n:
                sum = sum + i + (n//i)
            else:
                sum = sum + i
            i += 1
    if sum == n and n!=1:
        return True
    return False</t>
  </si>
  <si>
    <t>[+L415",
        "category": "TP"
    },
    {
        "line_number": "2",
        "feedback": "You can start by initializing a variable "sum" to 1, as 1 is a divisor for every number.",
        "category": "TP"
    },
    {
        "line_number": "2",
        "feedback": "Then, iterate from 2 to the square root of the number. For each i, check if it is a divisor of the number. If it is, add it and the result of the division to the sum.",
        "category": "TP"
    },
    {
        "line_number": "2",
        "feedback": "Finally, return whether the sum is equal to the number. This will be True for perfect numbers and False otherwise.",
        "category": "TP"
    },
    {
        "line_number": "2",
        "feedback": "However, you need to add a special case for the number 1. Even though the sum of its divisors is 1, it is not considered a perfect number. So, you should return False when the number is 1.",
        "category": "TP"
    }
]</t>
  </si>
  <si>
    <t>def perfect(n):
    x = 1
    fac_sum = 0
    while x*x &lt;= n:
        if n % x == 0:
            if x*x != n:
                fac_sum += x + n//x
            else:
                fac_sum += x
        x += 1
    if fac_sum == 2*n:
        return True
    else:
        return False</t>
  </si>
  <si>
    <t>[
    {
    "line_number": "2",
    "feedback": "The variable x should start from 1, not 0, as we are finding the divisors of the number.",
        "category": "FP-I"
    },
    {
    "line_number": "4",
    "feedback": "The while loop should run till x*x &lt;= n, not till x &lt;= 1000000. We are looking for divisors of the number n, so we only need to check till sqrt(n).",
        "category": "FP-E"
    },
    {
    "line_number": "6",
    "feedback": "You need to add both x and n//x to fac_sum, not just x. Also, you need to check if x*x != n to avoid counting the square root twice if n is a perfect square.",
        "category": "FP-E"
    },
    {
    "line_number": "12",
    "feedback": "The condition to check if a number is perfect is incorrect. A number is perfect if the sum of its proper divisors is equal to twice the number itself. So, you should check if fac_sum == 2*n.",
        "category": "FP-E"
    },
   {
        "line_number": "5",
        "feedback": "The loop should iterate from 1 to n-1 (exclusive) to find the proper divisors.",
        "category": "FN"
    },
    {
        "line_number": "11",
        "feedback": "Instead of checking if fac_sum//2 is equal to n, check if fac_sum is equal to n.",
        "category": "FN"
    }
]</t>
  </si>
  <si>
    <t>def stop_time(n):
    n = int(n)
    a = 0
    while n != 1:
        if n % 2 == 0:
            n = n // 2
        else:
            n = (3 * n) + 1
        a += 1
    return a</t>
  </si>
  <si>
    <t>[
    {
    "line_number": "2",
    "feedback": "Your function is correct, but it does not handle string inputs. You can add a line at the start of the function to convert the input to an integer. This will make your function more robust and able to handle a wider range of inputs.'
    }]</t>
  </si>
  <si>
    <t>def hailstone(n):
    count = 0
    assert n &gt; 0
    while n != 1:
        if n % 2 == 0:
            n = n // 2
        else:
            n = (n * 3) + 1
        count += 1
    return count
result = hailstone(10)
print(result)</t>
  </si>
  <si>
    <t>[
    {
    "line_number": "1",
    "feedback": "The function name should be "hailstone" as per the problem statement, not "stop_time". Also, the function should only take one argument, n.",
        "category": "FP-I"
    },
    {
    "line_number": "2",
    "feedback": "The count should start from 0, not 1. Because when n is 1, no operation is needed.",
        "category": "TP"
    },
    {
    "line_number": "4",
    "feedback": "You should not print the value of n in the function. It is not necessary for the task.",
        "category": "FP-E"
    },
    {
    "line_number": "5",
    "feedback": "You should use a while loop instead of an if statement to keep reducing the value of n until it becomes 1.",
        "category": "TP"
    },
    {
    "line_number": "6",
    "feedback": "You should not call the function recursively. Instead, you should update the value of n in each iteration of the loop. Also, when dividing n by 2, use integer division (//) instead of float division (/) to keep n as an integer.",
        "category": "FP-I"
    },
    {
    "line_number": "11",
    "feedback": "You should call the function "hailstone" not "stop_time" while printing the result.",
        "category": "FP-I"
    }
]</t>
  </si>
  <si>
    <t>def stop_time(n):
    drstop = 0
    n = int(n)
    while n != 1:
        if n % 2 == 0:
            n = n // 2
        else:
            n = 3 * n + 1
        drstop += 1
    return drstop</t>
  </si>
  <si>
    <t>[
    {
        "line_number": "2",
        "feedback": "The input 'n' should be converted to an integer before performing mathematical operations on it. You can do this by adding 'n = int(n)' at the beginning of your function."
    },
    {
        "line_number": "6",
        "feedback": "There is a typo in your code. Instead of '3 * 27n + 1", it should be '3 * n + 1'. The '27' seems to be a typo and should be removed."
    },
    {
        "line_number": "5",
        "feedback": "In Python, the '//=' operator performs floor division and assigns the result to the variable. However, it is more readable to separate these two operations. Instead of 'n //= 2", you should write 'n = n // 2'."
    },
    {
        "line_number": "8",
        "feedback": "Instead of 'drstop = drstop + 1", you can use the '+=' operator to increment the value of 'drstop'. This makes your code more concise and easier to read."
    }
]</t>
  </si>
  <si>
    <t>[
    {
    "line_number": "2",
    "feedback": "Python uses indentation to define the scope of the code. The body of your function should be indented.",
        "category": "FP-H"
    }]</t>
  </si>
  <si>
    <t>def triangle1(n):
    s = ""
    for a in range(1, n + 1):
        for b in range(a):
            s = s + "*"
        if a != n:
            s = s + "\n"
    return s</t>
  </si>
  <si>
    <t>[
    {
        "line_number": "2",
        "feedback": "The function name should be 'triangle1' as per the problem statement. Please change the function name from 'pattern' to 'triangle1'.",
        "category": "TP"
    },
    {
        "line_number": "5",
        "feedback": "You are supposed to add asterisks (*) to the string, not the value of the variable 'a'. Replace str(a) with '*'.",
        "category": "TP"
    },
    {
        "line_number": "6",
        "feedback": "You need to add a newline character after each line except the last one. Add an if condition to check if the current line is not the last line, and if so, add a newline character.",
        "category": "TP"
    }
]</t>
  </si>
  <si>
    <t>def triangle1(dimension):
    s = ""
    for count in range(1,dimension+1):
        for _ in range(count):
            s = s + "*"
        if count&lt;dimension:
            s = s +"\n"
    return s</t>
  </si>
  <si>
    <t>[
    {
    "line_number": "3",
    "feedback": "The variable 'i' is not necessary in this code. You can use the variable 'count' from the outer loop to control the number of lines in the triangle.",
        "category": "FP-E"
    },
    {
    "line_number": "8",
    "feedback": "There is a spelling mistake in your code. You wrote 'dimention' instead of 'dimension'. Please be careful with spelling when writing code, as it can lead to unexpected errors.",
        "category": "TP"
    },
    {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"TP"
    }
]</t>
  </si>
  <si>
    <t>def triangle2(dimension):
    s = ""
    for i in range(1,dimension+1):
        for j in range(i):
            s = s + "*"
        if i &lt; dimension:
            s = s + "\n"
    return s</t>
  </si>
  <si>
    <t>[
    {
        "line_number": "5",
        "feedback": "You should append '*' to the string 's' instead of str(i). The task is to generate a pattern of asterisks.",
        "category": "TP"
    },
    {
        "line_number": "7",
        "feedback": "The condition in the if statement should be 'i &lt; dimension' instead of 'i == dimension'. This is because you want to add a newline character after each line except the last one.",
        "category": "TP"
    },
    {
        "line_number": "4",
        "feedback": "The range in the second for loop should start from 0, not 1. This is because you want to add 'i' asterisks in each line, and the range function generates numbers up to, but not including, the end value.",
        "category": "FP-E"
    },
    {
        "line_number": "2",
        "feedback": "The function name should be 'triangle1' as per the problem statement.",
        "category": "FN"
    }]</t>
  </si>
  <si>
    <t>def patternPyramid(d):
    s = ""
    for a in range(1, d + 1):
        for b in range(1, a + 1):
            s = s + str(b)
        if a != d:
            s = s + "\n"
    return s</t>
  </si>
  <si>
    <t>[
    {
        "line_number": "3",
        "feedback": "The pattern you are trying to generate is not correct. You are appending '*' to the string 's' in each iteration, but you should be appending the current number in the loop.",
        "category": "TP"
    },
    {
        "line_number": "2",
        "feedback": "The function name should be 'triangle2' as per the problem statement.",
        "category": "TP"
    },
    {
        "line_number": "4",
        "feedback": "You need to use nested loops to generate the correct pattern. The inner loop should append the numbers from 1 to the current number of the outer loop.",
        "category": "TP"
    },
    {
        "line_number": "6",
        "feedback": "You need to add a newline character after each line except the last one. You should check if the current number is less than 'd' before adding a newline character.",
        "category": "TP"
    }
]</t>
  </si>
  <si>
    <t>[
    {
        "line_number": "2",
        "feedback": "You should not use the same variable 's' for both the string and the loop counter. This is causing a conflict and an error in your code.",
        "category": "TP"
    },
    {
        "line_number": "4",
        "feedback": "You do not need to increment 's' in the inner loop. You should append the string representation of 'j' to 's'.",
        "category": "TP"
    },
    {
        "line_number": "5",
        "feedback": "The print statement is not needed here. You should append the numbers to the string 's' instead of printing them.",
        "category": "FP-E"
    },
    {
        "line_number": "6",
        "feedback": "The print statement is not needed here. You should append a newline character to the string 's' instead of printing a new line.",
        "category": "FP-E"
    },
    {
        "line_number": "1",
        "feedback": "The function name should be 'triangle2' as per the problem statement.",
        "category": "FP-H"
    }
]</t>
  </si>
  <si>
    <t>def check_validity(lst):
    evensum=0
    oddsum=0
    if len(lst) == 13:
        for i in range(1,12,2):
            evensum=evensum+lst[i]
        evensum=evensum*3
        for j in range(0,12,2):
            oddsum=oddsum+lst[j]
        total = evensum + oddsum
        check_digit = 10 - total % 10
        if check_digit == 10:
            check_digit = 0
        if lst[12] == check_digit:
            return True
        else:
            return False
    else:
        return False</t>
  </si>
  <si>
    <t>[
    {
    "line_number": "3",
    "feedback": "You should initialize oddsum to 0, not lst[0]. You will add the odd positioned digits to oddsum in the loop.",
        "category": "FP-E"
    },
    {
    "line_number": "5",
    "feedback": "You should start the range from 1 and end at 12 for even positioned digits as per the problem statement. Remember, Python uses 0-based indexing.",
        "category": "TP"
    },
    {
    "line_number": "8",
    "feedback": "You should start the range from 0 and end at 12 for odd positioned digits as per the problem statement.",
        "category": "TP"
    },
    {
    "line_number": "11",
    "feedback": "You need to calculate the check digit as 10 minus the remainder of the total sum divided by 10. If the check digit is 10, it should be replaced with 0.",
        "category": "FP-I"
    },
    {
    "line_number": "14",
    "feedback": "You should compare the check digit with the last digit of the list (lst[12]), not with the variable ans.",
        "category": "FP-I"
    }
]</t>
  </si>
  <si>
    <t>[
   {
        "line_number": "8",
        "feedback": "The condition in the if statement should be i % 2 == 0 to check for even positions.",
        "category": "FN"
    }
]</t>
  </si>
  <si>
    <t>import random
def createList(s):
    lst = []
    for i in range(s):
        lst.append(random.randint(0,50))
    return lst</t>
  </si>
  <si>
    <t>[
    {
        "line_number": "1",
        "feedback": "You forgot to import the 'random' module which is necessary to use the 'randint' function.",
        "category": "TP"
    },
    {
        "line_number": "2",
        "feedback": "You are trying to append a random number to an integer 's'. This is not possible. You should first initialize an empty list and then append the random numbers to this list.",
        "category": "TP"
    },
    {
        "line_number": "2",
        "feedback": "You need to generate 's' random numbers. This means you should use a loop that runs 's' times. In each iteration of the loop, you should generate a random number and append it to the list.",
        "category": "TP"
    }
]</t>
  </si>
  <si>
    <t>[
    {
        "line_number": "2",
        "feedback": "The variable myList is not defined. Python is case sensitive. You should use mylist as defined in the function parameters.",
        "category": "TP"
    },
    {
        "line_number": "3",
        "feedback": "Your function fails when the input list is empty because you are trying to divide by zero. You should check if the list is empty before calculating the average.",
        "category": "TP"
    }
]</t>
  </si>
  <si>
    <t>[
    {
        "line_number": "2",
        "feedback": "You should use the sum() function to calculate the sum of all elements in the list, not the len() function.",
        "category": "TP"
    },
    {
        "line_number": "3",
        "feedback": "To calculate the average, you should divide the sum of all elements by the number of elements. Also, you should check if the list is not empty before dividing to avoid division by zero error.",
        "category": "TP"
    }
]</t>
  </si>
  <si>
    <t>def calculateSumAndAverage(mylist):
    x=sum(mylist)
    y=(x)/(len(mylist)) if len(mylist) != 0 else 0
    return (x, y)</t>
  </si>
  <si>
    <t>[
    {
        "line_number": "3",
        "feedback": "You do not need to print the sum of the list. Instead, you should return it.",
        "category": "TP"
    },
    {
        "line_number": "4",
        "feedback": "You should use the previously calculated sum (x) to calculate the average. This avoids unnecessary computation.",
        "category": "FP-E"
    },
    {
        "line_number": "5",
        "feedback": "You do not need to print the average of the list. Instead, you should return it.",
        "category": "TP"
    },
    {
        "line_number": "4",
        "feedback": "You should handle the case when the list is empty. In that case, the average should be 0.",
        "category": "TP"
    },
    {
        "line_number": "5",
        "feedback": "The return value should be a tuple. You missed the parentheses.",
        "category": "FP-H"
    }
]</t>
  </si>
  <si>
    <t>def numOccurrence(mylist, data):
    count = mylist.count(data)
    return count</t>
  </si>
  <si>
    <t>[
    {
        "line_number": "1",
        "feedback": "There is a typo in the function name. It should be 'numOccurrence' instead of 'numOcurrence'.",
        "category": "FP-I"
    },
    {
        "line_number": "3",
        "feedback": "Instead of manually iterating over the list and counting the occurrences, you can use the built-in 'count' function of a list in Python. This function returns the number of times a specified element appears in the list.",
        "category": "FP-E"
    }
]</t>
  </si>
  <si>
    <t>def numOccurrence(mylist, data):
    ans=0
    nseq=len(mylist)
    run=0
    while run&lt;nseq:
        if mylist[run]==data:
            ans+=1
        run+=1
    return ans</t>
  </si>
  <si>
    <t>[
    {
        "line_number": "1",
        "feedback": "There is a typo in the function name. It should be 'numOccurrence' instead of 'numOcurrence'.",
        "category": "FP-I"
    },
    {
        "line_number": "5",
        "feedback": "You are not updating the index 'npos' correctly. It is always set to 0 in each iteration, so you are always comparing the first element of 'mylist' to 'data'. You should use the variable 'run' to index 'mylist'.",
        "category": "TP"
    },
    {
        "line_number": "7",
        "feedback": "The else statement is not necessary. If the condition in the if statement is not met, the program will continue to the next iteration without adding to 'ans'.",
        "category": "FP-E"
    }
]</t>
  </si>
  <si>
    <t>[
    {
        "line_number": "1",
        "feedback": "You have a typo in your function name. It should be 'numOccurrence' not 'numOcurrence'.",
        "category": "FP-I"
    },
    {
        "line_number": "2",
        "feedback": "The syntax you are using to count the occurrences of 'data' in 'mylist' is incorrect. You should use the 'count' method of the list object like this: 'mylist.count(data)'.",
        "category": "TP"
    },
    {
        "line_number": "3",
        "feedback": "The 'pass' statement is not needed here. It is used when a statement is required syntactically but you do not want any command or code to execute. The 'return' statement in the previous line makes this 'pass' statement unnecessary.",
        "category": "FP-E"
    }
]</t>
  </si>
  <si>
    <t>def subset(list1, list2):
    if all(item in list2 for item in list1):
        return "List 1 is a subset of List 2"
    elif all(item in list1 for item in list2):
        return "List 2 is a subset of List 1"
    else:
        return "The two lists are not subsets of each other"</t>
  </si>
  <si>
    <t>[
    {
    "line_number": "2",
    "feedback": "The logic you used to combine the lists and then check for duplicates is not the correct way to check for subsets. Instead, you can use the all() function along with a for loop to check if all elements of one list are in the other list.",
        "category": "FP-I"
    },
    {
    "line_number": "4",
    "feedback": "The use of a counter variable (z) and checking if the count of an element in the combined list is 2, is not a correct way to check for subsets. This approach might fail in cases where there are duplicate elements in the lists.",
        "category": "TP"
    },
    {
    "line_number": "9",
    "feedback": "The condition len(list2) == 2 seems to be a typo. It should be len(list2) == z. However, this whole approach of using a counter variable and checking for duplicates is not correct for checking subsets.",
        "category": "TP"
    },
    {
    "line_number": "14",
    "feedback": "The variable c is not defined in all code paths. If none of the conditions are met, the function will return an undefined variable. It is better to directly return the result from within the conditions.",
        "category": "TP"
    }
]</t>
  </si>
  <si>
    <t>x = 10
y = [1, 2, 3]
def m1():
    global x, y
    x = 10
    y = [1, 2, 3]
    m2(x, y)
def m2(number, numbers):
    global x
    x = number
    numbers[0] = -999
m1()</t>
  </si>
  <si>
    <t>[
    {
        "line_number": "1",
        "feedback": "You need to initialize y as a list of integers [1, 2, 3] instead of -999.",
        "category": "FP-I"
    },
    {
        "line_number": "2",
        "feedback": "You need to define the functions m1 and m2 as given in the problem statement.",
        "category": "FP-H"
    },
    {
        "line_number": "3",
        "feedback": "In function m1, you need to use the global keyword to refer to the global variables x and y. Also, initialize x and y inside the function m1.",
        "category": "FP-H"
    },
    {
        "line_number": "7",
        "feedback": "In function m2, you need to use the global keyword to refer to the global variable x and assign the value of number to x.",
        "category": "FP-H"
    },
    {
        "line_number": "8",
        "feedback": "In function m2, you need to change the first element of the list y to -999.",
        "category": "FP-H"
    },
    {
        "line_number": "10",
        "feedback": "You need to call the function m1 to execute the code.",
        "category": "FP-H"
    },
    {
    "line_number": "2",
    "feedback": "y should have contained the final ouput after executing the given code. So it should have been: y =  [-999, 2, 3] ",
        "category": "FN"
    }
]</t>
  </si>
  <si>
    <t>x = 10 
y = [1, 2, 3] 
def m2(number, numbers):
    global x
    x = number
    numbers[0] = -999
m2(x, y)</t>
  </si>
  <si>
    <t>[
    {
        "line_number": "5",
        "feedback": "You need to use the "global" keyword before the variable "x" in the function m2(). This is because you want to change the global variable "x", not the local variable "number".",
        "category": "FP-I"
    },
    {
        "line_number": "6",
        "feedback": "You should assign the value of "number" to "x" before modifying it. This ensures that the changes you make to "number" are reflected in "x". However, you should not change the value of "x" to 1001 as it is not required in this problem.",
        "category": "FP-H"
    },
    {
        "line_number": "3",
        "feedback": "You should call the function m2() after defining it, not before. This is because Python executes code from top to bottom, so you need to define the function before you can call it.",
        "category": "FP-E"
    },
    {
    "line_number": "1",
    "feedback": "x should have contained the final ouput after executing the given code. So it should have been: x =  10",
        "category": "FN"
    },
    {
    "line_number": "2",
    "feedback": "y should have contained the final ouput after executing the given code. So it should have been: y =  [-999, 2, 3] ",
        "category": "FN"
    }]</t>
  </si>
  <si>
    <t>mapping = [2, 2, 2, 3, 3, 3, 4, 4, 4, 5, 5, 5, 6, 6, 6, 7, 7, 7, 7, 8, 8, 8, 9, 9, 9, 9] 
def translate(tele_str):
    ans = ""
    for i in range(0, len(tele_str)):
        if tele_str[i].isdigit():
            ans += str(tele_str[i])
        elif tele_str[i].isalpha():
            ans += str(mapping[ord(tele_str[i].lower()) - 97])
        else:
            ans += tele_str[i]
    return ans</t>
  </si>
  <si>
    <t>[
    {
        "line_number": "2",
        "feedback": "The mapping list you have defined does not correctly map the alphabets to their corresponding digits. The correct mapping list is already provided in the prefix code. Please use that.",
        "category": "FP-I"
    },
    {
        "line_number": "5",
        "feedback": "Your condition to check if a character is a digit is correct, but the action you take when the condition is true is not. You should add the digit to the answer string as it is.",
        "category": "FP-I"
    },
    {
        "line_number": "7",
        "feedback": "Instead of checking for each individual alphabet, you can use the ASCII value of the alphabets to map them to their corresponding digits. This can be done using the mapping list provided in the prefix code.",
        "category": "FP-E"
    },
    {
        "line_number": "22",
        "feedback": "The pass statement at the end of your function is not needed and can be removed.",
        "category": "FP-E"
    },
    {
        "line_number": "10",
        "feedback": "You need to handle the case when the character is neither a digit nor an alphabet. In such cases, you should add the character to the answer string as it is.",
        "category": "TP"
    },
   {
        "line_number": "5",
        "feedback": "Your condition to check if a character is a digit is incorrect. You should add the digit to the answer string if you encounter a digit.",
        "category": "FN"
    }
]</t>
  </si>
  <si>
    <t>mapping = ['A",'B",'C",'D",'E",'F",'G",'H",'I",'J",'K",'L",'M",'N",'O",'P",'Q",'R",'S",'T",'U",'V",'W",'X",'Y",'Z']
num = [2,2,2,3,3,3,4,4,4,5,5,5,6,6,6,7,7,7,7,8,8,8,9,9,9,9]
def translate(tele_str):
    num_str = ''
    tele_str = tele_str.upper()
    for i in range(len(tele_str)):
        if tele_str[i].isalpha():
            for j in range(len(mapping)):
                if(tele_str[i] == mapping[j]):
                    num_str += str(num[j])
        else:
            num_str += tele_str[i]
    return num_str</t>
  </si>
  <si>
    <t>[
    {
        "line_number": "8",
        "feedback": "The line 'tele_str.upper()' does not change the original string to uppercase. You should assign the result back to tele_str.",
        "category": "FP-E"
    },
    {
        "line_number": "10",
        "feedback": "The print statements are not necessary for the function to work and they can make the output confusing. It is better to remove them.",
        "category": "FP-E"
    },
    {
        "line_number": "12",
        "feedback": "You need to add a condition to check if the character is a digit or a letter. If it's a digit, just append it to the result string. If it's a letter, find its corresponding number and append it.",
        "category": "TP"
    }
]</t>
  </si>
  <si>
    <t>count_feedback</t>
  </si>
  <si>
    <t>count_TP_Valid</t>
  </si>
  <si>
    <t>count_FP_Extra</t>
  </si>
  <si>
    <t>count_FP_Invalid</t>
  </si>
  <si>
    <t>count_FP_Hallucinate</t>
  </si>
  <si>
    <t>[{"line_number": "2", "feedback": "The input prompt should be a string. You forgot to put quotes around the prompt. Always remember to enclose your strings in quotes.", "category": "TP"}]</t>
  </si>
  <si>
    <t>[{"line_number": "4", "feedback": "You don't need to convert the 'name' and 'age' variables to string using 'str.' function. The 'input' function in Python always returns a string. So, you can directly use the 'name' and 'age' variables in the concatenation operation.", "category": "FP-I"}, {"line_number": "4", "feedback": "To convert the name and and age to string you should you str(name) not str.(name) and similarly str(age) not str.(age)", "category": "FN"}]</t>
  </si>
  <si>
    <t>[{"line_number": "2", "feedback": "You should not convert the name input to an integer. The name is a string, not a number.", "category": "TP"}, {"line_number": "3", "feedback": "You do not need to convert the age input to an integer. Although age is a number, you are using it as a string in the final message.", "category": "TP"}, {"line_number": "4", "feedback": "You need to add spaces in your string to separate the words properly. Also, you do not need to put parentheses around the variables name and age.", "category": "TP"}]</t>
  </si>
  <si>
    <t>[{"line_number": "1", "feedback": "The order of input prompts should match with the order of inputs provided. In this case, name should be asked before age.", "category": "TP"}, {"line_number": "4", "feedback": "The result string should be a single string. You should use the \"+\" operator to concatenate strings instead of comma. Also, the age should be converted to string before concatenating.", "category": "TP"}]</t>
  </si>
  <si>
    <t>[{"line_number": "3", "feedback": "You forgot to add the \"+\" operator to concatenate the strings.", "category": "TP"}]</t>
  </si>
  <si>
    <t>[{"line_number": "4", "feedback": "You were trying to concatenate strings and integer which is not possible in python. Also, you were trying to store the result as a tuple instead of a string. You should convert the age to string and concatenate all the parts of the sentence to form a single string.", "category": "TP"}, {"line_number": "2", "feedback": "You are trying to convert the name to an interger. This is wrong as the name is a string.", "category": "FN"}]</t>
  </si>
  <si>
    <t>[{"line_number": "2", "feedback": "You should use the input function to get the age as a string. The eval function is not necessary here.", "category": "TP"}, {"line_number": "3", "feedback": "You missed closing the double quotes at the end of the string. Always ensure to close any opened quotes.", "category": "TP"}, {"line_number": "3", "feedback": "You forgot to add a full-stop at the end of the string", "category": "FN"}]</t>
  </si>
  <si>
    <t>[{"line_number": "2", "feedback": "The input function in Python usually takes a prompt string as an argument. You should add a prompt string to your input function when asking for the user's name.", "category": "FP-E"}, {"line_number": "3", "feedback": "The input function in Python usually takes a prompt string as an argument. You should add a prompt string to your input function when asking for the user's age.", "category": "FP-E"}, {"line_number": "5", "feedback": "You need to print the result", "category": "FN"}]</t>
  </si>
  <si>
    <t>[{"line_number": "1", "feedback": "You should prompt the user to input the radius of a cylinder, not just print \"hi\". Use the input function to get user input and convert it to a float.", "category": "TP"}, {"line_number": "2", "feedback": "You should also prompt the user to input the height of the cylinder. Again, use the input function and convert the input to a float.", "category": "TP"}, {"line_number": "3", "feedback": "You need to calculate the volume of the cylinder using the formula \u03c0r\u00b2h and store the result in a variable named \"result\".", "category": "TP"}, {"line_number": "4", "feedback": "Finally, you should print out the calculated volume, not the input radius.", "category": "TP"}]</t>
  </si>
  <si>
    <t>[{"line_number":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"TP"}]</t>
  </si>
  <si>
    <t>[{"line_number": "5", "feedback": "The logic of the code is incorrect. The count of 'X' after each 'A' is not the correct way to count the substrings that start with 'A' and end with 'X'. Instead, you should increment a counter every time you encounter an 'A\", and for each 'X' you encounter, add the current count of 'A's to the answer. This is because each 'X' can pair with any 'A' that came before it to form a valid substring.", "category": "TP"}]</t>
  </si>
  <si>
    <t>[{"line_number": "2", "feedback": "You don't need to split the string. Instead, you can iterate over it directly.", "category": "FP-E"}, {"line_number": "3", "feedback": "The variable 'l' and the join operation are not necessary. You can count the number of 'A's directly in the loop.", "category": "FP-E"}, {"line_number": "5", "feedback": "You don't need to calculate the length of the string and subtract it from the length of 'a'. You can count the number of 'A's directly in the loop.", "category": "FP-E"}, {"line_number": "6", "feedback": "You don't need to use a while loop with a negative index. You can use a for loop to iterate over the string.", "category": "FP-I"}, {"line_number": "7", "feedback": "You don't need to check if the character is 'X' in the loop. Instead, you can increment the count of 'A's when you encounter an 'A' and add the count of 'A's to the answer when you encounter an 'X'.", "category": "TP"}, {"line_number": "9", "feedback": "You don't need to decrement the count of 'A's when you encounter an 'A'. Instead, you should increment the count of 'A's.", "category": "TP"}, {"line_number": "11", "feedback": "You don't need to assign 'ans' to itself. This line can be removed.", "category": "FP-E"}]</t>
  </si>
  <si>
    <t>[{"line_number": "4", "feedback": "You don't need to initialize 'ca\", 'cx\", and 'n' inside the loop. Only 'ca' is required and it should be initialized before the loop.", "category": "TP"}, {"line_number": "6", "feedback": "The condition 'if i == (len(s)-1", "category": "TP"}, {"line_number": "8", "feedback": "The inner loop is not necessary. You can accomplish the task using only one loop.\"", "category": "TP"}, {"line_number": "9", "feedback": "You don't need to keep a count of 'X'. Instead, each time you encounter 'X', add the current count of 'A' to 'ans'.", "category": "TP"}, {"line_number": "12", "feedback": "The calculation of 'n' is not required. You can directly add 'ca' to 'ans' each time you encounter 'X'.", "category": "TP"}]</t>
  </si>
  <si>
    <t>[{"line_number": "2", "feedback": "Indentation is important in Python. The body of your function should be indented.'", "category": "FP-H"}, {"line_number": "5", "feedback": "You should increment the count of \"A\" when you encounter an \"A\", not the total count.", "category": "TP"}, {"line_number": "7", "feedback": "When you encounter an \"X\", you should add the count of \"A\"s to the total count, not just increment it by one.", "category": "TP"}, {"line_number": "8", "feedback": "Your function should return the count at the end.", "category": "TP"}]</t>
  </si>
  <si>
    <t>[{"line_number": "6", "feedback": "You are counting all the 'X's after each 'A'. However, you should consider that each 'A' starts a new substring. Therefore, you need to keep a count of 'A's and for each 'X' you find, add the current count of 'A's to the answer.", "category": "TP"}]</t>
  </si>
  <si>
    <t>[{"line_number": "5", "feedback": "You should initialize 'start' to 0, not 'count'. 'start' should keep track of the number of 'A's encountered since the last 'X' (or the start of the string).", "category": "FP-H"}, {"line_number": "7", "feedback": "You need to check each character in the string individually. If the character is 'A', then you should increment 'start'. If the character is 'X', then you should add 'start' to 'count' and continue. This is because each 'A' can form a substring with the 'X'.", "category": "TP"}, {"line_number": "9", "feedback": "You should not be checking if string[i] == 'A' and string[n] == 'X' at the same time. These checks should be separate.", "category": "TP"}, {"line_number": "11", "feedback": "You should only increment your count if you have encountered an 'A' before the 'X'. So, you should have a variable that keeps track of whether you have encountered an 'A'.", "category": "TP"}, {"line_number": "15", "feedback": "You do not need this else statement. If the character is not an 'A' or an 'X", "category": "FP-I"}]</t>
  </si>
  <si>
    <t>[{"line_number": "2", "feedback": "You should initialize \"ans\" to 1, not 0. Because anything multiplied by 0 is 0, your function will always return 0.", "category": "TP"}, {"line_number": "3", "feedback": "You should iterate from 1 to n (inclusive), not from 0 to n. Also, you need to include a colon at the end of the for loop.", "category": "TP"}, {"line_number": "4", "feedback": "You should multiply \"ans\" by the current number \"i\", not \"n\". Also, use the \"*=\" operator to update the value of \"ans\".", "category": "TP"}]</t>
  </si>
  <si>
    <t>[{"line_number": "3", "feedback": "You should use a for loop as per the problem statement, not a while loop. Also, you forgot to update the value of n in the loop. It should be n = n - 1, not just n-1.", "category": "TP"}, {"line_number": "4", "feedback": "In your loop, you should multiply ans by i, where i ranges from 1 to n. This is because the factorial of a number is the product of all positive integers up to that number.", "category": "TP"}]</t>
  </si>
  <si>
    <t>[{"line_number": "2", "feedback": "You should initialize your result variable to 1, not 0. Because you are calculating a product, starting with 0 will always result in 0.", "category": "TP"}, {"line_number": "3", "feedback": "You should be using a for loop to calculate the factorial, not a while loop. The while loop you have written is calculating something else.", "category": "TP"}, {"line_number": "4", "feedback": "Your logic for updating the variable n is incorrect. You should be decrementing n by 1 each time, not dividing by 2 or multiplying by 3.", "category": "TP"}, {"line_number": "6", "feedback": "You should be multiplying your result variable by i each time through the loop, not adding 1 to it.", "category": "TP"}, {"line_number": "7", "feedback": "You should be returning your result variable, not a.", "category": "TP"}]</t>
  </si>
  <si>
    <t>[{"line_number": "2", "feedback": "You forgot to initialize the variable \"ans\". It should be initialized to 1 before the loop starts. This is because the variable \"ans\" is used in the loop for multiplication, and any number multiplied by 1 remains the same. If \"ans\" is not initialized and you try to use it in the loop, it will cause an error because \"ans\" would not have a value yet.", "category": "TP"}]</t>
  </si>
  <si>
    <t>[{"line_number": "3", "feedback": "You don't need to check if n==0. The for loop will handle it correctly.\"", "category": "FP-H"}, {"line_number": "5", "feedback": "You should use a 'for' loop as per the problem statemen", "category": "TP"}, {"line_number": "7", "feedback": "You're resetting ans to 1 in every iteration of the loop. You should initialize ans to 1 before the loop starts.\"", "category": "TP"}, {"line_number": "8", "feedback": "In the loop, you should multiply the current value of ans by a, not set ans equal to a.", "category": "TP"}]</t>
  </si>
  <si>
    <t>[{"line_number": "6", "feedback": "You have made a typo in the variable name. It should be \"hundreds\" instead of \"hundred\".'", "category": "FP-E"}, {"line_number": "7", "feedback": "You need to add the hundreds place digit to the result as well. S", "category": "TP"}, {"line_number": "8", "feedback": "You should print the variable \"result\" instead of the function \"sum\".'", "category": "TP"}]</t>
  </si>
  <si>
    <t>[{"line_number": "1", "feedback": "You need to start by prompting the user to input an integer within the range of 0 to 999. You can use the input function for this.'", "category": "TP"}, {"line_number": "2", "feedback": "You need to convert the input to an integer using the int function.'", "category": "TP"}, {"line_number": "3", "feedback": "You need to initialize a variable named result to store the sum of the digits.'", "category": "TP"}, {"line_number": "4", "feedback": "You need to use a while loop to keep extracting and adding the digits of the number until the number becomes 0.'", "category": "TP"}, {"line_number": "5", "feedback": "You can use the modulus operator (%) to extract the last digit of the number.'", "category": "TP"}, {"line_number": "6", "feedback": "You need to add the extracted digit to the result.'", "category": "TP"}, {"line_number": "7", "feedback": "You can use the floor division operator (//) to remove the last digit from the number.'", "category": "TP"}, {"line_number": "8", "feedback": "Finally, you need to print the result.'", "category": "TP"}]</t>
  </si>
  <si>
    <t>[{"line_number": "1", "feedback": "You should convert the input to integer instead of string, as we are dealing with numbers here.'", "category": "TP"}, {"line_number": "2", "feedback": "You are trying to access elements of string \"str\" which is incorrect. You should be using the variable \"integer\". Als", "category": "TP"}, {"line_number": "3", "feedback": "The print statement should display a proper message along with the result.'", "category": "FP-E"}]</t>
  </si>
  <si>
    <t>[{"line_number": "1", "feedback": "You forgot to take the user's input. You should assign the input to the variable 'result' before performing operations on it.", "category": "TP"}, {"line_number": "2", "feedback": "You should use '//' for integer division instead of '/'. The '//' operator performs floor division which returns the largest possible integer.", "category": "TP"}, {"line_number": "4", "feedback": "You should use '//' for integer division instead of '/'. The '//' operator performs floor division which returns the largest possible integer.", "category": "TP"}, {"line_number": "6", "feedback": "You should assign the final sum 'ans' back to 'result' as per the problem statement.", "category": "TP"}]</t>
  </si>
  <si>
    <t>[{"line_number": "3", "feedback": "The result variable should store whether the number is even or not. So, you should assign the comparison (integar%2 == 0) to the result variable, not just the remainder of the division.'", "category": "TP"}]</t>
  </si>
  <si>
    <t>[{"line_number": "1", "feedback": "You do not need to reassign the values of x and y. They are already defined in the prefix.'", "category": "TP"}, {"line_number": "2", "feedback": "You do not need to reassign the values of x and y. They are already defined in the prefix.'", "category": "TP"}]</t>
  </si>
  <si>
    <t>[{"line_number": "1", "feedback": "You were on the right trac", "category": "TP"}, {"line_number": "2", "feedback": "The print statements are correct. They will print the swapped values of x and y.'", "category": "FP-E"}]</t>
  </si>
  <si>
    <t>[{"line_number": "1", "feedback": "You have correctly used the tuple unpacking feature of Python to swap the values of x and y. However, you are reassigning the values of x and y at the beginning of your code, which is not necessary and is causing your code to fail. The values of x and y are already provided in the prefix. You should remove the first two lines of your code.'", "category": "TP"}, {"line_number": "3", "feedback": "The variables newx and newy are not needed in this case. The swapping of values should be reflected in the original variables x and y. You should remove these lines.'", "category": "TP"}]</t>
  </si>
  <si>
    <t>[{"line_number": "1", "feedback": "You were on the right track with using tuple unpacking to swap the values of x and y. However, you multiplied y by 2 in your code, which is not needed. Simply assign x to y and y to x to swap their values.'", "category": "TP"}]</t>
  </si>
  <si>
    <t>[{"line_number": "1", "feedback": "You need to assign the expressions to the variables. The expressions should be on the right side of the assignment operator (=).'", "category": "TP"}, {"line_number": "2", "feedback": "You need to assign the expressions to the variables. The expressions should be on the right side of the assignment operator (=).'", "category": "TP"}, {"line_number": "3", "feedback": "You need to assign the expressions to the variables. The expressions should be on the right side of the assignment operator (=).'", "category": "TP"}, {"line_number": "4", "feedback": "You need to assign the expressions to the variables. The expressions should be on the right side of the assignment operator (=).'", "category": "TP"}, {"line_number": "5", "feedback": "You need to assign the expressions to the variables. The expressions should be on the right side of the assignment operator (=).'", "category": "TP"}]</t>
  </si>
  <si>
    <t>[{"line_number": "1", "feedback": "You should use * for multiplication operation in Python. Also, you should use parentheses to correctly specify the order of operations. For example, in the expression 10 * (y - 5) * (a + b + c) / x, parentheses are used to ensure that (y - 5) and (a + b + c) are evaluated first, then multiplied by 10, and finally divided by x.'", "category": "TP"}]</t>
  </si>
  <si>
    <t>[{"line_number": "1", "feedback": "You were trying to compute a mathematical expression as a string. In Python, mathematical operations such as addition, subtraction, multiplication, and division can be performed directly on numbers and variables. Also, remember to use * for multiplication in Python.'", "category": "TP"}]</t>
  </si>
  <si>
    <t>[{"line_number": "2", "feedback": "You forgot to put a colon at the end of the if statement. In Python, you need to end the if statement with a colon.'", "category": "TP"}, {"line_number": "3", "feedback": "You used the equality operator (==) instead of the assignment operator (=). You should use the assignment operator when you want to assign a value to a variable.'", "category": "TP"}, {"line_number": "3", "feedback": "You forgot to put quotes around the string. In Python, strings need to be enclosed in quotes.'", "category": "TP"}, {"line_number": "4", "feedback": "You should use \"elif\" instead of \"if\" for the subsequent conditions. This is because once a condition is met in an \"if-elif\" structur", "category": "TP"}]</t>
  </si>
  <si>
    <t>[{"line_number": "3", "feedback": "You're on the right trac", "category": "TP"}]</t>
  </si>
  <si>
    <t>[{"line_number": "3", "feedback": "You forgot to put a colon at the end of the if condition. In Python, the syntax for if condition requires a colon at the end.'", "category": "TP"}, {"line_number": "5", "feedback": "Indentation is very important in Python. The code inside the if and else blocks should be indented.'", "category": "TP"}, {"line_number": "7", "feedback": "Indentation is very important in Python. The code inside the if and else blocks should be indented.'", "category": "TP"}, {"line_number": "7", "feedback": "You need to add a colon ", "category": "FN"}]</t>
  </si>
  <si>
    <t>[{"line_number": "3", "feedback": "You have correctly checked if the year is divisible by 400 to determine if it is a leap year. However, you also need to check if the year is divisible by 4 and not by 100, or if it is divisible by 400. This can be done using the logical operators and and or.", "category": "TP"}]</t>
  </si>
  <si>
    <t>[{"line_number": "4", "feedback": "The variable 'isLeapYear' should be a boolea", "category": "TP"}, {"line_number": "7", "feedback": "The variable 'isLeapYear' should be a boolea", "category": "TP"}, {"line_number": "10", "feedback": "The second 'return isLeapYear' statement is unnecessary and unreachable. It should be removed.\"", "category": "TP"}]</t>
  </si>
  <si>
    <t>[{"line_number": "2", "feedback": "The check for \"Not a triangle\" should be the first condition. If any side is longer or equal to the sum of the other two side", "category": "TP"}, {"line_number": "3", "feedback": "The check for \"Equilateral\" triangle should be before \"Isosceles\". If all sides are equa", "category": "TP"}]</t>
  </si>
  <si>
    <t>[{"line_number": "2", "feedback": "You need to calculate the gradient of the line using the formula (y2-y1)/(x2-x1).'", "category": "TP"}, {"line_number": "3", "feedback": "You need to check if the gradient is positive or negative and assign the value to gradientType accordingly.'", "category": "TP"}]</t>
  </si>
  <si>
    <t>[{"line_number": "6", "feedback": "There seems to be a typo in your code. Instead of \"Truedef\", it should be \"True\". Also, the function pointInCircle is defined twice, which is unnecessary. Make sure to remove the second definition.", "category": "TP"}, {"line_number": "8", "feedback": "The variable \"inCircle\" is not defined in your function. You should return the result directly from the condition check.'", "category": "TP"}]</t>
  </si>
  <si>
    <t>[{"line_number": "2", "feedback": "You forgot to initialize the variable \"ans\". Always remember to initialize your variables before using them.'", "category": "TP"}, {"line_number": "3", "feedback": "The input is a string, but you are treating it as an integer. You need to convert the string to an integer before performing mathematical operations on it.'", "category": "FP-H"}, {"line_number": "3", "feedback": "The input is in binary format, but you are treating it as a decimal. You need to convert the binary number to a decimal.'", "category": "FP-I"}]</t>
  </si>
  <si>
    <t>[{"line_number": "2", "feedback": "The built-in 'int' function is not allowed to be used for this task. Instead, you should iterate over each digit in the binary string, multiply the current total by 2 (since binary is base 2), and then add 1 if the current digit is '1' and 0 otherwise. This will convert the binary number to its decimal equivalent.", "category": "TP"}, {"line_number": "2", "feedback": "Convert the integer variable b to string by using 'b=str(b)'", "category": "TP"}]</t>
  </si>
  <si>
    <t>[{"line_number": "4", "feedback": "You are not correctly converting the binary number to decimal. Remember that each digit in a binary number represents 2 to the power of its position, starting from 0. So you should multiply the digit by 2 raised to the power of its position.'", "category": "TP"}, {"line_number": "6", "feedback": "You should not multiply the answer by 10 after adding the value of the current digit. This is causing your function to return incorrect results.'", "category": "TP"}, {"line_number": "7", "feedback": "You should not print the answer inside the while loop. This is not part of the requirements and can cause confusion when debugging.'", "category": "FP-E"}, {"line_number": "8", "feedback": "You should not divide the answer by 10 after the while loop. This is causing your function to return incorrect results.'", "category": "TP"}]</t>
  </si>
  <si>
    <t>[{"line_number": "3", "feedback": "The input is a binary number, so it should be treated as a string. Convert the input to string first.", "category": "FP-H"}, {"line_number": "5", "feedback": "The initial condition is not necessary and does not contribute to the final result. Remove it.", "category": "TP"}, {"line_number": "7", "feedback": "The while loop is not the correct approach here. Instead, iterate over the reversed binary string.", "category": "FP-E"}, {"line_number": "9", "feedback": "The condition inside the loop is not correct. You should check if the current digit is 1, not if the remaining number is odd.", "category": "TP"}, {"line_number": "10", "feedback": "The calculation of the decimal value is incorrect. It should be 2 to the power of the position if the digit is 1.", "category": "TP"}, {"line_number": "14", "feedback": "The else clause is not necessary and does not contribute to the final result. Remove it.", "category": "FP-E"}]</t>
  </si>
  <si>
    <t>[{"line_number": "2", "feedback": "The built-in format function is not the correct way to convert a binary number to a decimal. Instea", "category": "TP"}]</t>
  </si>
  <si>
    <t>[{"line_number": "2", "feedback": "The Fibonacci sequence is not calculated correctly. The nth term is the sum of the (n-1)th term and the (n-2)th term, not the sum of the current term and its index. You should use two variables to hold the (n-1)th term and the (n-2)th term, and update them in each iteration.'", "category": "TP"}, {"line_number": "3", "feedback": "The range of the loop should start from 2, not 3, because the first two terms of the Fibonacci sequence are predefined as 1.'", "category": "TP"}, {"line_number": "4", "feedback": "The value of \"ans\" should be the sum of the last two terms in the sequenc", "category": "TP"}]</t>
  </si>
  <si>
    <t>[{"line_number": "2", "feedback": "The count variable should start from 1 because in Fibonacci sequence, the first and second terms are already defined as 1.'", "category": "TP"}, {"line_number": "5", "feedback": "The loop should run until count is less than n, not less than or equal to n. This is because you have already defined the first two terms of the sequence.'", "category": "FP-H"}, {"line_number": "8", "feedback": "You should return a instead of b. This is because after the last iteration of the loop, you have already moved to the next term in the sequence.'", "category": "TP"}]</t>
  </si>
  <si>
    <t>[{"line_number": "3", "feedback": "The initialization of i should start from 2, because the first two terms of the Fibonacci sequence are already defined as 1.'", "category": "TP"}, {"line_number": "7", "feedback": "The if-else condition to return a or b based on whether n is even or odd is not necessary. The nth term of the Fibonacci sequence is not dependent on whether n is even or odd. You should always return b which is the nth term after the while loop.'", "category": "TP"}]</t>
  </si>
  <si>
    <t>[{"line_number": "3", "feedback": "You do not need to assign n to m. You can directly use n in the range function.'", "category": "FP-E"}, {"line_number": "7", "feedback": "You do not need to increment i manually in a for loop. Python does it automatically.'", "category": "TP"}, {"line_number": "8", "feedback": "You should return a instead of n. The variable a holds the nth term of the Fibonacci sequence.'", "category": "TP"}]</t>
  </si>
  <si>
    <t>[{"line_number": "4", "feedback": "The recursive approach you initially used can be inefficient for large inputs due to repeated computations. Instead, you can use a loop to calculate the Fibonacci sequence. This approach starts with the first two numbers in the sequence, then repeatedly calculates the next number by adding the last two, updating these two numbers each time. This is much more efficient for large inputs.", "category": "FP-H"}]</t>
  </si>
  <si>
    <t>[{"line_number": "2", "feedback": "The Fibonacci sequence starts with the first two terms as 1. So, you should initialize both a and b as 1, not 0 and 1.'", "category": "TP"}]</t>
  </si>
  <si>
    <t>[{"line_number": "3", "feedback": "The formula you're using to calculate the Fibonacci sequence is not accurate for large numbers. It's better to compute the Fibonacci sequence iteratively. You can do this by initializing two variable", "category": "TP"}]</t>
  </si>
  <si>
    <t>[{"line_number": "2", "feedback": "The base case for the Fibonacci sequence is correct, but your solution is not efficient for large inputs due to repeated computation. Consider using dynamic programming to store the Fibonacci numbers as you compute them.", "category": "TP"}]</t>
  </si>
  <si>
    <t>[{"line_number": "2", "feedback": "The Fibonacci sequence starts with two 1s. So, you should initialize two variables, say a and b, to 1.", "category": "TP"}, {"line_number": "3", "feedback": "Your loop should start from 2 because the first two terms of the Fibonacci sequence are already defined. Also, the loop should run until n, not n+1.", "category": "TP"}, {"line_number": "4", "feedback": "In each iteration, you should update a and b such that a becomes b and b becomes the sum of the old a and b. This is because each term in the Fibonacci sequence is the sum of the previous two terms.", "category": "TP"}, {"line_number": "5", "feedback": "You should return b, not x, because b is the variable that holds the nth term of the Fibonacci sequence.", "category": "TP"}]</t>
  </si>
  <si>
    <t>[{"line_number": "4", "feedback": "The Fibonacci sequence starts with two 1s, so if n is 1 or 2, the answer should be 1.", "category": "TP"}, {"line_number": "6", "feedback": "You should use a for loop instead of a while loop. The loop should start from 0 and go up to n (not included), because we want to compute the nth term. Also, you can use tuple unpacking to swap the values of a and b, and to add the last two terms to get the next term in the sequence.", "category": "FP-E"}, {"line_number": "8", "feedback": "The nth term of the Fibonacci sequence is stored in the variable a after the loop, so you should return a.", "category": "TP"}]</t>
  </si>
  <si>
    <t>[{"line_number": "4", "feedback": "You forgot to put a colon at the end of the for loop. In Pytho", "category": "TP"}]</t>
  </si>
  <si>
    <t>[{"line_number": "2", "feedback": "The formula you used to calculate the Fibonacci sequence is incorrect. The Fibonacci sequence is defined as the sum of the two preceding ones, starting from 0 and 1. You should use a loop to calculate the nth term.'", "category": "TP"}, {"line_number": "3", "feedback": "The return statement is not necessary here. The function will end and return the result once it has finished executing the loop.'", "category": "FP-E"}, {"line_number": "4", "feedback": "The pass statement is not necessary here. It is used when a statement is required syntactically, but you do not want any command or code to execute.'", "category": "FP-E"}]</t>
  </si>
  <si>
    <t>[{"line_number": "2", "feedback": "The function is currently not doing anything. You need to implement the logic to calculate the nth term of the Fibonacci sequence. Remember, the nth term is the sum of the (n-1)th term and the (n-2)th term.'", "category": "TP"}]</t>
  </si>
  <si>
    <t>[{"line_number": "2", "feedback": "The initial value of a should be 1 as the first term of the Fibonacci sequence is 1.'", "category": "FP-H"}, {"line_number": "3", "feedback": "The initial value of b should be 1 as the second term of the Fibonacci sequence is 1.'", "category": "TP"}, {"line_number": "4", "feedback": "The initial value of x should be 2 as we have already defined the first two terms of the Fibonacci sequence.'", "category": "TP"}]</t>
  </si>
  <si>
    <t>[{"line_number": "3", "feedback": "The initial values of \"red\" and \"blue\" should both be 1. The Fibonacci sequence starts with two 1s.'", "category": "TP"}, {"line_number": "7", "feedback": "You do not need to keep track of the sum of all Fibonacci numbers. You only need the last two numbers in the sequence to calculate the next number.'", "category": "FP-I"}, {"line_number": "10", "feedback": "The answer should be the last number generated in the Fibonacci sequenc", "category": "TP"}, {"line_number": "12", "feedback": "green stores the sum of all the numbers and not the nth number. you should return magenta.", "category": "FN"}]</t>
  </si>
  <si>
    <t>[{"line_number": "4", "feedback": "Your recursive approach is correct for calculating Fibonacci numbers, but it is not efficient for larger numbers as it results in a large number of redundant calculations. Consider using a dynamic programming approach where you store the Fibonacci numbers as you calculate them and reuse them when needed, instead of recalculating them.", "category": "TP"}]</t>
  </si>
  <si>
    <t>[{"line_number": "6", "feedback": "You have a small mistake in the calculation of the reversed number. You should first multiply the current reversed number by 10 and then add the digit, not the other way around.", "category": "TP"}]</t>
  </si>
  <si>
    <t>[{"line_number": "1", "feedback": "The function name and parameters do not match the problem description. The function should be named \"reverse_number\" and should take a single parameter.", "category": "TP"}, {"line_number": "2", "feedback": "The logic of your code is incorrect. You are trying to count the number of palindrome numbers between two given numbers, while the problem asks to reverse the digits of a given number.", "category": "TP"}, {"line_number": "3", "feedback": "The \"while\" loop and the \"if\" condition inside it are not needed for this problem. You need to use a \"while\" loop to continuously divide the given number by 10 and add the remainder to the reversed number.", "category": "TP"}, {"line_number": "8", "feedback": "The return statement is incorrect. You should return the reversed number, not the original number.", "category": "TP"}]</t>
  </si>
  <si>
    <t>[{"line_number": "2", "feedback": "You have defined the variable \"y\" but you did not update its value inside the loop. Remember to update the value of \"y\" in each iteration by using the assignment operator \"=\".", "category": "TP"}, {"line_number": "6", "feedback": "You have defined the variable \"ans\" but you did not initialize it before using it. Always remember to initialize your variables before using them.", "category": "TP"}, {"line_number": "9", "feedback": "You have defined the variable \"n\" but you did not update its value inside the loop. Remember to update the value of \"n\" in each iteration by using the assignment operator \"=\".", "category": "TP"}, {"line_number": "11", "feedback": "You are decreasing the value of \"z\" instead of \"x\". You should decrease the value of \"x\" in each iteration to correctly calculate the reversed number.", "category": "TP"}]</t>
  </si>
  <si>
    <t>[{"line_number": "2", "feedback": "The initial approach to count the digits and then reverse the number is not necessary and makes the code more complex. A simpler approach is to continuously take the last digit of the number and add it to the reversed number after shifting the current digits one place to the left (multiplying by 10).", "category": "TP"}, {"line_number": "4", "feedback": "The while loop condition should be 'n &gt; 0'. This is because we want to keep taking the last digit of the number and adding it to the reversed number until there are no more digits left.", "category": "TP"}, {"line_number": "5", "feedback": "To reverse the number, continuously take the last digit of the number (n % 10) and add it to the reversed number after shifting the current digits one place to the left (multiplying by 10).", "category": "TP"}, {"line_number": "6", "feedback": "After taking the last digit of the number, remove it by doing integer division by 10.", "category": "TP"}]</t>
  </si>
  <si>
    <t>[{"line_number": "3", "feedback": "You should use the variable \"n\" in the while loop condition and inside the loo", "category": "TP"}]</t>
  </si>
  <si>
    <t>[{"line_number": "4", "feedback": "You do not need to reverse the number twice. The function reverse_number already gives you the reversed number. So, you just need to compare the original number with its reversed version.", "category": "TP"}, {"line_number": "4", "feedback": "if reverse_number(i) == reverse_number(i)[::-1]:  TypeError: 'int' object is not subscriptable", "category": "FN"}]</t>
  </si>
  <si>
    <t>[{"line_number": "5", "feedback": "The if condition to check if the number and its reverse are equal is not properly indented. It should be inside the for loop.", "category": "TP"}]</t>
  </si>
  <si>
    <t>[{"line_number": "2", "feedback": "Indentation is incorrect in the 'reverse_number' function. Python uses indentation to define blocks of code.", "category": "FP-H"}, {"line_number": "7", "feedback": "You don't need to convert the numbers to strings and compare each digit individually. You can directly compare the number and its reverse. If they are equal, then the number is a palindrome.", "category": "TP"}, {"line_number": "8", "feedback": "The 'else: break' statement is not needed. If the numbers are not equal, the loop will automatically move to the next number.", "category": "FP-I"}, {"line_number": "10", "feedback": "The check 'if i == len(x):' is not needed. You can directly increment 'ans' if the number is a palindrome.", "category": "FP-I"}, {"line_number": "12", "feedback": "The 'pass' statement is not needed. It is used when a statement is required syntactically, but you do not want any command or code to execute.", "category": "FP-E"}, {"line_number": "6", "feedback": "string of reverse number might not have the same length, Ex: 100, 1", "category": "FN"}]</t>
  </si>
  <si>
    <t>[{"line_number": "6", "feedback": "You forgot to return the count of palindrome numbers. Always remember to return the result from your function.", "category": "TP"}, {"line_number": "5", "feedback": "The continue statement is unnecessary here. The loop will automatically continue to the next iteration after executing the code inside the loop.", "category": "FP-E"}]</t>
  </si>
  <si>
    <t>[{"line_number": "1", "feedback": "Your function definition needs to have parameters. In this cas", "category": "TP"}, {"line_number": "3", "feedback": "Your function does not return anything. It should return the area of the triangl", "category": "TP"}]</t>
  </si>
  <si>
    <t>[{"line_number": "2", "feedback": "You need to define the parameters that your function will take. In this case, it should be the lengths of the two sides of the triangle (A and B) and the angle between them (AB).", "category": "TP"}, {"line_number": "7", "feedback": "Your function does not currently do anything. You need to implement the calculation of the area using the formula provided.", "category": "TP"}, {"line_number": "1", "feedback": "You need to import the sin and radians functions from the math module to calculate the sine of the angle.", "category": "TP"}]</t>
  </si>
  <si>
    <t>[{"line_number": "4", "feedback": "You've tried to call a function named 'herons_fomula' which is not defined anywhere. You are supposed to calculate the area using Heron's formula directly in the 'area3' function. The semi-perimeter 's' is calculated as (a+b+c)/2. Then, the area is calculated as sqrt[s*(s - a)*(s - b)*(s - c)].", "category": "TP"}]</t>
  </si>
  <si>
    <t>[{"line_number": "1", "feedback": "The initial value of x should be 1, not 0, as the problem statement asks for the sum of the first 1337 natural numbers, and natural numbers start from 1, not 0.", "category": "TP"}]</t>
  </si>
  <si>
    <t>[{"line_number": "3", "feedback": "You are not using the loop variable correctly. In each iteration, you should add the loop variable to the `ans` variable, not increment the loop variable itself.", "category": "TP"}, {"line_number": "4", "feedback": "You should not assign the value of `x` to `ans` after the loop. The sum of the numbers should be accumulated in `ans` during the loop execution.", "category": "TP"}, {"line_number": "3", "feedback": "The range function in Python is exclusive of the stop value. So, to include 1337 in the sum, you should use `range(1, 1338)`, not `range(1337)`.", "category": "TP"}]</t>
  </si>
  <si>
    <t>[{"line_number": "2", "feedback": "The initialization of the variable \"ans\" should be outside the for loop. Otherwis", "category": "TP"}, {"line_number": "4", "feedback": "The print statement is not necessary for the task and it should be removed. The task only requires you to store the sum in the variable \"ans\".", "category": "FP-E"}]</t>
  </si>
  <si>
    <t>[{"line_number": "2", "feedback": "The function mystery() is already defined in the prefix. You should define a new function to find the value of Z.", "category": "TP"}, {"line_number": "4", "feedback": "The variable i is not needed. You should use z in the while loop.", "category": "FP-E"}, {"line_number": "5", "feedback": "You should check if mystery(z) returns False, not if z equals i.", "category": "TP"}, {"line_number": "6", "feedback": "Instead of printing z, you should return z when mystery(z) returns False.", "category": "TP"}, {"line_number": "8", "feedback": "You should print nothing when mystery(z) returns True.", "category": "FP-E"}, {"line_number": "10", "feedback": "You should increment z by 1, not i by i + 1.", "category": "FP-E"}]</t>
  </si>
  <si>
    <t>[{"line_number": "3", "feedback": "The loop condition should be checking the result of the mystery functio", "category": "TP"}, {"line_number": "4", "feedback": "The if condition is not needed. We just need to increment z in each iteration.", "category": "TP"}, {"line_number": "5", "feedback": "The increment of \"i\" is not needed. The variable \"i\" is not used in the code.", "category": "TP"}, {"line_number": "7", "feedback": "The setting of \"ans\" to False is not needed. The loop will exit when the mystery function returns False.", "category": "TP"}]</t>
  </si>
  <si>
    <t>[{"line_number": "5", "feedback": "You are comparing the value of z with the return value of the function mystery(z), which is not correct. You should check the return value of the function mystery(z). If it returns False, break the loop. So, the condition should be \"if not mystery(z):\"", "category": "TP"}]</t>
  </si>
  <si>
    <t>[{"line_number": "2", "feedback": "The function determine does not need any parameter. Remove z from the function definition.", "category": "TP"}, {"line_number": "5", "feedback": "You need to check if mystery(z) is False, not if z equals mystery(z). Change the if condition to 'if not mystery(z):'.", "category": "TP"}, {"line_number": "6", "feedback": "You should return the value of z when mystery(z) is False. So, remove the increment operation from this line and place it after the if-else block.", "category": "TP"}, {"line_number": "8", "feedback": "The function should return None if no value of z makes mystery(z) False. Add 'return None' at the end of the function.", "category": "FP-E"}]</t>
  </si>
  <si>
    <t>[{"line_number": "1", "feedback": "You have correctly used the functions to get the length, minimum, maximum and sum of the list. However, you are not storing or returning the results of these functions. Therefore, even though the functions are being called, their results are not being used or displayed anywhere. You need to store the results in a list and return them.", "category": "TP"}]</t>
  </si>
  <si>
    <t>[{"line_number": "5", "feedback": "You forgot to call the sin function. It should be math.sin(math.pi/5) instead of math.sin * (math.pi/5).", "category": "TP"}, {"line_number": "6", "feedback": "The formula to calculate the area of a regular pentagon is incorrect. It should be ((3 * math.sqrt(3))/2) * s ** 2 instead of (3 * 3 ** 0.5) / 2 * s ** 2.", "category": "FP-I"}]</t>
  </si>
  <si>
    <t>[{"line_number": "2", "feedback": "You do not need to take input for the values of n and s. They are already given in the problem statement as 5 and 6.5 respectively.", "category": "TP"}, {"line_number": "3", "feedback": "Same as above, you do not need to take input for the values of n and s. They are already given in the problem statement as 5 and 6.5 respectively.", "category": "TP"}]</t>
  </si>
  <si>
    <t>[{"line_number": "2", "feedback": "You should not take inputs for n and s. The problem statement clearly mentions that n is 5 and s is 6.5.", "category": "TP"}, {"line_number": "3", "feedback": "Same as above. You should not take inputs for n and s. The problem statement clearly mentions that n is 5 and s is 6.5.", "category": "TP"}]</t>
  </si>
  <si>
    <t>[{"line_number": "2", "feedback": "The eval function is not needed here, you can directly assign the values to n and s.", "category": "TP"}, {"line_number": "3", "feedback": "The eval function is not needed here, you can directly assign the values to n and s.", "category": "TP"}, {"line_number": "4", "feedback": "The eval function is not needed here, you can directly assign the values to n and s.", "category": "FP-H"}, {"line_number": "5", "feedback": "The eval function is not needed here, you can directly assign the values to n and s.", "category": "FP-H"}, {"line_number": "6", "feedback": "You need to import the math module to use the tan function and also the pi constant. Replace \"pi\" with math.pi and \"tan\" with math.tan.", "category": "TP"}, {"line_number": "8", "feedback": "You need to call the area function with parameters n and s. Replace \"area\" with \"area(", "category": "TP"}]</t>
  </si>
  <si>
    <t>[{"line_number": "3", "feedback": "You were close! You need to use the chr() function to convert a random integer between 65 and 90 to a character, not ch().", "category": "TP"}]</t>
  </si>
  <si>
    <t>[{"line_number": "1", "feedback": "You don\\'t need to import the entire math modul", "category": "TP"}, {"line_number": "2", "feedback": "The variable result should store a randomly generated uppercase letter, not a number. You can use the random.randint function to generate a random number between 65 and 90 (inclusive), which are the ASCII values for uppercase letters, and then use the chr function to convert these ASCII values to their corresponding characters.", "category": "TP"}]</t>
  </si>
  <si>
    <t>[{"line_number": "2", "feedback": "The range of ASCII values for uppercase letters is from 65 to 90. So, you should generate a random number between 65 and 91, not between 60 and 65.", "category": "TP"}]</t>
  </si>
  <si>
    <t>[{"line_number": "2", "feedback": "In the second character generation, you have used a wrong range (25,60). This range does not correspond to lowercase letters in ASCII. You should use the same range as the other characters (97,123) to generate a random lowercase letter.", "category": "TP"}]</t>
  </si>
  <si>
    <t>[{"line_number": "2", "feedback": "You have used chr() function with random.randint(0,9) which is incorrect as chr() function is used to convert ASCII values to characters. For generating random numbers, you should use str() function with random.randint(0,9).", "category": "TP"}]</t>
  </si>
  <si>
    <t>[{"line_number": "10", "feedback": "You have a syntax error in this line. The increment operator in python is \"+=", "category": "TP"}]</t>
  </si>
  <si>
    <t>[{"line_number": "1", "feedback": "The task requires you to generate a random string, but your code is not doing that. You need to use the random.choice function to select random characters and digits. Also, you need to use the string module to get the uppercase and lowercase letters and digits.", "category": "TP"}]</t>
  </si>
  <si>
    <t>[{"line_number":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{"line_number": "2", "feedback": "You have used double quotes to enclose the string, which is correct. But you have not escaped the inner double quotes and single quotes. Use a backslash before the inner quotes to escape them.", "category": "TP"}]</t>
  </si>
  <si>
    <t>[{"line_number": "1", "feedback": "You were close, but you made a small mistake. You don't need to escape the double quotes at the start and end of the string. Also, there should be a space after the comma before 'Steve recalled'. Lastly, the backslash in 'nested\\annoying' should only be escaped once, not twice.", "category": "TP"}]</t>
  </si>
  <si>
    <t>[{"line_number": "1", "feedback": "You were on the right track with using escape character", "category": "TP"}]</t>
  </si>
  <si>
    <t>[{"line_number": "1", "feedback": "You don't need to create multiple strings and then concatenate them. You can define the entire string in one line. Also, to escape a character in a string, you can use the backslash (\\).", "category": "FP-E"}, {"line_number": "2", "feedback": "The strip() function is not needed here. It is used to remove leading and trailing characters. In this case, you don't need to remove any characters.", "category": "FP-I"}, {"line_number": "3", "feedback": "This line is not necessary. You can include this part of the string in the final string.", "category": "FP-E"}, {"line_number": "4", "feedback": "This line is not necessary. You can include this part of the string in the final string.", "category": "FP-E"}, {"line_number": "5", "feedback": "The lstrip() function is not needed here. It is used to remove leading characters. In this case, you don't need to remove any characters.", "category": "FP-I"}, {"line_number": "6", "feedback": "This line is not necessary. You can include this part of the string in the final string.", "category": "FP-E"}, {"line_number": "7", "feedback": "The rstrip() function is not needed here. It is used to remove trailing characters. In this case, you don't need to remove any characters.", "category": "FP-I"}, {"line_number": "8", "feedback": "Instead of concatenating multiple strings, you can define the entire string in one line.", "category": "FP-E"}]</t>
  </si>
  <si>
    <t>[{"line_number": "1", "feedback": "You need to correctly escape the nested quotes and backslashes. To include a double quote inside a strin", "category": "FP-I"}, {"line_number": "2", "feedback": "This line is not necessary. You can define the entire string in one line.", "category": "FP-E"}, {"line_number": "3", "feedback": "This line is not necessary. You can define the entire string in one line.", "category": "FP-E"}, {"line_number": "1", "feedback": "'This is nested' is in single quotes and not in double quotes", "category": "FN"}]</t>
  </si>
  <si>
    <t>[{"line_number": "1", "feedback": "You were asked to create a string variable named \"s\" and then print it. You directly printed the string without assigning it to the variable \"s\".", "category": "TP"}, {"line_number": "1", "feedback": "You have correctly used the escape characters to handle quotes and backslashes within the string. Good job on that!", "category": "FP-E"}]</t>
  </si>
  <si>
    <t>[{"line_number": "1", "feedback": "You're on the right track with using escape characters to handle quotes and backslashes. Howeve", "category": "FP-I"}]</t>
  </si>
  <si>
    <t>[{"line_number": "1", "feedback": "You have extra escape characters before commas which are not needed. Als", "category": "FP-I"}]</t>
  </si>
  <si>
    <t>[{"line_number": "1", "feedback": "You were close! The only mistake was with the backslash. In Pytho", "category": "FP-I"}]</t>
  </si>
  <si>
    <t>[{"line_number": "5", "feedback": "You were supposed to add \"b\" in the second loo", "category": "TP"}]</t>
  </si>
  <si>
    <t>[{"line_number": "1", "feedback": "There is a syntax error in your code. You have an extra \"a\" at the end of your line. The correct code should b", "category": "TP"}]</t>
  </si>
  <si>
    <t>[{"line_number": "4", "feedback": "You should not use quotes around variable names when you want to concatenate their values. Instead of \"", "category": "TP"}]</t>
  </si>
  <si>
    <t>[{"line_number": "1", "feedback": "You were clos", "category": "TP"}]</t>
  </si>
  <si>
    <t>[{"line_number": "2", "feedback": "You should calculate the remaining space after adding the message, and then check if it's even or odd. If it's even, add a space to the message and then add 'lo' for half of the remaining space after adding the space, and then add 'l'.", "category": "FP-H"}, {"line_number": "5", "feedback": "If the remaining space is odd, you should add 'lo' for half of the remaining space. You do not need to add 'l' at the end in this case because the 'lo' sequence will already end with 'l'.", "category": "FP-I"}, {"line_number": "2", "feedback": "In case the message has length 140, you make it longer. You need to check for length 0 before proceeding", "category": "FN"}]</t>
  </si>
  <si>
    <t>[{"line_number": "3", "feedback": "The total length of the tweet should be 140 characters, not 139. So, you should subtract the length of the message from 140, not 139.", "category": "TP"}, {"line_number": "5", "feedback": "The 'lolololol' part should be added after a space if the length of the message is even, not if the remaining space is even. So, you should check if the length of the message is even, not if the remaining space is even.", "category": "TP"}, {"line_number": "6", "feedback": "The 'lolololol' part should be added without a space if the length of the message is odd, not if the remaining space is odd. So, you should check if the length of the message is odd, not if the remaining space is odd.", "category": "TP"}, {"line_number": "1", "feedback": "If the length is 140, then you don't need to add more characters.", "category": "FN"}]</t>
  </si>
  <si>
    <t>[{"line_number": "7", "feedback": "Your logic for adding a space only when the remaining characters are even is incorrect. According to the problem statement, you should add a space only when the length of the message is even, not when the remaining characters are even. So, you should check if 'a' (the length of the message) is even, not 'c' (the remaining characters).", "category": "TP"}, {"line_number": "12",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 {"line_number": "3", "feedback": "You have to check if the length of the message is 140. In that case you do not need to add any more characters in the message. This can be done by checking if a is 140 or c is 0.", "category": "FN"}]</t>
  </si>
  <si>
    <t>[{"line_number": "5", "feedback": "You are reducing the remaining characters by 1 unnecessarily when the remaining characters are even. This is not required as per the problem statement.", "category": "TP"}, {"line_number": "8", "feedback": "You are always adding an extra 'l' at the end of the message. This should only be done when the remaining characters are odd.", "category": "TP"}, {"line_number": "3", "feedback": "check if message length is 140, in this case just return message.", "category": "FN"}]</t>
  </si>
  <si>
    <t>[{"line_number": "2", "feedback": "You are adding a space to the message if the length of the message is even. However, you should add a space only if the length of the message is odd. So, you should change your condition to (len(message))%2 !=0.", "category": "FP-I"}, {"line_number": "5", "feedback": "You are adding 'lo' to the message without considering the total length of the message. If the length of the message is already 140, you should not add 'lo'. Instead, you should add 'lo' only if the length of the message is less than 140. So, you should change your code to message+='lo'*y.", "category": "FP-H"}, {"line_number": "6", "feedback": "You are adding 'l' to the message if the length of the message is odd. However, you should add 'l' only if the length of the message is even. So, you should change your condition to if (140-len(message))%2==0.", "category": "FP-I"}, {"line_number": "2", "feedback": "Check length of the message, if it  is 140 then return the message itself", "category": "FN"}]</t>
  </si>
  <si>
    <t>[{"line_number": "5", "feedback": "You are adding 'l' and 'o' in the wrong order. It should be 'o' followed by 'l' to form 'lol'.", "category": "FP-H"}, {"line_number": "10", "feedback": "You are checking if x is not equal to 140, but x is a string. You should check if the length of x is not equal to 140.", "category": "TP"}, {"line_number": "12", "feedback": "Similar to the first feedback, you are adding 'l' and 'o' in the wrong order. It should be 'o' followed by 'l' to form 'lol'.", "category": "FP-H"}]</t>
  </si>
  <si>
    <t>[{"line_number": "3", "feedback": "You are supposed to move the first letter to the end, not the last letter to the beginning. So, you should get the first letter of the word, not the last.", "category": "TP"}, {"line_number": "4", "feedback": "You should get the remaining part of the word after removing the first letter, not the last. So, you should slice the word from the 1st index till the end, not till the last index.", "category": "TP"}]</t>
  </si>
  <si>
    <t>[{"line_number": "2", "feedback": "You are supposed to move the first letter to the end, not reverse the entire word. You can achieve this by using slicing. word[1:] gives you the word without the first letter and word[0] gives you the first letter. So, word[1:] + word[0] will give you the word with the first letter moved to the end.", "category": "TP"}]</t>
  </si>
  <si>
    <t>[{"line_number": "4", "feedback": "You're on the right track with creating the pig latin word, but you're adding the first letter and 'ay' to the original word instead of the word without the first letter. Also, you're trying to slice 'ans' using 'new_word' which is not defined anywhere in your code. Instead, you should slice the original word from the second character to the end, then add the first character and 'ay'.", "category": "TP"}]</t>
  </si>
  <si>
    <t>[{"line_number": "3", "feedback": "You are slicing the word incorrectly. You should keep all the characters after the first one, not until the second last. So, it should be word[1:] instead of word[1:-1].", "category": "TP"}]</t>
  </si>
  <si>
    <t>[{"line_number": "2", "feedback": "In Python, to slice a string, you should use the colon \":\" instead of the comma \",\".", "category": "TP"}]</t>
  </si>
  <si>
    <t>[{"line_number": "6", "feedback": "The inner loop is not iterating over all the characters of the word. It should iterate over all the characters, not excluding the last one.", "category": "FP-I"}, {"line_number": "7", "feedback": "You are always setting 'thi' to the first character of the word in every iteration. You should set 'thi' to the first character only in the first iteration.", "category": "FP-I"}, {"line_number": "14", "feedback": "The logic for the last word in the sentence is the same as for the other words. You do not need to handle it separately.", "category": "FP-I"}, {"line_number": "18", "feedback": "Remember to remove the trailing space at the end of the sentence. You can use the strip() function to remove trailing spaces.", "category": "FP-I"}]</t>
  </si>
  <si>
    <t>[{"line_number": "2", "feedback": "There is no need to convert the word to a list. You can directly use string slicing to get the desired output.", "category": "TP"}, {"line_number": "3", "feedback": "The append method is not applicable to strings. Also, you are not storing the result back into the variable.", "category": "TP"}, {"line_number": "4", "feedback": "Converting the list back to a string using str() will not give the desired output. It will include unwanted characters like brackets and commas. Instead, you can directly use string slicing and concatenation to get the desired output.", "category": "TP"}]</t>
  </si>
  <si>
    <t>[{"line_number": "2", "feedback": "In Python, strings are immutable, which means you cannot change an existing string. The best you can do is create a new string that is a variation on the original.", "category": "TP"}, {"line_number": "3", "feedback": "You do not need to assign word[", "category": "TP"}]</t>
  </si>
  <si>
    <t>[{"line_number": "3", "feedback": "In Python, strings are immutable, which means you cannot change an existing string. The remove and append methods do not work with strings. Instead, you can use slicing to achieve the desired result.", "category": "TP"}, {"line_number": "4", "feedback": "The append method does not work with strings. Instead, you can use the + operator to concatenate strings.", "category": "TP"}, {"line_number": "5", "feedback": "You need to add the first letter and \"ay\" to the end of the word. You can use the + operator to concatenate these strings.", "category": "TP"}]</t>
  </si>
  <si>
    <t>[{"line_number": "2", "feedback": "You need to call the swapcase() function on the string s. The correct syntax is s.swapcase(). Also, there is no need to declare the variable res as it is not being used.", "category": "TP"}]</t>
  </si>
  <si>
    <t>[{"line_number": "2", "feedback": "You have used a non-existent method \"caseswap()\". The correct method to use is \"swapcase()\". This method returns a string where all the upper case letters are lower case and vice versa.", "category": "TP"}]</t>
  </si>
  <si>
    <t>[{"line_number": "2", "feedback": "There is no need to create a new function for swapping the case of characters in a string. Python provides a built-in method called swapcase() for strings that does exactly this.", "category": "TP"}, {"line_number": "0", "feedback": "swapcase function not defined.", "category": "FN"}]</t>
  </si>
  <si>
    <t>[{"line_number": "2", "feedback": "You were clos", "category": "TP"}, {"line_number": "0", "feedback": "swapcase function not defined.", "category": "FN"}]</t>
  </si>
  <si>
    <t>[{"line_number": "2", "feedback": "You were trying to use a non-existent function \"swapcase(s)\". The correct way to use it is \"s.swapcase()\". This is because swapcase is a built-in method in Python for string objects.", "category": "TP"}, {"line_number": "0", "feedback": "swapcase function not defined", "category": "FN"}]</t>
  </si>
  <si>
    <t>[{"line_number": "8", "feedback": "The method to remove trailing spaces in Python is rstrip(), not trim(). So, replace res.trim() with res.rstrip().", "category": "TP"}]</t>
  </si>
  <si>
    <t>[{"line_number": "2", "feedback": "You need to split the sentence into words and then apply the pig_latin function to each word. You can do this by using a for loop.", "category": "TP"}, {"line_number": "3", "feedback": "The variable \"first\" is not needed in this context. You should remove it.", "category": "FP-E"}, {"line_number": "4", "feedback": "The variable \"the_rest\" is not needed in this context. You should remove it.", "category": "FP-E"}, {"line_number": "5", "feedback": "The variable \"add\" is not needed in this context. You should remove it.", "category": "FP-E"}, {"line_number": "6", "feedback": "Your approach to concatenate the words is incorrect. You should concatenate the result of applying the pig_latin function to each word and a space character.", "category": "TP"}, {"line_number": "8", "feedback": "You should remove the trailing space at the end of the result string. You can do this by using the strip() function.", "category": "TP"}]</t>
  </si>
  <si>
    <t>[{"line_number": "3", "feedback": "The shiftRight function is not needed for this task. Instead, you should iterate over each word in the sentence and convert it to pig latin using the provided pig_latin function.", "category": "TP"}, {"line_number": "4", "feedback": "The pig latin conversion of the sentence should not have \"ay\" appended at the end. Instea", "category": "TP"}, {"line_number": "5", "feedback": "You should remove the trailing space at the end of the sentence. This can be done using the strip() function.", "category": "TP"}]</t>
  </si>
  <si>
    <t>[{"line_number": "5", "feedback": "You should append the result of pig_latin(i) to the string \"a\" instead of \"b\". \"b\" is not defined and it is not accumulating the pig latin words.", "category": "TP"}]</t>
  </si>
  <si>
    <t>[{"line_number": "5", "feedback": "You are iterating over the words in the sentence in reverse order. However, the pig latin conversion should maintain the original order of the words. So, you should iterate from 0 to len(a) in your for loop.", "category": "TP"}, {"line_number": "6", "feedback": "In the pig_latin function call, you should pass the current word a[i] instead of a[i - 1]. The index i already points to the current word in the iteration.", "category": "TP"}]</t>
  </si>
  <si>
    <t>[{"line_number": "4", "feedback": "You should use range(len(ayy)) in the for loop to get the index of each word. Then you can use this index to replace the word in the list ayy with its pig latin version.", "category": "TP"}]</t>
  </si>
  <si>
    <t>[{"line_number": "5", "feedback": "The comparison operator for 'greater than or equal to' is '&gt;=' not '=&gt;'. Please correct this.", "category": "TP"}]</t>
  </si>
  <si>
    <t>[{"line_number": "2", "feedback": "The logic you used to find the index of 10 and remove elements is incorrect. The task requires you to remove all numbers less than n, not just those before the number 10.", "category": "TP"}, {"line_number": "3", "feedback": "You don't need to create a lower_lst. Instead, you should iterate over the original list and check each number.", "category": "TP"}, {"line_number": "4", "feedback": "The for loop and the remove operation are unnecessary. You can use list comprehension to create a new list that only includes numbers greater than or equal to n.", "category": "FP-E"}]</t>
  </si>
  <si>
    <t>[{"line_number": "2", "feedback": "The sorted() function doesn't modify the list in-place, it returns a new sorted list. However, sorting isn't necessary for this problem. You can use a list comprehension to create a new list with the desired elements.", "category": "TP"}, {"line_number": "3", "feedback": "The while loop is not the correct approach here. It can lead to an 'index out of range' error if all elements are less than 'n'. Also, 'n+1' should be 'n' as we want to include numbers that are equal to 'n' as well.", "category": "TP"}, {"line_number": "4", "feedback": "The pop() function is not needed here. Instead, you can use a list comprehension to create a new list with the desired elements.", "category": "FP-E"}, {"line_number": "5", "feedback": "The 'pass' statement is not needed here. It is used when a statement is required syntactically but you do not want any command or code to execute.", "category": "TP"}, {"line_number": "3", "feedback": "This will remove all elements less then equal to n+1, we want less then n", "category": "FN"}]</t>
  </si>
  <si>
    <t>[{"line_number": "6", "feedback": "You should multiply by 2, not 10, as we are dealing with binary numbers.", "category": "TP"}, {"line_number": "8", "feedback": "You forgot to increment the index to move to the next element in the list.", "category": "TP"}, {"line_number": "10", "feedback": "You need to return the result from your function.", "category": "TP"}, {"line_number": "11", "feedback": "The last while loop is not needed and incomplete, you can remove it.", "category": "TP"}]</t>
  </si>
  <si>
    <t>[{"line_number": "2", "feedback": "You forgot to return the result. Always remember to return the result from a function if the function is expected to give a result.", "category": "TP"}]</t>
  </si>
  <si>
    <t>[{"line_number": "5", "feedback": "You need to return the result from your function. Without a return statement, your function will not output anything.", "category": "TP"}, {"line_number": "4", "feedback": "You should slice the string up to the index \"i\" not \"i+1\". This is because slicing in Python is exclusive of the end index.", "category": "TP"}]</t>
  </si>
  <si>
    <t>[{"line_number": "4", "feedback": "You are trying to join the list into a string but you are not assigning it to any variable. S", "category": "TP"}, {"line_number": "5", "feedback": "You are returning the list \"meow\" instead of a string. After joining the list into a strin", "category": "TP"}]</t>
  </si>
  <si>
    <t>[{"line_number": "2", "feedback": "You do not need to modify the index \"i\". It is already given in the problem statement that \"i\" will always be between 0 and the length of the string (inclusive). S", "category": "TP"}]</t>
  </si>
  <si>
    <t>[{"line_number": "2", "feedback": "Your approach to remove the vertical bars by skipping every other character will not work if there are consecutive characters without a bar in between. Instead, you should use the replace() method of the string, which replaces all occurrences of a substring. In this case, you should replace all vertical bars with an empty string.", "category": "TP"}]</t>
  </si>
  <si>
    <t>[{"line_number": "1", "feedback": "Ensure that the function name matches with the one provided in the problem statement. In this case, the function name should be remove_bars instead of remove_bar.", "category": "TP"}]</t>
  </si>
  <si>
    <t>[{"line_number": "4", "feedback": "The condition to check if a three-digit number is a palindrome is not correct. You should check if the first digit is equal to the last digit, not the last two digits.", "category": "FP-I"}, {"line_number": "5", "feedback": "The condition to check if a two-digit number is a palindrome is not correct. You should check if the first digit is equal to the last digit, not the last two digits.", "category": "FP-H"}, {"line_number": "6", "feedback": "The condition to check if a number between 0 and 9 is a palindrome is not correct. You should check if the number is between 0 and 9 inclusive, not less than 0 or greater than 10.", "category": "FP-H"}, {"line_number": "4", "feedback": "The condition to check if a three-digit number is a palindrome is not correct. You should first check if it is a three-digit number, followed by checking if the first digit is equal to the last digit", "category": "FN"}, {"line_number": "5", "feedback": "The condition to check if a two-digit number is a palindrome is missing. You should include this, along with a check for if the first digit is equal to the last digit.", "category": "FN"}, {"line_number": "6", "feedback": "The condition to check if a number between 0 and 9 is a palindrome is not correct, and has a syntax error. Replace '&lt;10' with 'number&lt;10'.", "category": "FN"}]</t>
  </si>
  <si>
    <t>[{"line_number": "2", "feedback": "Your condition for checking if the number is less than 10 is correct, but you need to also check if the number is greater than 999.", "category": "TP"}, {"line_number": "5", "feedback": "Your condition for checking if the number is between 10 and 100 is incorrect. You should not check if the number is divisible by 11 to determine if it is a palindrome.", "category": "TP"}, {"line_number": "9", "feedback": "Your condition for checking if the number is greater than 100 is incorrect. You should not check if the first digit is equal to the last digit to determine if it is a palindrome.", "category": "FP-I"}, {"line_number": "13", "feedback": "You should return the result directly instead of assigning it to a variable first.", "category": "FP-E"}, {"line_number": "2", "feedback": "You missed checking if the number is less than 0", "category": "FN"}]</t>
  </si>
  <si>
    <t>[{"line_number": "1", "feedback": "The function should only take one argument, the number to be checked. You should not be passing x,y,z as arguments.", "category": "TP"}, {"line_number": "2", "feedback": "The variable s is not necessary. You should convert the number to a string if you want to check if it is a palindrome.", "category": "TP"}, {"line_number": "3", "feedback": "The if condition is not correct. You should be comparing the number with its reverse to check if it is a palindrome.", "category": "TP"}, {"line_number": "4", "feedback": "You should return a boolean valu", "category": "TP"}, {"line_number": "6", "feedback": "You should return a boolean valu", "category": "TP"}]</t>
  </si>
  <si>
    <t>[{"line_number": "3", "feedback": "You should check if the number is greater than 999 in the same line where you are checking if it is less than 0. This can be done using the or operator.", "category": "TP"}, {"line_number": "6", "feedback": "Your logic for checking if a two-digit number is a palindrome is incorrect. A two-digit number is a palindrome if its first digit is equal to its last digit. You can get the first digit by doing integer division by 10 and the last digit by taking the modulus 10.", "category": "FP-E"}, {"line_number": "8", "feedback": "Your logic for checking if a three-digit number is a palindrome is incorrect. A three-digit number is a palindrome if its first digit is equal to its last digit. You can get the first digit by doing integer division by 100 and the last digit by taking the modulus 10.", "category": "FP-E"}, {"line_number": "10", "feedback": "You should return False if the number is not a two-digit or three-digit number. This is because the problem statement specifies that the number must be between 0 and 999, inclusive.", "category": "TP"}]</t>
  </si>
  <si>
    <t>[{"line_number": "1", "feedback": "The logic of your program is a bit convoluted and unnecessarily complex. You are trying to manually reverse the digits of the number, which is not required. You can simply reverse the number using the modulus and floor division operations, and then compare the reversed number with the original number.", "category": "TP"}, {"line_number": "14", "feedback": "You are checking if the number is less than 0.1, which is not required. You should check if the number is less than 10, because if it is, then it is a palindrome.", "category": "TP"}, {"line_number": "16", "feedback": "Your conditions to check if the number is a palindrome are incorrect. You should simply compare the reversed number with the original number to check if it is a palindrome.", "category": "FP-E"}, {"line_number": "22", "feedback": "You are returning the result at the end of the function, which is correct. However, your logic to determine the result is incorrect. You should simply compare the reversed number with the original number to check if it is a palindrome.", "category": "FP-E"}]</t>
  </si>
  <si>
    <t>[{"line_number": "2", "feedback": "The initial condition only checks for numbers less than 10. However, the problem statement specifies that the number should be between 0 and 999. So, you should add a condition to check if the number is greater than 999 or less than 0, and return False in that case.", "category": "TP"}, {"line_number": "6", "feedback": "You are trying to find the second digit by subtracting the first digit from the number and then taking modulo 100. This is incorrect. You should simply do integer division by 10 to get the second digit.", "category": "FP-E"}, {"line_number": "12", "feedback": "You are trying to find the second and third digits in a similar incorrect way as before. You should use integer division by 10 to get the second digit and by 100 to get the third digit.", "category": "FP-E"}]</t>
  </si>
  <si>
    <t>[{"line_number": "3", "feedback": "In Pytho", "category": "TP"}, {"line_number": "6", "feedback": "The condition 0&lt;number&lt;9 will always return False for a palindrome number because a single digit number is always a palindrome. You should return True if the number is less than 10.", "category": "FP-I"}, {"line_number": "8", "feedback": "The condition (10&lt;=number&lt;=99) and (number mod 11 == 0) is not a correct way to check if a two-digit number is a palindrome. A two-digit number is a palindrome if its first digit is equal to its second digit. You should reverse the number and compare it with the original number.", "category": "FP-I"}, {"line_number": "10", "feedback": "The condition firstdigit == lastdigit is not a correct way to check if a three-digit number is a palindrome. A three-digit number is a palindrome if its first digit is equal to its third digit. You should reverse the number and compare it with the original number.", "category": "FP-I"}, {"line_number": "2", "feedback": "You should first check if the number is within the valid range (0 to 999). If it is not, return False.", "category": "TP"}, {"line_number": "3", "feedback": "Use interger division // instead of float division /.", "category": "FN"}, {"line_number": "9", "feedback": "The condition should be 0 &lt;= number &lt;= 9 to check if the number is a single digit.", "category": "FN"}]</t>
  </si>
  <si>
    <t>[{"line_number": "3", "feedback": "Your logic for checking if a number is a palindrome is incorrect. You are trying to compare the first and last digit", "category": "FP-I"}, {"line_number": "5", "feedback": "Your condition for checking if a number is a palindrome is incorrect. You should reverse the number and compare it with the original number.", "category": "FP-E"}, {"line_number": "7", "feedback": "Your condition for checking if a number is a palindrome is correct for single digit numbers. But you should also check if the number is within the valid range.", "category": "FP-I"}, {"line_number": "3", "feedback": "Use interger division // instead of float division /. Similarly in the below condition", "category": "FN"}]</t>
  </si>
  <si>
    <t>[{"line_number": "7", "feedback": "The condition to check if the number is less than 0 should be number &lt; 0, not number &lt;= 0. Because 0 is a palindrome.", "category": "TP"}, {"line_number": "14", "feedback": "For numbers less than 100, you should check if the first and the last digit are the same. So, it should be number1[0] == number1[-1], not number1[0] == number1[1].", "category": "FP-I"}]</t>
  </si>
  <si>
    <t>[{"line_number": "3", "feedback": "Your condition to check if the number is within the range 0 to 999 is incorrect. It should be 'if number &lt;= 999 and number &gt;= 0:' instead of 'if number &lt; 999 or number &gt; 0:'.", "category": "TP"}, {"line_number": "4", "feedback": "The way you are trying to check if the number is a palindrome is incorrect. A simpler and more effective way is to convert the number to a string, reverse it and then convert it back to an integer. If the original number and the reversed number are the same, then the number is a palindrome.", "category": "FP-E"}, {"line_number": "5", "feedback": "You need to check if the original number and the reversed number are the same inside the if statement where you check if the number is within the valid range.", "category": "FP-I"}, {"line_number": "11", "feedback": "Depending on whether the number is 3-digit or 2-digit, your condition should either be a==b or b==c respectively, to return True. ", "category": "FN"}]</t>
  </si>
  <si>
    <t>[{"line_number": "5", "feedback": "The logic for checking if a number is a palindrome is incorrect. For a two-digit number, you should compare the first digit with the last digit.", "category": "FP-I"}, {"line_number": "10", "feedback": "The logic for checking if a number is a palindrome is incorrect. For a three-digit number, you should compare the first digit with the last digit.", "category": "FP-I"}, {"line_number": "6", "feedback": "For a two-digit number, you should check if the last digit is equal to the first digit. That is, if number is 2-digit and c==b, then return True", "category": "FN"}, {"line_number": "8", "feedback": "For a three-digit number, you should check if the last digit is equal to the first digit. That is, modify a to be 'a=number//100'. If number is 3-digit and a==b then return True", "category": "FN"}]</t>
  </si>
  <si>
    <t>[{"line_number": "4", "feedback": "The condition to check if the number is out of range is incorrect. It should be 'number &gt; 999 or number &lt; 0", "category": "TP"}, {"line_number": "9", "feedback": "The condition to check if a two-digit number is a palindrome is incorrect. It should be 'number % 10 == number // 10", "category": "FP-I"}, {"line_number": "17", "feedback": "The condition to check if a three-digit number is a palindrome is incorrect. It should be 'hundreds == ones", "category": "TP"}, {"line_number": "5", "feedback": "The range check does not return False, it just return", "category": "FN"}]</t>
  </si>
  <si>
    <t>[{"line_number":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{"line_number": "6", "feedback": "You need to return a result for every possible input. The function does not return anything when the input is not in the range 0-999. You should add an else clause to handle this case.", "category": "TP"}]</t>
  </si>
  <si>
    <t>[{"line_number": "2", "feedback": "Your condition to check if the number is between 100 and 999 is incorrect. You should check if the number is greater than 99 instead of checking if the integer division of the number by 100 is between 1 and 9.", "category": "TP"}, {"line_number": "10", "feedback": "Your condition to check if the number is between 10 and 99 is incorrect. You should check if the number is greater than 9 instead of checking if the integer division of the number by 10 is between 1 and 9.", "category": "TP"}, {"line_number": "16", "feedback": "Your condition to check if the number is between 0 and 9 is incorrect. You should check if the number is less than 10 instead of checking if the number is 000 or 00.", "category": "TP"}, {"line_number": "1", "feedback": "You are missing a condition to check if the number is less than 0 or greater than 999. If it is, the function should return False.", "category": "FP-I"}, {"line_number": "3", "feedback": "Instead of converting the number to a string and comparing the characters, you should reverse the number using arithmetic operations and compare the reversed number with the original number.", "category": "FP-E"}, {"line_number": "11", "feedback": "Instead of converting the number to a string and comparing the characters, you should reverse the number using arithmetic operations and compare the reversed number with the original number.", "category": "FP-E"}]</t>
  </si>
  <si>
    <t>[{"line_number": "3", "feedback": "The condition to check if the number is less than 0 or greater than 999 should be at the start of the function. If the number is not within the valid range, the function should return False.", "category": "TP"}, {"line_number": "8", "feedback": "For a three-digit number, you need to check if the first and last digits are the same, and also if the second and second last digits are the same. You missed checking the second and second last digits.", "category": "FP-H"}, {"line_number": "18", "feedback": "There is no need to handle the cases where the number is less than 0 or greater than 999 separately. You can handle these cases at the start of the function.", "category": "TP"}, {"line_number": "22", "feedback": "You are returning a string when the number is out of range, make it a bool", "category": "FN"}]</t>
  </si>
  <si>
    <t>[{"line_number": "", "feedback": "", "category": ""}]</t>
  </si>
  <si>
    <t>[{"line_number": "3", "feedback": "The condition in your if statement is incorrect. You are checking if the number is equal to itself which will always be true. Instead, you should be checking if the reversed number is equal to the original number. Also, the logic for checking if the number is a palindrome is missing.", "category": "TP"}, {"line_number": "5", "feedback": "This condition is not needed. If the number is less than 10, it is indeed a palindrome, but this should be checked after the number has passed the range check (i.e., it is between 0 and 999).", "category": "TP"}, {"line_number": "6", "feedback": "This else clause is not needed. If the number is not a palindrome, the function should return False. This can be achieved by checking if the reversed number is not equal to the original number.", "category": "FP-I"}]</t>
  </si>
  <si>
    <t>[{"line_number": "2", "feedback": "The condition to check if the number is within the valid range is incorrect. It should be if number &lt; 0 or number &gt; 999:", "category": "FP-I"}, {"line_number": "4", "feedback": "The way you are calculating the reversed number for 3 digit numbers is incorrect. It should be (number % 10) * 100 + (number // 10 % 10) * 10 + (number // 100).", "category": "FP-I"}, {"line_number": "6", "feedback": "The way you are calculating the reversed number for 2 digit numbers is incorrect. It should be (number % 10) * 10 + (number // 10).", "category": "FP-I"}, {"line_number": "8", "feedback": "You are missing a condition to handle 1 digit numbers. For 1 digit numbers, they are always palindrome, so you should return True.", "category": "TP"}, {"line_number": "2", "feedback": "The condition to check if the number is within the valid range is incorrect. It should be if number &gt;= 0 or number &lt; 1000.", "category": "FN"}]</t>
  </si>
  <si>
    <t>[{"line_number": "3", "feedback": "You should combine the two conditions checking if the number is less than 0 or greater than 999 into one using the \"or\" operator.", "category": "FP-E"}, {"line_number": "5", "feedback": "Your logic for checking if a number is a palindrome is incorrect. You should reverse the number and then compare it with the original number to check if it is a palindrome.", "category": "FP-E"}, {"line_number": "8", "feedback": "You don\\'t need to store the result of the comparison in a variable. You can return the result of the comparison directly.", "category": "FP-E"}, {"line_number": "8", "feedback": "You are missing a condition to handle 1 digit numbers. For 1 digit numbers, they are always palindrome, so you should return True.", "category": "FN"}, {"line_number": "6", "feedback": "Your condition to check for palindrome for 2-digit and 3-digit cases is incorrect. Add additional conditions to fix this: '999&gt;=number&gt;=100 and number//100 == number%10 or 99&gt;=number&gt;=10 and number//10==number%10' .", "category": "FN"}]</t>
  </si>
  <si>
    <t>[{"line_number": "3", "feedback": "Your condition to check if the number is outside the range is incorrect. It should be number&lt;0 or number&gt;999 instead of number&lt;1 or 999&lt;number.", "category": "TP"}, {"line_number": "8", "feedback": "Your condition to check if the number is a three-digit number is incorrect. It should be number&gt;=100 instead of number&gt;100.", "category": "TP"}]</t>
  </si>
  <si>
    <t>[{"line_number": "2", "feedback": "You forgot to include a condition to check if the number is less than 0 or more than 999. This is important as per the problem statement.", "category": "TP"}, {"line_number": "5", "feedback": "You should check if the length of the number is 2 and the first and second digits are the same, then return True.", "category": "TP"}, {"line_number": "7", "feedback": "You should check if the length of the number is 3 and the first and third digits are the same, then return True.", "category": "TP"}, {"line_number": "10", "feedback": "There is no need for the return statement at the end. The function will automatically return False if none of the previous conditions are met.", "category": "TP"}]</t>
  </si>
  <si>
    <t>[{"line_number": "2", "feedback": "You need to check if the number is between 0 and 999. If it is not, return False.", "category": "TP"}, {"line_number": "3", "feedback": "Your logic for checking if a number is a palindrome is incorrect. You need to reverse the number and then compare it with the original number. If they are the same, then the number is a palindrome.", "category": "TP"}, {"line_number": "4", "feedback": "Indentation is important in Python. The \"result=True\" statement should be indented under the if statement.", "category": "TP"}, {"line_number": "5", "feedback": "The else statement should be aligned with the if statement.", "category": "TP"}, {"line_number": "6", "feedback": "The \"result=False\" statement should be indented under the else statement.", "category": "FP-H"}, {"line_number": "7", "feedback": "The return statement should be aligned with the if and else statements.", "category": "FP-H"}]</t>
  </si>
  <si>
    <t>[{"line_number": "2", "feedback": "You need to add a condition to check if the number is less than 0 or greater than 999. If it is, the function should return False.", "category": "TP"}, {"line_number": "17", "feedback": "You should return boolean values directly instead of returning them as strings.", "category": "TP"}, {"line_number": "15", "feedback": "Delete the elif condition number != 0, and add an else part instead", "category": "FN"}]</t>
  </si>
  <si>
    <t>[{"line_number": "2", "feedback": "Your code does not handle the case when the number is less than 10. In this case, the number is always a palindrome. You should add a condition to check this.", "category": "TP"}, {"line_number": "3", "feedback": "Your condition to check if the number is a two-digit number is incorrect. It should be 10 &lt;= number &lt;= 99.", "category": "TP"}, {"line_number": "9", "feedback": "Your condition to check if the number is a three-digit number is incorrect. It should be 100 &lt;= number &lt;= 999.", "category": "TP"}, {"line_number": "17", "feedback": "Your code does not handle the case when the number is outside the range [0, 999]. In this case, the function should return False.", "category": "TP"}]</t>
  </si>
  <si>
    <t>[{"line_number": "2", "feedback": "The condition in the if statement is not correct. You are supposed to check if the number is a palindrome, not if it is equal to some formatted version of itself. You can do this by reversing the number and checking if it is equal to the original number.", "category": "TP"}, {"line_number": "2", "feedback": "The format function is not used correctly. It is used to format strings, not to check for palindromes.", "category": "TP"}, {"line_number": "2", "feedback": "You need to check if the number is less than 0 or more than 999 and return False in these cases, as per the problem statement.", "category": "TP"}, {"line_number": "3", "feedback": "You need to calculate the reversed number correctly. You can do this by using the modulus and integer division operations.", "category": "TP"}, {"line_number": "9", "feedback": "You need to return the result at the end of the function.", "category": "FP-I"}, {"line_number": "2", "feedback": "You need to add brackets around the conditional statements", "category": "FN"}]</t>
  </si>
  <si>
    <t>[{"line_number": "3", "feedback": "You don't need to convert the number to int as it is already an integer.", "category": "FP-E"}, {"line_number": "6", "feedback": "You don't need to convert the number to int as it is already an integer. Also, you are trying to get the last two digits of the number by using number%100 which is not correct. You should get the ones place by using number%10 and the tens place by using (number//10)%10.", "category": "FP-E"}, {"line_number": "7", "feedback": "You are trying to get the tens place by dividing the last two digits by 10. This is not correct. You should get the tens place by using (number//10)%10.", "category": "TP"}, {"line_number": "8", "feedback": "You are trying to get the hundreds place by subtracting tens and ones from the number and then dividing by 100. This is not correct. You should get the hundreds place by using number//100.", "category": "FP-E"}, {"line_number": "10", "feedback": "You are trying to form the reversed number by concatenating ones, tens and hundreds as strings and then converting to int. This is not correct. You should form the reversed number by using hundreds*100 + tens*10 + ones for three digit numbers and tens*10 + ones for two digit numbers.", "category": "TP"}, {"line_number": "15", "feedback": "You don't need to convert the number to int for the comparison as it is already an integer.", "category": "FP-I"}, {"line_number": "6", "feedback": "Instead of a adding a dummy string continue here, shift the below code until return result inside the else part", "category": "FN"}]</t>
  </si>
  <si>
    <t>[{"line_number": "2", "feedback": "You need to check if the number is less than 0 or greater than 999 and return False in such cases. This is because the problem statement specifies that the number must be between 0 and 999, inclusive.", "category": "TP"}, {"line_number": "3", "feedback": "Your logic for checking if a number is a palindrome is incorrect. You need to reverse the number and then compare it with the original number. If they are the same, then the number is a palindrome.", "category": "FP-E"}, {"line_number": "4", "feedback": "Your logic for checking if a number is a palindrome is incorrect. You need to reverse the number and then compare it with the original number. If they are the same, then the number is a palindrome.", "category": "FP-E"}, {"line_number": "5", "feedback": "Your logic for checking if a number is a palindrome is incorrect. You need to reverse the number and then compare it with the original number. If they are the same, then the number is a palindrome.", "category": "FP-E"}, {"line_number": "5", "feedback": "The condition in the first elif statement is incorrect. It should be \"number &lt; 100\" instead of \"100 &gt; number &gt; 10\".", "category": "FN"}, {"line_number": "3", "feedback": "The condition in the if statement is incorrect. It should be \"number &gt; 99\" instead of \"number &lt; 100\".", "category": "FN"}]</t>
  </si>
  <si>
    <t>[{"line_number": "5", "feedback": "You need to check if the number is greater than 999 as well. So, the condition should be 'if x&lt;0 or x&gt;999:'", "category": "TP"}, {"line_number": "7", "feedback": "The condition 'if float(number/1000) &gt;= 0:' is not needed. You can remove this.", "category": "FP-E"}, {"line_number": "9", "feedback": "The condition 'if x/1 &lt; 10:' can be simplified to 'if x &lt; 10:'", "category": "FP-E"}, {"line_number": "12", "feedback": "The condition 'if x/10 &lt; 10:' can be simplified to 'if len(str(x)) == 2:'. Also, the comparison 'if str(x)[0] + str(x)[1] == str(x)[1] + str(x)[0]:' can be simplified to 'if x[0] == x[1]:'", "category": "FP-E"}, {"line_number": "18", "feedback": "The comparison 'if x[0] + x[1] + x[2] == x[2] + x[1] + x[0]:' can be simplified to 'if x[0] == x[2]:'", "category": "FP-E"}]</t>
  </si>
  <si>
    <t>[{"line_number": "4", "feedback": "You are only comparing the first and last digits of the number. This will not work for numbers with more than 2 digits. You need to reverse the string and compare it with the original string to check if the number is a palindrome.", "category": "TP"}, {"line_number": "2", "feedback": "You did not write the condition to check the range correctly", "category": "FN"}]</t>
  </si>
  <si>
    <t>[{"line_number": "4", "feedback": "The condition to check if the number is less than or equal to 0 should be changed to less than 0 as 0 is a palindrome.", "category": "TP"}, {"line_number": "7", "feedback": "Instead of manually reversing the number and comparing, you can convert the number to string and use slicing to reverse the string. This is more efficient and less error-prone.", "category": "TP"}, {"line_number": "13", "feedback": "Similar to the above feedback, use slicing to reverse the string representation of the number and compare.", "category": "TP"}]</t>
  </si>
  <si>
    <t>[{"line_number": "2", "feedback": "Good job on converting the number to a string to check if it is a palindrome. However, you forgot to check if the number is less than 0 or greater than 999. Add a condition to return False if the number is not within the range.", "category": "TP"}, {"line_number": "4", "feedback": "Your logic for checking if a single digit number is a palindrome is correct. Single digit numbers are always palindromes.", "category": "FP-E"}, {"line_number": "6", "feedback": "Your logic for checking if a two digit number is a palindrome is correct. However, you should use integer division (//) instead of float division (/) to get the quotient without the remainder.", "category": "FP-E"}, {"line_number": "12", "feedback": "Your logic for checking if a three digit number is a palindrome is correct. However, you should compare the first and last digits of the string representation of the number.", "category": "FP-I"}]</t>
  </si>
  <si>
    <t>[{"line_number": "2", "feedback": "There is no need to check for each individual number. You can simply convert the number to a string and check if it is the same when reversed. This will work for all numbers.", "category": "TP"}, {"line_number": "3", "feedback": "You should return boolean values True and Fals", "category": "TP"}]</t>
  </si>
  <si>
    <t>[{"line_number": "1", "feedback": "You forgot to check if the number is within the valid range (0 to 999).", "category": "TP"}, {"line_number": "7", "feedback": "You are comparing the original number with the reversed number, but you have already changed the original number in the while loop. You should store the original number in a separate variable before changing it.", "category": "FP-I"}]</t>
  </si>
  <si>
    <t>[{"line_number": "2", "feedback": "You need to check if the width and height of the rectangles are greater than 0. If no", "category": "TP"}, {"line_number": "3", "feedback": "You should use the abs() function to calculate the absolute distance between the x and y coordinates of the two rectangles.", "category": "FP-E"}, {"line_number": "6", "feedback": "You need to check if the width and height of the two rectangles are equal to determine if they intersect exactly.", "category": "FP-I"}, {"line_number": "8", "feedback": "You need to check if the width and height of the first rectangle are greater than or equal to the width and height of the second rectangle to determine if the second rectangle is inside the first rectangle.", "category": "FP-I"}]</t>
  </si>
  <si>
    <t>[{"line_number": "5", "feedback": "You need to check if the rectangles are valid by ensuring both the width and height are greater than 0.", "category": "TP"}, {"line_number": "8", "feedback": "You should calculate the coordinates of the four corners of the rectangles instead of using the center coordinates directly.", "category": "TP"}, {"line_number": "12", "feedback": "You should check if the four corners of r2 are all inside r1 to determine if r2 is inside r1.", "category": "TP"}, {"line_number": "14", "feedback": "You should check if r1 and r2 do not overlap to determine if r2 does not overlap r1.", "category": "TP"}, {"line_number": "16", "feedback": "If none of the above conditions are met, then r2 overlaps r1.", "category": "TP"}]</t>
  </si>
  <si>
    <t>[{"line_number": "2", "feedback": "You need to add a condition to check if the rectangles are valid. A rectangle is considered valid if both its width and height are greater than 0.", "category": "TP"}, {"line_number": "4", "feedback": "The calculation of xDistance and yDistance is incorrect. You should use absolute value to calculate the distance between the centers of the two rectangles.", "category": "FP-H"}, {"line_number": "7", "feedback": "The condition to check if r2 is inside r1 is incorrect. You should use absolute value to calculate the distance between the centers of the two rectangles.", "category": "FP-H"}, {"line_number": "4", "feedback": "You should use absolute value to calculate the distance between the centers of the two rectangles.", "category": "FN"}, {"line_number": "7", "feedback": "The condition to check if r2 is inside r1 is missing.", "category": "FN"}, {"line_number": "7", "feedback": "The condition to check if r2 does not overlap r1 is missing.", "category": "FN"}]</t>
  </si>
  <si>
    <t>[{"line_number": "2", "feedback": "Your condition for checking if the rectangles are valid is correct. A rectangle is considered valid if both its width and height are greater than 0.", "category": "FP-E"}, {"line_number": "4", "feedback": "You need to calculate the left, right, top, and bottom coordinates of the rectangles. The left coordinate is the center x coordinate minus half the width, the right coordinate is the center x coordinate plus half the width, the bottom coordinate is the center y coordinate minus half the height, and the top coordinate is the center y coordinate plus half the height.", "category": "TP"}, {"line_number": "8", "feedback": "You need to check if the second rectangle (r2) is inside the first rectangle (r1). So, you should check if the left, right, bottom, and top coordinates of r2 are within the left, right, bottom, and top coordinates of r1 respectively.", "category": "TP"}, {"line_number": "10", "feedback": "You need to check if the second rectangle (r2) intersects the first rectangle (r1) exactly. So, you should check if the left, right, bottom, and top coordinates of r2 are equal to the left, right, bottom, and top coordinates of r1 respectively.", "category": "TP"},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"TP"}, {"line_number": "14", "feedback": "If none of the above conditions are met, then the second rectangle (r2) overlaps the first rectangle (r1).", "category": "TP"}, {"line_number": "14", "feedback": "Your condition for 'r2 is inside r1", "category": "FN"}]</t>
  </si>
  <si>
    <t>[{"line_number": "4", "feedback": "The check for valid rectangles should be done at the beginning of the function. If the rectangle is not valid, we should return immediately and not proceed with further calculations.", "category": "TP"}, {"line_number": "18", "feedback": "The conditions for checking if r2 is inside r1 were correct. We need to check if all the sides of r2 are within the sides of r1.", "category": "FP-E"}, {"line_number": "22", "feedback": "The conditions for checking if r2 overlaps r1 were incorrect. We need to check if any of the sides of r2 intersect with the sides of r1. The conditions should be that the right side of r2 is greater than the left side of r1 and the left side of r2 is less than the right side of r1.", "category": "TP"}, {"line_number": "14", "feedback": "The conditions for checking if r2 intersects r1 exactly were correct.", "category": "FP-E"}, {"line_number": "26", "feedback": "If none of the above conditions are met, then r2 does not overlap r1. So, we can return this as the default case.", "category": "TP"}]</t>
  </si>
  <si>
    <t>[{"line_number": "19",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t>
  </si>
  <si>
    <t>[{"line_number": "2", "feedback": "The condition to check if the rectangle is valid should be 'w1 &lt;= 0 or h1 &lt;= 0 or w2 &lt;= 0 or h2 &lt;= 0' instead of 'w1 &lt; 0 or h1 &lt; 0 or w2 &lt; 0 or h2 &lt; 0'. Because a rectangle with either width or height equal to 0 is not a valid rectangle.", "category": "TP"}, {"line_number": "9", "feedback": "The conditions to check if r2 overlaps r1 are incorrect. It should be '(x1 + w1/2 &gt;= x2 - w2/2 and y1 + h1/2 &gt;= y2 - h2/2) or (x1 - w1/2 &lt;= x2 + w2/2 and y1 - h1/2 &lt;= y2 + h2/2)'.", "category": "TP"}, {"line_number": "13", "feedback": "The condition to check if r2 does not overlap r1 is incorrect. It should be 'else' instead of 'elif'. Because if none of the previous conditions are met, it means that r2 does not overlap r1.", "category": "FP-H"}]</t>
  </si>
  <si>
    <t>[{"line_number": "2", "feedback": "Instead of using if-else condition to calculate the absolute difference between x1 and x2, you can directly use the abs() function.", "category": "FP-E"}, {"line_number": "3", "feedback": "Instead of using if-else condition to calculate the absolute difference between y1 and y2, you can directly use the abs() function.", "category": "FP-E"}, {"line_number": "6", "feedback": "There should not be any spaces in the return string. It should be \"Not a valid rectangle\" instead of \" Not a valid rectangle \".", "category": "TP"}, {"line_number": "8", "feedback": "There should not be any spaces in the return string. It should be \"r2 intersect r1 exactly\" instead of \" r2 interesect r1 exactly \".", "category": "TP"}, {"line_number": "14", "feedback": "There should not be any spaces in the return string. It should be \"r2 does not overlap r1\" instead of \" r2 does not overlap r1 \".", "category": "TP"}, {"line_number": "16", "feedback": "There should not be any spaces in the return string. It should be \"r2 overlaps r1\" instead of \" r2 overlaps r1 \".", "category": "TP"}, {"line_number": "12", "feedback": "There is a typo in the return string. It should be \"r1 is inside r2\" instead of \"r1 is inside r \".", "category": "TP"}]</t>
  </si>
  <si>
    <t>[{"line_number": "8", "feedback": "The condition to check if 'r2 overlaps r1' is incorrect. It should be an 'and' condition instead of 'or'.", "category": "TP"}, {"line_number": "2", "feedback": "Missed the case of invalid rectangle", "category": "FN"}]</t>
  </si>
  <si>
    <t>[{"line_number": "2", "feedback": "You should check if the width and height of the rectangles are less than or equal to 0, not just less than 0. This is because a rectangle with width or height equal to 0 is not valid.", "category": "TP"}, {"line_number": "5", "feedback": "You should calculate the left, right, bottom, and top coordinates for both rectangles. This is because you need these values to determine the relationship between the two rectangles.", "category": "TP"}, {"line_number": "9", "feedback": "You should check if the left, right, bottom, and top coordinates of rectangle 2 are within the corresponding coordinates of rectangle 1. This is the condition for rectangle 2 to be inside rectangle 1.", "category": "TP"}, {"line_number": "11", "feedback": "You should check if the left, right, bottom, and top coordinates of rectangle 2 are equal to the corresponding coordinates of rectangle 1. This is the condition for rectangle 2 to intersect rectangle 1 exactly.", "category": "TP"}, {"line_number": "13", "feedback": "You should check if the left, right, bottom, or top coordinate of rectangle 2 is outside the corresponding coordinate of rectangle 1. This is the condition for rectangle 2 to not overlap rectangle 1.", "category": "TP"}, {"line_number": "15", "feedback": "You should return 'r2 overlaps r1' if none of the other conditions are met. This is because if none of the other conditions are met, then rectangle 2 must overlap rectangle 1.", "category": "TP"}]</t>
  </si>
  <si>
    <t>[{"line_number": "2", "feedback": "The condition to check if the rectangle is valid should be less than or equal to 0, not just less than 0. Because a rectangle with width or height of 0 is not a valid rectangle.", "category": "TP"}, {"line_number": "5", "feedback": "You should use the abs() function to calculate the absolute distance between the x and y coordinates of the two rectangles. This is because the distance between two points is always positive.", "category": "TP"}, {"line_number": "7", "feedback": "The condition to check if the two rectangles intersect exactly should also include the width and height of the rectangles, not just the x and y coordinates.", "category": "TP"}, {"line_number": "9", "feedback": "The condition to check if rectangle 2 is inside rectangle 1 should be based on the absolute distance between the x and y coordinates and the difference of the widths and heights of the rectangles.", "category": "TP"}, {"line_number": "11", "feedback": "The condition to check if the two rectangles overlap should be based on the absolute distance between the x and y coordinates and the sum of the widths and heights of the rectangles.", "category": "TP"}]</t>
  </si>
  <si>
    <t>[{"line_number": "2", "feedback": "You need to start by checking if the rectangles are valid. A rectangle is valid if both its width and height are greater than 0.", "category": "TP"}, {"line_number": "4", "feedback": "You should use the abs() function to calculate the absolute distance between the x and y coordinates of the rectangles.", "category": "TP"}, {"line_number": "6", "feedback": "To check if the rectangles intersect exactly, you should also check if their widths and heights are equal.", "category": "TP"}]</t>
  </si>
  <si>
    <t>[{"line_number": "2", "feedback": "The initial code was hardcoded for specific values and did not take into account the general case. You need to calculate the corners of the rectangles and compare them to determine the relationship between the rectangles.", "category": "TP"}, {"line_number": "3", "feedback": "You need to check if the rectangles are valid by ensuring that both the width and height are greater than 0.", "category": "TP"}, {"line_number": "5", "feedback": "To determine if the rectangles are exactly the same, you need to check if the corners of both rectangles are equal.", "category": "TP"}, {"line_number": "7", "feedback": "To determine if one rectangle is inside the other, you need to check if the corners of the first rectangle are outside the corners of the second rectangle.", "category": "TP"}, {"line_number": "9", "feedback": "To determine if the rectangles do not overlap, you need to check if one rectangle is completely to the left, right, above, or below the other.", "category": "TP"}, {"line_number": "11", "feedback": "If none of the above conditions are met, then the rectangles overlap.", "category": "TP"}]</t>
  </si>
  <si>
    <t>[{"line_number": "2", "feedback": "You can use the abs() function to get the absolute value of a number. This will simplify your code and make it easier to read.", "category": "FP-E"}, {"line_number": "15", "feedback": "Condition is incorrect for r2 inside r1. Use xDistance &lt;= (w1-w2)/2", "category": "FN"}, {"line_number": "", "feedback": "", "category": ""}]</t>
  </si>
  <si>
    <t>[{"line_number": "3", "feedback": "The condition to check if the rectangle is valid or not is incorrect. It should check if the width or height of either rectangle is less than or equal to 0, not the sum of the widths or heights.", "category": "TP"}, {"line_number": "5", "feedback": "The condition to check if r2 is inside r1 is incorrect. It should check if all the edges of r2 are inside r1, not just the center and one edge.", "category": "TP"}, {"line_number": "9", "feedback": "The condition to check if r2 overlaps r1 is incorrect. It should check if any edge of r2 is outside r1, not just the center and one edge.", "category": "TP"}, {"line_number": "11", "feedback": "The condition to check if r2 does not overlap r1 is incorrect. It should check if all the edges of r2 are outside r1, not just the center and one edge.", "category": "TP"}]</t>
  </si>
  <si>
    <t>[{"line_number": "2", "feedback": "You should check if the width or height of the rectangles are less than or equal to zer", "category": "TP"}, {"line_number": "4", "feedback": "You should check if the rectangles have the same center and dimensions to determine if they intersect exactly. If they d", "category": "TP"}, {"line_number": "6", "feedback": "You should check if the absolute difference between the x-coordinates times 2 is less than the width of the first rectangle and the absolute difference between the y-coordinates times 2 is less than the height of the first rectangle to determine if one rectangle is inside the other. If it i", "category": "FP-I"}, {"line_number": "8", "feedback": "You should check if the absolute difference between the x-coordinates times 2 is less than the sum of the widths and the absolute difference between the y-coordinates times 2 is less than the sum of the heights to determine if the rectangles overlap. If they d", "category": "FP-I"}, {"line_number": "10", "feedback": "If none of the above conditions are me", "category": "TP"}]</t>
  </si>
  <si>
    <t>[{"line_number": "2", "feedback": "You forgot to check if the rectangles are valid. A rectangle is considered valid if both its width and height are greater than 0.", "category": "TP"}, {"line_number": "3", "feedback": "The calculation of the left and right sides of the rectangles is incorrect. The left side should be the center x coordinate minus half the width, and the right side should be the center x coordinate plus half the width.", "category": "TP"}, {"line_number": "5", "feedback": "The calculation of the top and bottom sides of the rectangles is incorrect. The top side should be the center y coordinate plus half the height, and the bottom side should be the center y coordinate minus half the height.", "category": "TP"}, {"line_number": "9", "feedback": "The condition to check if r2 does not overlap r1 is incorrect. The rectangles do not overlap if the right side of r1 is less than the left side of r2, or the left side of r1 is greater than the right side of r2, or the bottom side of r1 is greater than the top side of r2, or the top side of r1 is less than the bottom side of r2.", "category": "TP"}, {"line_number": "11", "feedback": "The condition to check if r2 is inside r1 is incorrect. r2 is inside r1 if the left side of r1 is less than or equal to the left side of r2, the right side of r1 is greater than or equal to the right side of r2, the top side of r1 is greater than or equal to the top side of r2, and the bottom side of r1 is less than or equal to the bottom side of r2.", "category": "TP"}]</t>
  </si>
  <si>
    <t>[{"line_number": "3", "feedback": "You should check if the width or height is less than or equal to 0, not just less than 0. Also, you can combine all these conditions into one using the logical OR operator.", "category": "TP"}, {"line_number": "10", "feedback": "The condition for checking if one rectangle does not overlap the other is incorrect. You should check if the distance between the centers of the rectangles is greater than or equal to the sum of half of their widths or heights.", "category": "TP"}, {"line_number": "13", "feedback": "The condition for checking if one rectangle is inside the other is incorrect. You should check if the distance between the centers of the rectangles is less than or equal to the difference of half of their widths or heights.", "category": "TP"}, {"line_number": "16", "feedback": "You need to handle the case where the rectangles overlap but one is not inside the other. This can be done by checking if the distance between the centers of the rectangles is less than or equal to the sum of half of their widths or heights.", "category": "FP-I"}, {"line_number": "27", "feedback": "You are printing in the end of the code, that is incorrect.", "category": "FN"}]</t>
  </si>
  <si>
    <t>[{"line_number": "10", "feedback": "The condition to check if r2 does not overlap r1 is incorrect. You should compare the coordinates of the edges of the rectangles, not the coordinates of the centers. The edge of a rectangle is calculated by adding or subtracting half of the width or height to or from the center coordinate.", "category": "TP"}]</t>
  </si>
  <si>
    <t>[{"line_number": "4", "feedback": "You should subtract 1 from X before taking the modulus. This is because the problem statement mentions that if X is 3, it means 'Sean arrived sometime during the third minute of the day'. So, the third minute is still in progress and not completed yet. Hence, you should consider it as the second minute (0-indexed) while calculating the modulus.", "category": "TP"}, {"line_number": "5", "feedback": "You should check if 'enter1' is less than A, not less than or equal to A. This is because the problem statement mentions that the turnstile works for A minutes and then breaks down. So, the A-th minute is the start of the breakdown period, not the working period.", "category": "TP"}, {"line_number": "7", "feedback": "You should check if 'enter2' is less than C, not less than or equal to C. This is because the problem statement mentions that the turnstile works for C minutes and then breaks down. So, the C-th minute is the start of the breakdown period, not the working period.", "category": "TP"}]</t>
  </si>
  <si>
    <t>[{"line_number": "5", "feedback": "The condition to check if the first turnstile is working is incorrect. It should be 'work1 &lt;= A and work1 != 0' instead of '(work1 - A) &gt;= 0'. The turnstile is working if the remainder of X divided by the cycle time is less than or equal to A and not equal to 0 (which means X is not a multiple of the cycle time and the turnstile is not in the breakdown period).", "category": "TP"}, {"line_number": "12", "feedback": "The condition to check if the second turnstile is working is incorrect. It should be 'work2 &lt;= C and work2 != 0' instead of '(work1 - C ) &gt;= 0'. Also, you have used the wrong variable work1 instead of work2. The turnstile is working if the remainder of X divided by the cycle time is less than or equal to C and not equal to 0 (which means X is not a multiple of the cycle time and the turnstile is not in the breakdown period).", "category": "TP"}, {"line_number": "7", "feedback": "The condition 'if X &lt;= A :' is not necessary and should be removed. The working condition of the turnstile is already checked with 'work1 &lt;= A and work1 != 0'.", "category": "TP"}, {"line_number": "15", "feedback": "The condition 'if X &lt;= C :' is not necessary and should be removed. The working condition of the turnstile is already checked with 'work2 &lt;= C and work2 != 0'.", "category": "TP"}]</t>
  </si>
  <si>
    <t>[{"line_number": "5", "feedback": "The condition in the if statement is incorrect. The correct condition should be (X-1)%(A+B) &lt; A. This checks if the remainder of (X-1) divided by (A+B) is less than A, which means the turnstile is operational.", "category": "TP"}, {"line_number": "7", "feedback": "The elif statement is not needed. You can directly check if the second turnstile is operational using an if statement with the condition (X-1)%(C+D) &lt; C.", "category": "TP"}, {"line_number": "9", "feedback": "The elif and else statements for checking if the second turnstile is operational are not needed. The if statement with the correct condition is enough.", "category": "TP"}]</t>
  </si>
  <si>
    <t>[{"line_number": "2", "feedback": "Your logic for checking if the turnstiles are working or not is incorrect. You need to check if the time X falls within the working period of each turnstile. This can be done by calculating the remainder when X-1 is divided by the sum of the working and breakdown times of the turnstile. If this remainder is less than the working time of the turnstile, it means the turnstile is working at time X.", "category": "TP"}, {"line_number": "3", "feedback": "The same logic applies to the second turnstile. You need to check if the time X falls within the working period of the second turnstile.", "category": "TP"}, {"line_number": "4", "feedback": "The final answer should be the sum of the results for each turnstile. If both turnstiles are working, the answer will be 2. If only one is working, the answer will be 1. If neither is working, the answer will be 0.", "category": "TP"}]</t>
  </si>
  <si>
    <t>[{"line_number": "5",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{"line_number": "9",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t>
  </si>
  <si>
    <t>[{"line_number": "2", "feedback": "The condition in the if statement should be ((X-1) % (A + B) &lt; A) instead of (X % (A + B) &lt;= A). This is because if X is exactly equal to A, then the turnstile is not operational at that time, it's in the breakdown period. Also, the time should start from 0, so you should subtract 1 from X.", "category": "TP"}, {"line_number": "7", "feedback": "The function t(C, D, X) is not needed. You can use the same function t(A, B, X) for both turnstiles by calling it with different parameters in the turnstiles function.", "category": "TP"}]</t>
  </si>
  <si>
    <t>[{"line_number": "3", "feedback": "Your initial condition checks are not correct. You should be checking if the remainder of (X-1) divided by the sum of the working and breakdown times is less than the working time. This would mean that the turnstile is still working when Sean arrives.", "category": "TP"}, {"line_number": "4", "feedback": "You do not need to check for all these conditions. You just need to check if the turnstile is working when Sean arrives, which can be done using the modulus operator and comparing the result with the working time of the turnstile.", "category": "TP"}, {"line_number": "20", "feedback": "You are not returning any value from your function. You should return the variable \"ans\" which stores the number of turnstiles that are operational when Sean arrives.", "category": "TP"}]</t>
  </si>
  <si>
    <t>[{"line_number": "6", "feedback": "Be careful with variable names. Python is case-sensitiv", "category": "TP"}]</t>
  </si>
  <si>
    <t>[{"line_number": "2", "feedback": "The keyword \"whileif\" doesn\\'t exist in Python. You probably meant to use \"while\" or \"if\".", "category": "TP"}, {"line_number": "3", "feedback": "The logic of your code is incorrect. You should check if the remainder of (X-1) divided by (A + B) is less than A. This will determine if the first turnstile is operational.", "category": "TP"}, {"line_number": "5", "feedback": "You should also check if the remainder of (X-1) divided by (C + D) is less than C. This will determine if the second turnstile is operational.", "category": "TP"}, {"line_number": "7", "feedback": "The variable \"ans\" is not defined in your code. You should initialize it before the if statements and increment it if a turnstile is operational.", "category": "TP"}]</t>
  </si>
  <si>
    <t>[{"line_number": "6", "feedback": "In Python, the equality operator is \"==\", not \"=\". So, you should use \"==\" to compare G and H with 0.", "category": "TP"}]</t>
  </si>
  <si>
    <t>[{"line_number": "2", "feedback": "The logic you used to check if the turnstiles are working is incorrect. You need to check if the remainder of the total time (X-1) divided by the sum of the working and breakdown times of each turnstile is less than the working time of that turnstile. This is because the turnstile works for a certain number of minutes and then breaks down for a certain number of minutes. So, if the remainder is less than the working time, it means the turnstile is still working when Sean arrives.", "category": "TP"}, {"line_number": "3", "feedback": "The same logic applies to the second turnstile as well. You need to check if the remainder of the total time (X-1) divided by the sum of the working and breakdown times of the second turnstile is less than the working time of that turnstile.", "category": "TP"}, {"line_number": "4", "feedback": "The else condition is not needed as the turnstiles can be working independently of each other. So, we just need to check each turnstile separately and add 1 to the answer if it is working.", "category": "TP"}]</t>
  </si>
  <si>
    <t>[{"line_number": "2", "feedback": "The calculation of result_A and result_B is incorrect. It should be the remainder of (X-1) divided by (A + B) and (C + D) respectively.", "category": "TP"}, {"line_number": "4", "feedback": "The condition to check if the turnstile is working is incorrect. It should check if result_A and result_B is less than A and C respectively.", "category": "TP"}, {"line_number": "5", "feedback": "Instead of assigning a fixed value to ans, you should increment it by 1 each time a turnstile is working.", "category": "FP-E"}]</t>
  </si>
  <si>
    <t>[{"line_number": "2", "feedback": "You should subtract 1 from X before taking the modulus. This is because the problem statement says that if X is ", "category": "TP"}, {"line_number": "2", "feedback": "You should check if the remainder is less than A, not less than or equal to A. This is because if the remainder is equal to A, it means the turnstile has just broken down.", "category": "TP"}, {"line_number": "5", "feedback": "You should subtract 1 from X before taking the modulus for the same reason as above.", "category": "TP"}, {"line_number": "5", "feedback": "You should check if the remainder is less than C, not less than or equal to C for the same reason as above.", "category": "TP"}]</t>
  </si>
  <si>
    <t>[{"line_number": "5", "feedback": "The logic you used to calculate the operational status of the turnstiles is incorrect. You need to calculate the total time for each turnstile (operational time + breakdown time) and then use the modulus operation to determine if the turnstile is operational at the given time. You should also use a helper function to avoid repeating code.", "category": "TP"}, {"line_number": "6", "feedback": "The conditions in your if-else statements are incorrect. You should check if the time is less than the operational time for each turnstile separately, not together. Also, you don't need to compare the operational times of the two turnstiles.", "category": "TP"}, {"line_number": "7", "feedback": "The conditions in your elif statement are incorrect. You should check if the time is less than the operational time for each turnstile separately, not together. Also, you don't need to compare the operational times of the two turnstiles.", "category": "TP"}, {"line_number": "8", "feedback": "The conditions in your else statement are unnecessary. If the time is not less than the operational time for either turnstile, then both turnstiles are not operational.", "category": "TP"}, {"line_number": "9", "feedback": "The return statement is correct, but the calculation of 'ans' is incorrect due to the errors in the if-else statements.", "category": "TP"}]</t>
  </si>
  <si>
    <t>[{"line_number": "2", "feedback": "You need to subtract 1 from X before performing the modulo operation. This is because the problem statement says \"if X is ", "category": "TP"}, {"line_number": "5", "feedback": "You need to subtract 1 from X before performing the modulo operation. This is because the problem statement says \"if X is ", "category": "TP"}]</t>
  </si>
  <si>
    <t>[{"line_number":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"FP-E"}, {"line_number": "6", "feedback": "The conditional statement checking if d2 is equal to 0 is not necessary. You can directly calculate the number of full days the snail will take to reach just below the top of the pole using integer division.", "category": "TP"}, {"line_number": "8", "feedback": "The calculation of d1 is incorrect. It should be the integer division of (H-B-1) by (A-B), and then add 1 to this number to account for the final day when the snail reaches the top. This represents the total number of days the snail will take to reach the top of the pole.", "category": "TP"}, {"line_number": "11", "feedback": "The calculations of z and t are not necessary for this problem. You can directly calculate the total number of days the snail will take to reach the top of the pole using the formula mentioned in the feedback for line 8.", "category": "TP"}, {"line_number": "14", "feedback": "The calculation of ans is incorrect. It should be equal to the number of full days the snail will take to reach just below the top of the pole, plus 1 to account for the final day when the snail reaches the top. This can be done in one line of code.", "category": "TP"}]</t>
  </si>
  <si>
    <t>[{"line_number":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"TP"}, {"line_number": "5", "feedback": "The else part of your code is not necessary because the formula (H-B-1)//(A-B) + 1 works for all cases.", "category": "TP"}]</t>
  </si>
  <si>
    <t>[{"line_number": "2", "feedback": "The logic you used to calculate the number of days is incorrect. The snail climbs up A meters during the day and slides down B meters at night. So, the effective climbing in a day is (A-B) meters. But on the last day, when the snail reaches the top, it will not slide down. So, we subtract B from H. We subtract 1 before division to handle the case when (H-B) is exactly divisible by (A-B). After that, we add 1 to the result to count the last day.", "category": "TP"}]</t>
  </si>
  <si>
    <t>[{"line_number": "5", "feedback": "You forgot to assign the result of the calculation to the variable \"ans\". Always remember to store the result in a variable if you want to return it later.", "category": "TP"}]</t>
  </si>
  <si>
    <t>[{"line_number": "5", "feedback": "Be careful with your syntax. In Pytho", "category": "TP"}]</t>
  </si>
  <si>
    <t>[{"line_number": "2", "feedback": "You forgot to put a colon at the end of the if statement. In Python, you need to end the if statement with a colon.", "category": "TP"}, {"line_number": "3",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{"line_number": "5", "feedback": "This condition is unnecessary and the calculation is incorrect. You should remove this condition.", "category": "TP"}, {"line_number": "7",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t>
  </si>
  <si>
    <t>[{"line_number": "2", "feedback": "The variables 'lol' and 'loe' are not needed in this code. You can remove them.", "category": "FP-E"}, {"line_number": "3", "feedback": "The variable 'hul' is not needed in this code. You can remove it.", "category": "FP-E"}, {"line_number": "4", "feedback": "The calculation for 'ans' is incorrect. You should subtract 'B' from 'H", "category": "TP"}]</t>
  </si>
  <si>
    <t>[{"line_number": "4", "feedback": "You have correctly identified that the snail climbs A meters and slides down B meters in a day. However, the calculation for the number of days is incorrect. The snail climbs (A-B) meters in a day. But on the last day, it does not slide down. So, we subtract B from H before dividing by (A-B). Also, to ensure that we round up to the next integer (since the number of days must be an integer), we subtract 1 from the numerator before performing the division.", "category": "TP"}]</t>
  </si>
  <si>
    <t>[{"line_number":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"TP"}]</t>
  </si>
  <si>
    <t>[{"line_number": "3", "feedback": "You have used the \"elif\" keyword without a preceding \"if\" statement. Replace \"elif\" with \"if\" to correct the syntax.", "category": "TP"}, {"line_number": "4", "feedback": "The logic for calculating the number of days is incorrect. The snail climbs during the day and slides down at night. So, on the last day when it reaches the top, it won't slide down. You need to account for this in your calculation. Also, you should check if (H - A) is divisible by distance, not H.", "category": "TP"}, {"line_number": "7", "feedback": "The logic for calculating the number of days is incorrect. The snail climbs during the day and slides down at night. So, on the last day when it reaches the top, it won't slide down. You need to account for this in your calculation. If (H - A) is not divisible by distance, you should add 2 to the result, not 1.", "category": "TP"}]</t>
  </si>
  <si>
    <t>[{"line_number": "3", "feedback": "Python is case-sensitive. Make sure to use the same variable name \"ans\" throughout your code.", "category": "FP-H"}, {"line_number": "5", "feedback": "You have a syntax error. The elif statement is missing a block of code to execute. Make sure to provide a block of code for each control flow statement.", "category": "TP"}]</t>
  </si>
  <si>
    <t>[{"line_number": "4", "feedback": "You were on the right track with calculating the number of days it takes for the snail to reach the top. However, the logic in your code was slightly off. The snail climbs up A meters during the day and slides down B meters at night. So, the net distance covered by the snail in a day is (A-B) meters. But on the last day, the snail just needs to climb to the top and it won\u2019t slide down. So, we subtract B from the total height H. Then, we divide the result by (A-B) to get the number of full days it takes for the snail to reach just below the top. We subtract 1 from the height before division to handle the case when the height is exactly divisible by (A-B). Finally, we add 1 to account for the last day when the snail climbs to the top. We use floor division (//) to get the number of full days.", "category": "TP"}]</t>
  </si>
  <si>
    <t>[{"line_number": "2", "feedback": "The conditions you have set are unnecessary and confusing. The snail will always slide down at night unless it has reached the top of the pole. So, you need to subtract B (the distance the snail slides down at night) from H (the height of the pole) first.", "category": "TP"}, {"line_number": "5", "feedback": "The logic you used to calculate the number of days is incorrect. The snail climbs (A-B) meters in a full day. So, you need to divide the adjusted height (H-B) by (A-B) to get the number of full days. If there is a remainder, that means the snail will reach the top on the next day, so you need to add 1 to the number of days.", "category": "TP"}, {"line_number": "6", "feedback": "You do not need to check for the case when A equals H or A equals B. The constraints given in the problem ensure that 1 \u2264 B &lt; A \u2264 H \u2264 10^9.", "category": "FP-E"}]</t>
  </si>
  <si>
    <t>[{"line_number": "3", "feedback": "You're on the right track with using the formula to calculate the number of days, but you need to subtract B from H before dividing. This is because on the last day, the snail will reach the top of the pole during the day and won't slide down at night. So, the effective height the snail needs to climb is (H - B).", "category": "TP"}]</t>
  </si>
  <si>
    <t>[{"line_number":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"TP"},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"TP"}]</t>
  </si>
  <si>
    <t>[{"line_number":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"TP"}]</t>
  </si>
  <si>
    <t>[{"line_number": "3", "feedback": "Your calculation for the number of days is incorrect. You should calculate the number of full days it takes for the snail to climb the pole, excluding the last day. This is done by subtracting the distance the snail slides down at night from the height of the pole, then dividing by the net distance the snail climbs in a day (which is the distance it climbs during the day minus the distance it slides down at night). After that, you should add 1 to account for the last day when the snail reaches the top. So, the correct calculation is (H-B-1)//(A-B) + 1.", "category": "TP"}]</t>
  </si>
  <si>
    <t>[{"line_number": "2", "feedback": "Your logic for checking if the height is not divisible by (A-B) is correct, but you need to handle the case where the height is less than or equal to the distance the snail can climb in a day.", "category": "FP-I"}, {"line_number": "4", "feedback": "The condition H/(A-B) == H does not make sense in this context. Instead, you should check if the height is less than or equal to the distance the snail can climb in a day, and if so, return 1 since the snail can reach the top in a single day.", "category": "TP"}]</t>
  </si>
  <si>
    <t>[{"line_number": "3", "feedback": "In Pytho", "category": "TP"}, {"line_number": "4", "feedback": "Your formula to calculate the number of days is incorrect. The snail will reach the top during the day, so you should subtract B from H before dividing.", "category": "TP"}, {"line_number": "6", "feedback": "Your formula to calculate the number of days is incorrect. The snail will reach the top during the day, so you should subtract B from H before dividing.", "category": "TP"}]</t>
  </si>
  <si>
    <t>[{"line_number": "4", "feedback": "You forgot to assign the result of the calculation to the variable \"ans\". Always remember to store the result in a variable if you want to use it later.", "category": "TP"}, {"line_number": "5", "feedback": "The variable \"h\" is not defined in your code. I believe you wanted to use \"H\" instead. Make sure to use the correct variable names.", "category": "FP-H"}, {"line_number": "3", "feedback": "You need to subtract B from H before performing the division operation. This is because the snail does not slide down on the last day after reaching the top. So, the effective height it needs to climb is (H-B).", "category": "FN"}]</t>
  </si>
  <si>
    <t>[{"line_number": "3", "feedback": "You need to subtract B from H before performing the division operation. This is because the snail does not slide down on the last day after reaching the top. So, the effective height it needs to climb is (H-B).", "category": "TP"}, {"line_number": "4", "feedback": "There is no need to check if H is odd or even. The formula to calculate the number of days is the same for both cases. You just need to subtract 1 from H, divide it by x (which is the net distance the snail covers in a day), and then add 1 to the result. The reason for subtracting 1 before division is to handle the case where H is exactly divisible by x. In such cases, the snail would reach the top exactly at the end of the day, so we don't need an extra day. The reason for adding 1 after division is to account for the last day when the snail reaches the top.", "category": "TP"}]</t>
  </si>
  <si>
    <t>[{"line_number": "2", "feedback": "You should subtract B from H in the first step, not A. This is because the snail does not slide down on the last day after reaching the top.", "category": "TP"}, {"line_number": "3", "feedback": "You should subtract 1 before dividing remaing_Days by (A-B). This is to handle the case when remaing_Days is exactly divisible by (A-B), in which case the snail would reach the top one day earlier than your original calculation.", "category": "TP"}]</t>
  </si>
  <si>
    <t>[{"line_number": "3", "feedback": "You have the right idea of using the formula (H / (A - B)) to calculate the number of days, but you need to consider that the snail does not slide down on the last day. So, you need to subtract B from H before performing the division. Also, you should subtract 1 before performing the ceiling operation to handle the case where the snail reaches the top exactly at the end of a day. So, the correct formula should be (H - B - 1) // (A - B) + 1.", "category": "TP"}]</t>
  </si>
  <si>
    <t>[{"line_number": "4", "feedback": "You are subtracting A from H at the beginning of the calculation, which is not necessary and causing the wrong output. The correct calculation should be (H-B) // (A-B).", "category": "TP"}, {"line_number": "6", "feedback": "In your if condition, you should check if (H-B) % D &gt; 0, not (H/D) % 1 &gt; 0. This is because we want to see if there is a remainder when the total distance the snail needs to climb (H-B) is divided by the distance the snail can climb in a day (A-B). If there is a remainder, it means the snail will need an additional day to reach the top.", "category": "TP"}]</t>
  </si>
  <si>
    <t>[{"line_number": "4", "feedback": "You're on the right track calculating the difference between the distance the snail climbs and slides (x). However, the logic to calculate the days is incorrect. The snail climbs during the day and slides at night, so you should subtract B from H before dividing by x. If the remainder of this division is 0, it means the snail reaches the top during the day, so you can directly use the quotient as the number of days. If not, it means the snail will reach the top the next day after climbing, so you should add 1 to the quotient.", "category": "TP"}, {"line_number": "5", "feedback": "The calculation of 'ans' is incorrect. You should not subtract (A-x) from the quotient. Instead, just use the quotient as the number of days.", "category": "TP"}, {"line_number": "7", "feedback": "The calculation of 'ans' is incorrect. You should not add (A-x) to the quotient. Instead, add 1 to the quotient, as the snail will reach the top the next day after climbing.", "category": "TP"}]</t>
  </si>
  <si>
    <t>[{"line_number": "4", "feedback": "You should consider the case when 'ans' is not a multiple of 'a'. In such cases, you should round up the result of the division, not just round it to the nearest integer. You can do this by using the '//' operator for integer division and adding 1 if there is a remainder.", "category": "TP"}]</t>
  </si>
  <si>
    <t>[{"line_number": "8", "feedback": "You do not need to check if B &gt; A as the problem constraints guarantee that B &lt; A.", "category": "FP-E"}, {"line_number": "11", "feedback": "You do not need to check if H == 0 as the problem constraints guarantee that H &gt;= 1.", "category": "FP-E"}, {"line_number": "14", "feedback": "You do not need to check if B == 0 as the problem constraints guarantee that B &gt;= 1.", "category": "FP-E"}, {"line_number": "17", "feedback": "You do not need to check if H &lt;= A as the snail can climb A meters in a day, and it will reach the top in one day if H &lt;= A.", "category": "FP-E"}, {"line_number": "20", "feedback": "Your formula for calculating the number of days is incorrect. The correct formula is (H-B-1)//(A-B) + 1. This is because the snail will climb A meters in a day and slide down B meters at night, so the effective climb in a day is (A-B) meters. The snail will reach the top of the pole when the total climb is equal to or greater than H. The -1 is to account for the fact that the snail does not slide down on the last day.", "category": "TP"}]</t>
  </si>
  <si>
    <t>[{"line_number": "2", "feedback": "The condition in the if statement is not necessary and is causing the function to return incorrect results for some test cases. The snail will always climb during the day and slide down at night until it reaches the top.", "category": "TP"}, {"line_number": "3", "feedback": "The calculation for the number of days is incorrect. The snail will climb (A-B) meters in a full day. So, the total number of full days it will take is (H-B)//(A-B). However, on the last day, the snail will reach the top during the day, so we subtract B from H before the division. We also add 1 to the result to account for the last day.", "category": "TP"}, {"line_number": "4", "feedback": "This condition and the corresponding calculation are not needed. The calculation for the number of days is the same regardless of whether H is divisible by (A-B) or not.", "category": "TP"}, {"line_number": "6", "feedback": "This calculation is incorrect. The correct calculation is the same as the one described in the feedback for line 3.", "category": "FP-E"}]</t>
  </si>
  <si>
    <t>[{"line_number": "2", "feedback": "Your formula is almost correct, but you need to account for the case where the remaining distance to the top after the last full day is less than the distance the snail can climb in a day, but more than 0. In this case, the snail will need an additional day to reach the top. You can do this by checking if the remainder of the division (H-B)%(A-B) is not equal to 0. If it is not, add 1 to your answer. Also, you should subtract B from H before the division, not after. Lastly, you should add 2 to the result of the division, not 1, to account for the last day when the snail reaches the top.", "category": "FP-I"}]</t>
  </si>
  <si>
    <t>[{"line_number": "8", "feedback": "You need to add 1 to c when c is a whole number, not to w. You should assign the result to ans directly.", "category": "FP-E"}, {"line_number": "10", "feedback": "When c is not a whole number, you should take the integer part of c and add 2, not round c and add 1. This is because the snail will reach or exceed the height of the pole on the next day.", "category": "TP"}]</t>
  </si>
  <si>
    <t>[{"line_number": "1", "feedback": "Your function should only take one argument, which is the number to be checked.", "category": "TP"}, {"line_number": "2", "feedback": "You should not loop through a fixed range of numbers. Instead, you should check if the given number is prime or not.", "category": "TP"}, {"line_number": "3", "feedback": "The variable is_prime is not needed. You can return False directly when you find a factor of the number.", "category": "FP-E"}, {"line_number": "4", "feedback": "You should start the loop from 2, because every number is divisible by 1.", "category": "TP"}, {"line_number": "4", "feedback": "The loop should run until the square root of the number to be checked, not until the number itself. This is because a larger factor of the number must be a multiple of smaller factor that has already been checked.", "category": "FP-E"}, {"line_number": "5", "feedback": "You should check if the number is divisible by the current loop variable, not a fixed number y.", "category": "TP"}, {"line_number": "7", "feedback": "You should return True after the loop, which means the number is not divisible by any number other than 1 and itself, so it is a prime number.", "category": "TP"}]</t>
  </si>
  <si>
    <t>[{"line_number": "7", "feedback": "The range of your loop should be from 2 to the square root of n, not to n. This is because a larger factor of the number must be a multiple of a smaller factor that has already been checked.", "category": "FP-E"}, {"line_number": "8", "feedback": "You should use the modulus operator (%) to check if n is divisible by x, not division (/). The modulus operator gives the remainder of the division of two numbers.", "category": "TP"}]</t>
  </si>
  <si>
    <t>[{"line_number": "2", "feedback": "You need to initialize the 'ans' variable to True, not 0. Also, you don't need to use the 'ans' variable. You can return False directly inside the loop if 'n' is divisible by 'i'.", "category": "TP"}, {"line_number": "3", "feedback": "You should start the loop from 2, not 1 because every number is divisible by 1.", "category": "FP-H"}, {"line_number": "4", "feedback": "You don't need to calculate 'x'. You can directly check if 'n' is divisible by 'i'. If it is, return False.", "category": "FP-E"}, {"line_number": "6", "feedback": "You don't need to set 'ans' to False here. You can return False directly.", "category": "FP-E"}, {"line_number": "8", "feedback": "You don't need to set 'ans' to True here. You should return True after the loop. This is because if 'n' is not divisible by any number in the range, it is a prime number.", "category": "FP-E"}, {"line_number": "2", "feedback": "You should add a condition at the beginning of your function to check if 'n' is less than or equal to 1. If it is, return False because 1 is not a prime number and negative numbers are not considered in prime number theory.", "category": "TP"}, {"line_number": "3", "feedback": "The loop should run until the square root of 'n' instead of 'n'. This is an optimization that can be done because a larger factor of the number must be a multiple of a smaller factor that has already been checked.", "category": "FP-E"}]</t>
  </si>
  <si>
    <t>[{"line_number": "2", "feedback": "You need to handle the case when n is less than or equal to 1. By definition, 1 is not a prime number and negative numbers are not considered prime either.", "category": "TP"}, {"line_number": "3", "feedback": "Your loop condition is incorrect. It should be 'while i * i &lt;= n'. This is because if n is not a prime, it can be factored into two factors a and b. If both of them were greater than the square root of n, a*b would be greater than n. Similarly, if both were less than the square root of n, a*b would be less than n. So at least one of those factors must be less than or equal to the square root of n, and to check if n is prime, we can check for factors up to the square root.", "category": "TP"}, {"line_number": "5", "feedback": "The 'continue' statement is not necessary here. Instead, you should increment i by 1 when n is not divisible by i.", "category": "TP"}, {"line_number": "7", "feedback": "The 'pass' statement is not necessary here. It is used when a statement is required syntactically, but you don't want any command or code to execute.", "category": "FP-E"}]</t>
  </si>
  <si>
    <t>[{"line_number": "4", "feedback": "The range for the loop should go up to the square root of n, inclusive. Therefore, you should add 1 to the square root of n when converting it to an integer. This is because the range function in Python does not include the end value.", "category": "TP"}]</t>
  </si>
  <si>
    <t>[{"line_number": "3", "feedback": "You need to add a condition to check if the input number is less than or equal to 1. If it is, the function should return False because 1 is not a prime number and negative numbers are not considered in prime number theory.", "category": "TP"}, {"line_number": "5", "feedback": "The condition in your while loop should be \"i &lt;= int(math.sqrt(n))\" instead of \"i &lt; int(math.sqrt(n))\". This is because you want to check divisibility up to and including the square root of the number. If you don't include the square roo", "category": "TP"}]</t>
  </si>
  <si>
    <t>[{"line_number": "3", "feedback": "The input to the function is a string. You should convert it to an integer before performing mathematical operations on it.", "category": "FP-H"}, {"line_number": "15", "feedback": "The indentation of \"return ans\" does not match any outer indentation level", "category": "FN"}]</t>
  </si>
  <si>
    <t>[{"line_number": "2", "feedback": "Indentation error. The variable \"ans\" and the rest of the code inside the function should be indented.", "category": "FP-H"}, {"line_number": "4", "feedback": "Instead of checking divisibility up to n, you only need to check up to the square root of n. This is because a larger factor of n must be a multiple of a smaller factor that has already been checked.", "category": "FP-E"}, {"line_number": "5", "feedback": "Instead of assigning False to \"ans\" and breaking the loop when n is divisible by ", "category": "FP-E"}, {"line_number": "7", "feedback": "Instead of assigning True to \"ans\" when n is not divisible by ", "category": "FP-E"}, {"line_number": "9", "feedback": "Instead of assigning False to \"ans\" when n is less than or equal to ", "category": "FP-E"}, {"line_number": "11", "feedback": "You do not need to return \"ans\" at the end of your function. Your function will have already returned by this point if it has found an answer.", "category": "FP-E"}]</t>
  </si>
  <si>
    <t>[{"line_number": "19", "feedback": "You forgot to add a return statement at the end of the function. If the function doesn't find any factors of the number, it should return True because the number is a prime.", "category": "TP"}]</t>
  </si>
  <si>
    <t>[{"line_number": "2", "feedback": "Indentation is incorrect. The for loop should be inside the function.", "category": "FP-H"}, {"line_number": "2", "feedback": "The range in the for loop should start from 2, not 3. Because any number is divisible by 1 and itself. So, we start checking from 2.", "category": "TP"}, {"line_number": "2", "feedback": "You need to add a condition to check if the number is less than or equal to 1. Because 1 is not a prime number.", "category": "TP"}, {"line_number": "3", "feedback": "The loop should only go up to the square root of n. This is because a larger factor of the number would be a multiple of smaller factor that has already been checked.", "category": "FP-E"}]</t>
  </si>
  <si>
    <t>[{"line_number": "4", "feedback": "Your condition to check if a number is prime is not correct. A prime number is a number greater than 1 and has no positive divisors other than 1 and itself. So, you should check if the number is less than or equal to 1 and return False in that case.", "category": "TP"}, {"line_number": "5", "feedback": "You don\\'t need to check for 4 separately. It will be handled in the general case where you check if the number is divisible by 2 or 3.", "category": "TP"}, {"line_number": "7", "feedback": "You don\\'t need to check for 2 and 3 separately. It will be handled in the general case where you check if the number is divisible by 2 or 3.", "category": "TP"}, {"line_number": "9", "feedback": "Your loop condition is not correct. You should continue checking for divisibility until the square of the current number is less than or equal to the input number.", "category": "TP"}, {"line_number": "10", "feedback": "You should return False as soon as you find a number that divides the input number. You don\\'t need to set a flag and continue the loop.", "category": "FP-H"}, {"line_number": "11", "feedback": "You should increment the current number by 6 in each iteration. This is because all prime numbers are of the form 6k \u00b1 1, for some integer k.", "category": "TP"}, {"line_number": "13", "feedback": "You should return True only after you have checked all possible divisors and found that the number is not divisible by any of them.", "category": "TP"}, {"line_number": "18", "feedback": "You are printing in the end which is incorrect", "category": "FN"}]</t>
  </si>
  <si>
    <t>[{"line_number": "2", "feedback": "Indentation is incorrect. Python uses indentation to determine the grouping of statements.", "category": "TP"}, {"line_number": "2", "feedback": "The for loop should iterate over a range of numbers from 2 to the square root of n, not a tuple (2, n). This is because a larger factor of the number must be a multiple of smaller factor that has already been checked.", "category": "TP"}, {"line_number": "3", "feedback": "Variable 'x' is not defined. You don't need to use an additional variable. You can return False directly if n is divisible by i.", "category": "TP"}, {"line_number": "2", "feedback": "You need to handle the case where n is less than or equal to 1. According to the definition, these numbers are not prime.", "category": "TP"}, {"line_number": "5", "feedback": "You should return True after the for loop. If n is not divisible by any number in the range, it means that n is a prime number.", "category": "TP"}]</t>
  </si>
  <si>
    <t>[{"line_number": "8", "feedback": "The else clause is not necessary in this loop. The loop should continue to check all possible factors of the number. If the number is not divisible by any of the numbers in the range, then it is a prime number. Therefore, the return True statement should be outside the loop.", "category": "TP"}, {"line_number": "10", "feedback": "The pass statement is not needed here. It is used when a statement is required syntactically, but you do not want any command or code to execute.", "category": "FP-E"}, {"line_number": "4", "feedback": "int(n ** 0.5) + 1 might become n, take n = 3 for example.", "category": "FN"}]</t>
  </si>
  <si>
    <t>[{"line_number": "2", "feedback": "Indentation is incorrect. The statements inside the function should be indented.", "category": "FP-H"}, {"line_number": "2", "feedback": "You need to initialize \"ans\" as Tru", "category": "TP"}, {"line_number": "3", "feedback": "The range should start from 2 because every number is divisible by 1. And it should go up to sqrt(n)+1 because a larger factor of n must be a multiple of smaller factor that has already been checked.", "category": "TP"}, {"line_number": "4", "feedback": "If n is divisible by x, then n is not a prime number. So, you should return False.", "category": "TP"}, {"line_number": "6", "feedback": "You should return True outside the loop. If n is not divisible by any x, then n is a prime number.", "category": "TP"}, {"line_number": "2", "feedback": "You should check if n is less than or equal to 1. If so, return False because 1 is not a prime number and negative numbers are not considered prime.", "category": "TP"}]</t>
  </si>
  <si>
    <t>[{"line_number": "2", "feedback": "Your initial value of x should be 2, not 1. Because every number is divisible by 1, so starting from 2 makes more sense.", "category": "FP-I"}, {"line_number": "3", "feedback": "Your loop should run until x * x &lt;= n, not until x &lt;= 20. This is because a larger number n can have factors greater than 20.", "category": "TP"}, {"line_number": "5", "feedback": "You need to increment x only when n is not divisible by x, which is when n % x is not 0. So, the increment statement x += 1 should be inside the if block.", "category": "FP-I"}, {"line_number": "7", "feedback": "If n is divisible by x, then n is not a prime number. So, you should return False in this case.", "category": "TP"}, {"line_number": "8", "feedback": "After the loop, if no factor of n is found, then n is a prime number. So, you should return True in this case.", "category": "TP"}, {"line_number": "2", "feedback": "You did not handle the special case of n=1. Recall, n=1 is not a prime number", "category": "FN"}]</t>
  </si>
  <si>
    <t>[{"line_number": "2", "feedback": "You need to check if the number is less than 2 and return False in that case, because 1 is not a prime number and negative numbers are not considered prime.", "category": "TP"},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{"line_number": "3", "feedback": "To optimize your code, you should only check for divisors up to the square root of n. If n is not a prime number, it will have a factor less than or equal to its square root.", "category": "FP-E"}, {"line_number": "6", "feedback": "You do not need to check if x == n - 1. If the function has not returned False after checking all numbers from 2 to sqrt(n), it means that n is a prime number. So, you should return True at the end of the function.", "category": "FP-E"}, {"line_number": "7", "feedback": "There is no variable or value named 'statement'. You should return True or False based on whether the number is prime or not.", "category": "TP"}]</t>
  </si>
  <si>
    <t>[{"line_number": "2", "feedback": "Indentation is very important in Python. Your function definition and the code inside it should not be on the same level of indentation.", "category": "FP-H"}, {"line_number": "2", "feedback": "Your loop should start from 2 because any number can be divided by 1.", "category": "FP-I"}, {"line_number": "4", "feedback": "You should not return False as soon as you find a number that divides the input number. You should only return False if you find a number other than 1 and the number itself that divides the input number.", "category": "FP-I"}, {"line_number": "6", "feedback": "You should not return True inside the loop. If the loop completes without finding any number that divides the input number other than 1 and the number itself, then you should return True.", "category": "TP"}, {"line_number": "2", "feedback": "You need to handle the case when the input number is less than or equal to 1. In such cases, your function should return False because 1 is not a prime number and there are no prime numbers less than 1.", "category": "TP"}]</t>
  </si>
  <si>
    <t>[{"line_number": "8", "feedback": "The condition in your while loop should be 'x &lt;= math.sqrt(n)' instead of 'x &lt; math.sqrt(n)'. This is because you want to check all numbers up to and including the square root of n. If you only check numbers less than the square root of n, you might miss out on a factor and incorrectly identify a composite number as a prime number.", "category": "TP"}]</t>
  </si>
  <si>
    <t>[{"line_number": "5", "feedback": "You should use the modulus operator (%) instead of division (/) to check if a number is a divisor of n. The modulus operator gives the remainder of the division of two numbers. If the remainder is 0, then the number is a divisor of n.", "category": "TP"}, {"line_number": "5", "feedback": "The loop should continue while x * x is less than or equal to n. This is because for a number n, you don't need to check for divisors greater than sqrt(n).", "category": "FP-E"}, {"line_number": "7", "feedback": "You should also add n // x to the list of divisors. This is because if x is a divisor of n, then n // x is also a divisor of n.", "category": "FP-E"}, {"line_number": "9", "feedback": "You should subtract n from the sum of its divisors. This is because a perfect number is a positive integer that is equal to the sum of its proper divisors, which does not include the number itself.", "category": "FP-E"}]</t>
  </si>
  <si>
    <t>[{"line_number": "1", "feedback": "The function name and the logic inside does not match with the problem description. You need to write a function to check if a number is perfect, not to solve the Collatz problem.", "category": "TP"}, {"line_number": "2", "feedback": "The logic inside the function is incorrect. You need to calculate the sum of proper divisors and check if it equals to the input number.", "category": "TP"}]</t>
  </si>
  <si>
    <t>[{"line_number": "2", "feedback": "The range of numbers to check for divisors should start from 1, not 2, because 1 is a proper divisor of every number.", "category": "FP-I"}, {"line_number": "2", "feedback": "The range should go up to n//2 + 1, not n/2. The division operator / returns a float, but we need an integer for the range function. Also, the range function goes up to but does not include the stop value, so we need to add 1 to include n//2.", "category": "TP"}, {"line_number": "2", "feedback": "The sum of the proper divisors should be equal to n, not n - 1, to meet the definition of a perfect number.", "category": "TP"}]</t>
  </si>
  <si>
    <t>[{"line_number": "1", "feedback": "The function name and parameters do not match the problem description. Please make sure you read the problem description carefully.", "category": "TP"}, {"line_number": "2", "feedback": "The logic of your code does not match the problem description. You need to calculate the sum of proper divisors of the input number and check if it equals the number itself.", "category": "TP"}, {"line_number": "3", "feedback": "The loop in your code does not serve the purpose of the problem. You need a loop to iterate over the numbers less than the input number to find its proper divisors.", "category": "TP"}, {"line_number": "4", "feedback": "The string concatenation operation in your code is not needed for this problem. You need to calculate the sum of proper divisors, which is a numerical operation.", "category": "TP"}]</t>
  </si>
  <si>
    <t>[{"line_number": "2", "feedback": "You can start by initializing a variable \"sum\" to ", "category": "TP"}, {"line_number": "2", "feedback": "Then, iterate from 2 to the square root of the number. For each i, check if it is a divisor of the number. If it is, add it and the result of the division to the sum.", "category": "TP"}, {"line_number": "2", "feedback": "Finally, return whether the sum is equal to the number. This will be True for perfect numbers and False otherwise.", "category": "TP"}, {"line_number": "2", "feedback": "However, you need to add a special case for the number 1. Even though the sum of its divisors is 1, it is not considered a perfect number. So, you should return False when the number is 1.", "category": "TP"}]</t>
  </si>
  <si>
    <t>[{"line_number": "2", "feedback": "The condition should be \"n &lt; 1\" instead of \"n &lt; 0\" because the problem statement specifies that the input is a positive integer.", "category": "TP"}, {"line_number": "3", "feedback": "There is no need to assign a string \"False\" to variable b. You can directly return False.", "category": "TP"}, {"line_number": "7", "feedback": "The check for \"Sum == n\" should be outside the for loop. The sum of all proper divisors should be compared with the number after all the divisors have been summed up.", "category": "FP-E"}, {"line_number": "8", "feedback": "Instead of assigning True or False to a variable, you can directly return the result.", "category": "TP"}]</t>
  </si>
  <si>
    <t>[{"line_number": "5", "feedback": "Use the modulus operator (%) to check if a number is a divisor of n, not division (/).", "category": "TP"}, {"line_number": "6", "feedback": "You should add the divisor to the sum directly, no need to check if it is equal to n at this stage.", "category": "FP-H"}, {"line_number": "8", "feedback": "You don\\'t need to increment x manuall", "category": "TP"}, {"line_number": "9", "feedback": "You should break the loop when the sum of divisors is greater than n, not less than or equal to n.", "category": "TP"}, {"line_number": "10", "feedback": "You don\\'t need to check if the sum of divisors is equal to n inside the loop. You can do it after the loop.", "category": "TP"}, {"line_number": "13", "feedback": "You should return the result directly, no need to assign it to a variable.", "category": "FP-E"}]</t>
  </si>
  <si>
    <t>[{"line_number": "2", "feedback": "The variable x should start from 1, not 0, as we are finding the divisors of the number.", "category": "FP-I"}, {"line_number": "4", "feedback": "The while loop should run till x*x &lt;= n, not till x &lt;= 1000000. We are looking for divisors of the number n, so we only need to check till sqrt(n).", "category": "FP-E"}, {"line_number": "6", "feedback": "You need to add both x and n//x to fac_sum, not just x. Also, you need to check if x*x != n to avoid counting the square root twice if n is a perfect square.", "category": "FP-E"}, {"line_number": "12", "feedback": "The condition to check if a number is perfect is incorrect. A number is perfect if the sum of its proper divisors is equal to twice the number itself. So, you should check if fac_sum == 2*n.", "category": "FP-E"}, {"line_number": "5", "feedback": "The loop should iterate from 1 to n-1 (exclusive) to find the proper divisors.", "category": "FN"}, {"line_number": "11", "feedback": "Instead of checking if fac_sum//2 is equal to n, check if fac_sum is equal to n.", "category": "FN"}]</t>
  </si>
  <si>
    <t>[{"line_number": "2", "feedback": "Your function is correct, but it does not handle string inputs. You can add a line at the start of the function to convert the input to an integer. This will make your function more robust and able to handle a wider range of inputs.", "category": "FP-I"}]</t>
  </si>
  <si>
    <t>[{"line_number": "1", "feedback": "The function name should be \"hailstone\" as per the problem statemen", "category": "FP-I"}, {"line_number": "2", "feedback": "The count should start from 0, not 1. Because when n is 1, no operation is needed.", "category": "TP"}, {"line_number": "4", "feedback": "You should not print the value of n in the function. It is not necessary for the task.", "category": "FP-E"}, {"line_number": "5", "feedback": "You should use a while loop instead of an if statement to keep reducing the value of n until it becomes 1.", "category": "TP"}, {"line_number": "6", "feedback": "You should not call the function recursively. Instead, you should update the value of n in each iteration of the loop. Also, when dividing n by 2, use integer division (//) instead of float division (/) to keep n as an integer.", "category": "FP-I"}, {"line_number": "11", "feedback": "You should call the function \"hailstone\" not \"stop_time\" while printing the result.", "category": "FP-I"}]</t>
  </si>
  <si>
    <t>[{"line_number": "2", "feedback": "The input 'n' should be converted to an integer before performing mathematical operations on it. You can do this by adding 'n = int(n)' at the beginning of your function.", "category": "FP-H"}, {"line_number": "6", "feedback": "There is a typo in your code. Instead of '3 * 27n + 1', it should be '3 * n + 1'. The '27' seems to be a typo and should be removed.", "category": "TP"}, {"line_number": "5", "feedback": "In Python, the '//=' operator performs floor division and assigns the result to the variable. However, it is more readable to separate these two operations. Instead of 'n //= 2', you should write 'n = n // 2'.", "category": "FP-E"}, {"line_number": "8", "feedback": "Instead of 'drstop = drstop + 1', you can use the '+=' operator to increment the value of 'drstop'. This makes your code more concise and easier to read.", "category": "FP-E"}]</t>
  </si>
  <si>
    <t>[{"line_number": "2", "feedback": "The input to the function is a string. You should convert it to an integer before performing the operations.", "category": "FP-H"}, {"line_number": "6", "feedback": "Use floor division (//) instead of regular division (/) to ensure the result is an integer.", "category": "FN"}, {"line_number": "9", "feedback": "You have an indentation error in return x statement.", "category": "FN"}]</t>
  </si>
  <si>
    <t>[{"line_number": "3", "feedback": "You should continue the while loop until n becomes ", "category": "TP"}, {"line_number": "6", "feedback": "Use floor division (//) instead of regular division (/) to ensure the result is an integer.", "category": "FN"}]</t>
  </si>
  <si>
    <t>[{"line_number": "2", "feedback": "Python uses indentation to define the scope of the code. The body of your function should be indented.", "category": "FP-H"}, {"line_number": "5", "feedback": "replace n=n//2 with n=n/2", "category": "FN"}]</t>
  </si>
  <si>
    <t>[{"line_number": "2", "feedback": "You forgot to initialize the variable \"ans\". Always remember to initialize your variables before using them.", "category": "TP"}, {"line_number": "3", "feedback": "You were asked to use a \"for\" loo", "category": "TP"}]</t>
  </si>
  <si>
    <t>[{"line_number": "2", "feedback": "You need to initialize the variable \"ans\" before the loop. This is because you are trying to add values to \"ans\" in the loo", "category": "TP"}, {"line_number": "3", "feedback": "The range function in Python does not include the end value. So, if you want to include the end value, you should add 1 to the end value.", "category": "TP"}, {"line_number": "3", "feedback": "You are not correctly adding the values in the range to \"ans\". You should add \"x\" to \"ans\" in each iteration of the loo", "category": "TP"}]</t>
  </si>
  <si>
    <t>[{"line_number": "4", "feedback": "You are adding 1 to the answer in each iteratio", "category": "TP"}]</t>
  </si>
  <si>
    <t>[{"line_number": "2", "feedback": "You need to initialize the variable \"ans\" before using it in your loop.", "category": "TP"}, {"line_number": "3", "feedback": "Your condition to check if \"a\" is even is incorrect. It should be \"a % 2 != 0\" to check if \"a\" is odd.", "category": "FP-H"}, {"line_number": "4", "feedback": "The range in your loop should be from \"a\" to \"b + 1\" to include \"b\" in the range.", "category": "FP-E"}, {"line_number": "5", "feedback": "You do not need to check if \"b\" is even inside the loop. The step of 2 in your range function will automatically skip odd numbers.", "category": "FP-H"}]</t>
  </si>
  <si>
    <t>[{"line_number": "2", "feedback": "You need to check if the start and end numbers 'a' and 'b' are even or odd. If 'a' is odd, you should start the sum from the next even number. If 'b' is odd, you should stop the sum at the last even number. You can do this by checking if 'a' or 'b' is divisible by 2 (i.e., a%2 != 0 or b%2 != 0). If 'a' is odd, add 1 to it to make it even. If 'b' is odd, subtract 1 from it to make it even.", "category": "TP"}, {"line_number": "6", "feedback": "In your for loop, you should increment the counter by 2 (instead of 1) to ensure that you are only adding even numbers. You can do this by changing the third parameter of the range function from 1 to 2 (i.e., range(a, b+1, 2)).", "category": "TP"}]</t>
  </si>
  <si>
    <t>[{"line_number": "2", "feedback": "You have not written any code in the function. Please write the code to calculate the sum of consecutive even numbers within a given range.", "category": "TP"}, {"line_number": "5", "feedback": "The variable \"ans\" is not defined in your function. Please define and calculate \"ans\" as the sum of consecutive even numbers within the given range.", "category": "TP"}]</t>
  </si>
  <si>
    <t>[{"line_number": "7", "feedback": "You have correctly handled the case when \"a\" is od", "category": "TP"}, {"line_number": "12", "feedback": "In your for loo", "category": "TP"}]</t>
  </si>
  <si>
    <t>[{"line_number": "3", "feedback": "You should use the modulo operator (%) to check if a number is even or odd. The expression a%2==0 will return True if a is even.", "category": "FP-E"}, {"line_number": "4", "feedback": "You should use a for loop instead of a while loop to iterate through the range of numbers. The range function can be used with a step of 2 to only include even numbers.", "category": "TP"}, {"line_number": "7", "feedback": "You should use a for loop instead of a while loop to iterate through the range of numbers. After incrementing a by 1, the range function can be used with a step of 2 to only include even numbers.", "category": "TP"}, {"line_number": "4", "feedback": "You have a syntax error at while condition. The condition should be a &lt; b+1. '1' is missing", "category": "FN"}]</t>
  </si>
  <si>
    <t>[{"line_number": "5", "feedback": "You are returning a variable \"ans\" which is not defined in your function. You should return the variable \"n\" which is the smallest integer such that the square of \"n\" is greater than a given positive integer \"K\".", "category": "TP"}]</t>
  </si>
  <si>
    <t>[{"line_number": "2", "feedback": "You forgot to initialize the variable 'n'. Always remember to initialize your variables before using them.", "category": "TP"}, {"line_number": "3", "feedback": "The condition in the while loop is incorrect. It should be 'n**2 &lt;= K' to find the smallest 'n' such that 'n**2' is greater than 'K'.", "category": "TP"}, {"line_number": "3", "feedback": "Don't forget to use a colon at the end of the while statement. This is a syntax requirement in Python.", "category": "TP"}]</t>
  </si>
  <si>
    <t>[{"line_number": "2", "feedback": "You have not written any code inside the function. You need to implement the logic of finding the smallest integer n such that n^2 is greater than K. You can do this by initializing n to 1 and then incrementing n in a while loop until n^2 is greater than K.", "category": "TP"}, {"line_number": "3", "feedback": "You are returning a variable \"ans\" which is not defined anywhere in your code. Instea", "category": "TP"}]</t>
  </si>
  <si>
    <t>[{"line_number": "3", "feedback": "You should check if n**2 is less than or equal to K in the while loop condition. The loop should continue until n**2 is greater than K.", "category": "TP"}, {"line_number": "5", "feedback": "There is no need to assign n to ans. You can directly return n after the while loop.", "category": "FP-E"}]</t>
  </si>
  <si>
    <t>[{"line_number": "2", "feedback": "You should initialize n as 1, not 0. Because, 0 squared is still 0 and it will not help in finding the smallest integer n.", "category": "FP-E"}, {"line_number": "5", "feedback": "There is no need to format the answer. The function should return an integer, not a string.", "category": "TP"}]</t>
  </si>
  <si>
    <t>[{"line_number": "5", "feedback": "The condition in the while loop should be n**2 &lt;= K, not n**2 &lt; K. This is because we want to find the smallest integer n such that n**2 is greater than K. If we use n**2 &lt; K, the loop will stop at the first integer n where n**2 is equal to K, not greater than K.", "category": "TP"}, {"line_number": "7", "feedback": "The variable ans should be initialized before the while loop. Alternatively, you can directly return n", "category": "FN"}]</t>
  </si>
  <si>
    <t>[{"line_number": "4", "feedback": "You have used a wrong variable in the inner for loop. It should be \"y\" instead of \"x\". The inner loop should run \"y\" time", "category": "TP"}, {"line_number": "4", "feedback": "You should not use n as a loop variable as n in the parameter.", "category": "FN"}]</t>
  </si>
  <si>
    <t>[{"line_number": "2", "feedback": "You need to initialize an empty string at the start of your function to store the pattern.", "category": "TP"}, {"line_number": "3", "feedback": "You should not use \"n\" as the variable in the inner loop as it is already used as the function argument. It is better to use another variabl", "category": "TP"}, {"line_number": "4", "feedback": "Instead of printing each numbe", "category": "TP"}, {"line_number": "6", "feedback": "Your function should return the string \"s", "category": "TP"}]</t>
  </si>
  <si>
    <t>[{"line_number": "5", "feedback": "You have used an undefined variable \"leagueoflegend\". It seems like you meant to use the variable \"lol\" instead. Always ensure that the variable you are using has been defined before.", "category": "TP"}, {"line_number": "5", "feedback": "ryan will go from 0 to lol-1 not 1 to lol", "category": "FN"}]</t>
  </si>
  <si>
    <t>[{"line_number": "3", "feedback": "You have initialized the variable \"s\" to 0 after declaring it as an empty string. This is not necessary and it is causing your function to return incorrect results. You should remove this line.", "category": "TP"}, {"line_number": "8", "feedback": "You are converting the variable \"a\" to string again before concatenating it with \"s\". This is unnecessary as \"a\" is already a string. You should remove the str() function from this line.", "category": "FP-E"}]</t>
  </si>
  <si>
    <t>[{"line_number": "2", "feedback": "The function name should be 'triangle1' as per the problem statement. Please change the function name from 'pattern' to 'triangle1'.", "category": "TP"}, {"line_number": "5", "feedback": "You are supposed to add asterisks (*) to the string, not the value of the variable 'a'. Replace str(a) with '*'.", "category": "TP"}, {"line_number": "6", "feedback": "You need to add a newline character after each line except the last one. Add an if condition to check if the current line is not the last line, and if so, add a newline character.", "category": "TP"}]</t>
  </si>
  <si>
    <t>[{"line_number": "5", "feedback": "You should add a newline character after each line except the last one. You can achieve this by adding a condition to check if the current iteration is not the last one before appending the newline character.", "category": "TP"}]</t>
  </si>
  <si>
    <t>[{"line_number": "6", "feedback": "You do not need the second for loop \"for x in range(1", "category": "FP-I"}, {"line_number": "9", "feedback": "You should not print the result in the function. Instead, you should return the result so that it can be used elsewhere in the program.", "category": "TP"}, {"line_number": "6", "feedback": "You loop should run for range(i) instead of range(1)", "category": "FP-I"}]</t>
  </si>
  <si>
    <t>[{"line_number": "5", "feedback": "You were clos", "category": "TP"}]</t>
  </si>
  <si>
    <t>[{"line_number": "3", "feedback": "The variable 'i' is not necessary in this code. You can use the variable 'count' from the outer loop to control the number of lines in the triangle.", "category": "FP-E"}, {"line_number": "8", "feedback": "There is a spelling mistake in your code. You wrote 'dimention' instead of 'dimension'. Please be careful with spelling when writing code, as it can lead to unexpected errors.", "category": "TP"},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"TP"}]</t>
  </si>
  <si>
    <t>[{"line_number": "7", "feedback": "You have used '/n' instead of '\\n' for a new line. The correct symbol for a new line in Python is '\\n'.", "category": "TP"}]</t>
  </si>
  <si>
    <t>[{"line_number": "3", "feedback": "You need to use nested for loops to generate the pattern of asterisks. The outer loop should iterate from 1 to the input number (inclusive), and the inner loop should iterate as many times as the current number of the outer loop. This will ensure that each line of the pattern has one more asterisk than the line before it.", "category": "TP"}, {"line_number": "4", "feedback": "In the inner loop, you should append an asterisk to the string for each iteration.", "category": "TP"}, {"line_number": "5", "feedback": "After each iteration of the outer loop (except for the last iteration), you should append a newline character to the string. This will ensure that each line of asterisks is on a new line.", "category": "TP"}]</t>
  </si>
  <si>
    <t>[{"line_number": "3", "feedback": "You do not need to use an extra variable \"A\". You can build the string \"s\" directly.", "category": "FP-E"}, {"line_number": "5", "feedback": "You need to add \"*\" k times in each iteratio", "category": "TP"}, {"line_number": "6", "feedback": "You need to add a newline character \"\\\\n\" to the string \"s\" after each lin", "category": "TP"}, {"line_number": "7", "feedback": "You should return the string \"s", "category": "FP-H"}]</t>
  </si>
  <si>
    <t>[{"line_number": "5", "feedback": "You should append '*' to the string 's' instead of str(i). The task is to generate a pattern of asterisks.", "category": "TP"}, {"line_number": "7", "feedback": "The condition in the if statement should be 'i &lt; dimension' instead of 'i == dimension'. This is because you want to add a newline character after each line except the last one.", "category": "TP"}, {"line_number": "4", "feedback": "The range in the second for loop should start from 0, not 1. This is because you want to add 'i' asterisks in each line, and the range function generates numbers up to, but not including, the end value.", "category": "FP-E"}, {"line_number": "2", "feedback": "The function name should be 'triangle1' as per the problem statement.", "category": "FN"}]</t>
  </si>
  <si>
    <t>[{"line_number": "5", "feedback": "There is a syntax error in your code. You should not have a space between \"!\" and \"=\" in the condition of the if statement. It should be \"!=\" instead of \"! =\".", "category": "TP"}]</t>
  </si>
  <si>
    <t>[{"line_number": "4", "feedback": "You should iterate from 1 to i+1 to get the correct sequence of numbers for each line. Als", "category": "TP"}, {"line_number": "4", "feedback": "Instead of adding '*', you should add the current number 'j' as a string to form the correct pattern.", "category": "FN"}]</t>
  </si>
  <si>
    <t>[{"line_number": "3", "feedback": "The pattern you are trying to generate is not correct. You are appending '*' to the string 's' in each iteration, but you should be appending the current number in the loop.", "category": "TP"}, {"line_number": "2", "feedback": "The function name should be 'triangle2' as per the problem statement.", "category": "TP"}, {"line_number": "4", "feedback": "You need to use nested loops to generate the correct pattern. The inner loop should append the numbers from 1 to the current number of the outer loop.", "category": "TP"}, {"line_number": "6", "feedback": "You need to add a newline character after each line except the last one. You should check if the current number is less than 'd' before adding a newline character.", "category": "TP"}]</t>
  </si>
  <si>
    <t>[{"line_number": "4", "feedback": "The range in the first for loop should start from 1 and end at dimension+1. This is because the range function in Python includes the start value but excludes the end value. So, to iterate from 1 to dimension (both inclusive), you should use range(1, dimension+1).", "category": "FP-E"}, {"line_number": "5", "feedback": "The range in the second for loop should also start from 1 and end at D+1. This is to ensure that the correct number of digits are added to the string s in each iteration.", "category": "TP"}, {"line_number": "6", "feedback": "You should add the string representation of T to s, not the sum of D and T + 2. This is because we want to append the numbers from 1 to D in each iteration, not their sum with D.", "category": "TP"}, {"line_number": "8", "feedback": "You should add a newline character (\"\\\\n\") to s if D is not equal to dimensio", "category": "TP"}]</t>
  </si>
  <si>
    <t>[{"line_number": "3", "feedback": "You do not need to initialize variable n. The variable i in the outer loop already serves the purpose of incrementing the number of digits in each line.", "category": "FP-E"}, {"line_number": "6", "feedback": "The condition in your if statement is incorrect. You should add a newline character after the first line, so the condition should be i &gt; 1.", "category": "FP-H"}, {"line_number": "7", "feedback": "The range in your inner loop should start from 1 and end at i + 1. This is because you want to print all numbers from 1 to i in each line.", "category": "TP"}, {"line_number": "8", "feedback": "You should append the variable x (converted to string) to the string s, not i. This is because you want to print all numbers from 1 to i in each line.", "category": "TP"}]</t>
  </si>
  <si>
    <t>[{"line_number": "4", "feedback": "The condition \"if i == ", "category": "TP"}, {"line_number": "6", "feedback": "The inner loop should iterate from 1 to i + 1, not from 1 to n + 3 - i. This is because for each line i, we want to print the numbers from 1 to i, not from 1 to n + 3 - i.", "category": "TP"}, {"line_number": "9", "feedback": "You forgot to add a newline character at the end of each line except the last one. You can do this by checking if i is not equal to n, and if so, add a newline character.", "category": "TP"}]</t>
  </si>
  <si>
    <t>[{"line_number": "9", "feedback": "You have used \"/n\" instead of \"\\\\n\" for newline. Please correct it.", "category": "TP"}]</t>
  </si>
  <si>
    <t>[{"line_number": "2", "feedback": "Indentation is important in Python. Make sure to indent your code properly.", "category": "FP-H"}, {"line_number": "3", "feedback": "You forgot to put a colon at the end of the for loop statement.", "category": "TP"}, {"line_number": "4", "feedback": "You forgot to put a colon at the end of the for loop statement.", "category": "TP"}, {"line_number": "5", "feedback": "You used the variable c which is not defined anywhere in your code. You should use x instead.", "category": "TP"}, {"line_number": "6", "feedback": "You forgot to put a colon at the end of the if statement.", "category": "TP"}, {"line_number": "8", "feedback": "You used the string \"/n\" instead of \"\\\\n\" to create a new line.", "category": "TP"}]</t>
  </si>
  <si>
    <t>[{"line_number": "2", "feedback": "Indentation is important in Python. Your function body should be indented.", "category": "FP-H"}, {"line_number": "3", "feedback": "The outer loop should start from 1 and go up to \"dimension+1\" to correctly form the pattern.", "category": "TP"}, {"line_number": "4", "feedback": "You need a nested loop to form the pattern. The inner loop should also start from 1 and go up to \"i+1\".", "category": "TP"}, {"line_number": "5", "feedback": "You should append the string \"s\" with the string representation of \"j", "category": "TP"}, {"line_number": "6", "feedback": "The \"print\" function is not needed here. Instea", "category": "TP"}, {"line_number": "7", "feedback": "The function should return the string \"s\" at the end.", "category": "TP"}]</t>
  </si>
  <si>
    <t>[{"line_number": "2", "feedback": "You should not use the same variable 's' for both the string and the loop counter. This is causing a conflict and an error in your code.", "category": "TP"}, {"line_number": "4", "feedback": "You do not need to increment 's' in the inner loop. You should append the string representation of 'j' to 's'.", "category": "TP"}, {"line_number": "5", "feedback": "The print statement is not needed here. You should append the numbers to the string 's' instead of printing them.", "category": "FP-E"}, {"line_number": "6", "feedback": "The print statement is not needed here. You should append a newline character to the string 's' instead of printing a new line.", "category": "FP-E"}, {"line_number": "1", "feedback": "The function name should be 'triangle2' as per the problem statement.", "category": "FP-H"}]</t>
  </si>
  <si>
    <t>[{"line_number": "7", "feedback": "In the inner loop, you should append the variable \"z\" to the string \"s\", not \"i\". Because \"z\" is the number that changes with each iteration of the inner loop, while \"i\" is the number that changes with each iteration of the outer loop.", "category": "TP"}]</t>
  </si>
  <si>
    <t>[{"line_number": "5", "feedback": "You forgot to add the space character in the multiplication operation. It should be \" \"*(dimension-count) instead of just *(dimension-count).", "category": "TP"}]</t>
  </si>
  <si>
    <t>[{"line_number": "2", "feedback": "You forgot to initialize the variable \"s\" which you are using to accumulate your string. Always remember to initialize your variables before using them.", "category": "TP"}]</t>
  </si>
  <si>
    <t>[{"line_number": "3", "feedback": "You should initialize oddsum to 0, not lst[0]. You will add the odd positioned digits to oddsum in the loop.", "category": "FP-E"}, {"line_number": "5", "feedback": "You should start the range from 1 and end at 12 for even positioned digits as per the problem statement. Remember, Python uses 0-based indexing.", "category": "TP"}, {"line_number": "8", "feedback": "You should start the range from 0 and end at 12 for odd positioned digits as per the problem statement.", "category": "TP"}, {"line_number": "11", "feedback": "You need to calculate the check digit as 10 minus the remainder of the total sum divided by 10. If the check digit is 10, it should be replaced with 0.", "category": "FP-I"}, {"line_number": "14", "feedback": "You should compare the check digit with the last digit of the list (lst[12]), not with the variable ans.", "category": "FP-I"}]</t>
  </si>
  <si>
    <t>[{"line_number": "7", "feedback": "You are appending the wrong elements to the even list. The even positioned elements are at the odd indices. So, you should start your range from 1.", "category": "TP"}, {"line_number": "9", "feedback": "You are appending the wrong elements to the odd list. The odd positioned elements are at the even indices. So, you should start your range from 0.", "category": "TP"}, {"line_number": "11", "feedback": "You are not considering the check digit in the final sum. The check digit should be added to the sum of the products and sums of the even and odd positioned digits.", "category": "TP"}]</t>
  </si>
  <si>
    <t>[{"line_number": "8", "feedback": "The condition in the if statement should be i % 2 == 0 to check for even positions.", "category": "FN"}]</t>
  </si>
  <si>
    <t>[{"line_number": "9", "feedback": "You should include the 13th digit in the sum of the odd positioned digits.", "category": "TP"}, {"line_number": "12", "feedback": "You do not need to convert the sum to a string and then add up its digits. You should directly check if the total sum is divisible by 10.", "category": "TP"}, {"line_number": "14", "feedback": "You do not need to calculate the remainder when the sum is divided by 10 and compare it with the last digit. You should directly check if the total sum is divisible by 10.", "category": "TP"}]</t>
  </si>
  <si>
    <t>[{"line_number": "5", "feedback": "You are not considering the last digit (check digit) in the sum of odd positioned digits. Please include it in the sum2.", "category": "TP"}, {"line_number": "7", "feedback": "The check digit is valid if the total sum of digits is divisible by 10, not if 10 minus the sum is equal to the last digit. So, you should check if sum3 is equal to 0.", "category": "TP"}]</t>
  </si>
  <si>
    <t>[{"line_number": "3", "feedback": "You should check if the length of the list is not equal to 13, not less than 13.", "category": "TP"}, {"line_number": "5", "feedback": "In the for loop, you should start from index 0, not 1. Also, you should add lst[i] and lst[i+1]*3 to the result, not lst[i]*3 + lst[i-1].", "category": "FP-E"}, {"line_number": "6", "feedback": "You should add lst[i] and lst[i+1]*3 to the result, not lst[i]*3 + lst[i-1].", "category": "FP-E"}, {"line_number": "4", "feedback": "Incorrect indentation of return False statement", "category": "FN"}]</t>
  </si>
  <si>
    <t>[{"line_number": "5", "feedback": "You are only checking the first character of the list in each iteration. You should check the character at the current index.", "category": "TP"}, {"line_number": "7", "feedback": "You are not checking if the current character is the same as the last character before adding to the score. You should add this check to correctly implement the winning streak logic.", "category": "TP"}, {"line_number": "12", "feedback": "You are removing the first character of the list in each iteration. This is unnecessary and can lead to errors. You should instead keep track of the last character for the winning streak logic.", "category": "TP"}, {"line_number": "18", "feedback": "You are returning None at the end of each iteration. This should be done at the end of the function, after all characters in the list have been checked.", "category": "TP"}]</t>
  </si>
  <si>
    <t>[{"line_number": "2", "feedback": "You forgot to initialize the variable \"prev\". This is causing an error because you are trying to check its value before it has been assigned.", "category": "TP"}, {"line_number": "5", "feedback": "You should increment the score by 2 only if the current player is the same as the previous player. Otherwise, increment the score by 1. This is to account for the rule that a player gets 2 points if they are on a winning streak.", "category": "FP-E"}, {"line_number": "8", "feedback": "You should increment the score by 2 only if the current player is the same as the previous player. Otherwise, increment the score by 1. This is to account for the rule that a player gets 2 points if they are on a winning streak.", "category": "FP-E"}]</t>
  </si>
  <si>
    <t>[{"line_number": "6", "feedback": "You need to keep track of the last winner to handle the case of winning streaks. You can do this by adding a variable \"last_winner\".", "category": "TP"}, {"line_number": "10", "feedback": "You should increase the score by 2 if the same player wins consecutive rounds. You can do this by checking if the current winner is the same as the last winner.", "category": "TP"}, {"line_number": "14", "feedback": "You should increase the score by 2 if the same player wins consecutive rounds. You can do this by checking if the current winner is the same as the last winner.", "category": "TP"}, {"line_number": "22", "feedback": "If neither player reaches the threshol", "category": "TP"}]</t>
  </si>
  <si>
    <t>[{"line_number": "2", "feedback": "The function is currently empty. You need to implement the logic as per the problem statement. Start by initializing the counts for player A and B to 0. Then, check the first character in the list. If it is A, increment the count for A, and if it is B, increment the count for B.", "category": "TP"}, {"line_number": "7", "feedback": "Then, iterate over the rest of the list. If the current character is A, increment the count for A. If the last character was also A, increment the count for A again. Do the same for B.", "category": "FP-E"}, {"line_number": "15", "feedback": "After updating the counts, check if the count for A or B has reached the threshold. If it has, return the corresponding character. If neither count has reached the threshold by the end of the list, return None.", "category": "FP-E"}]</t>
  </si>
  <si>
    <t>[{"line_number": "6", "feedback": "You should add a variable to keep track of the last winner. This is because the first element in the list does not have a previous element, so the condition lst[i-1] will give wrong result for the first element.", "category": "TP"}, {"line_number": "11", "feedback": "You should update the last winner after each round.", "category": "TP"}, {"line_number": "14", "feedback": "The threshold for winning the match is given as n, but you have hardcoded the value as 6. You should use the variable n instead.", "category": "TP"}]</t>
  </si>
  <si>
    <t>[{"line_number": "5", "feedback": "You should loop till the size of the list you want to create, not till 50. Change the range from 50 to size.", "category": "TP"}]</t>
  </si>
  <si>
    <t>[{"line_number": "2", "feedback": "You need to import the 'random' module to use the 'randint' function. Also, the 'pass' statement is not needed in this function. It is used when a statement is required syntactically, but you do not want any command or code to execute.", "category": "TP"}]</t>
  </si>
  <si>
    <t>[{"line_number": "1", "feedback": "You forgot to import the 'random' module which is necessary to use the 'randint' function.", "category": "TP"}, {"line_number": "2", "feedback": "You are trying to append a random number to an integer 's'. This is not possible. You should first initialize an empty list and then append the random numbers to this list.", "category": "TP"}, {"line_number": "2", "feedback": "You need to generate 's' random numbers. This means you should use a loop that runs 's' times. In each iteration of the loop, you should generate a random number and append it to the list.", "category": "TP"}]</t>
  </si>
  <si>
    <t>[{"line_number": "6", "feedback": "You should use the append() method to add an element to the list. The += operator is used for concatenation of lists, not for adding a single element to the list.", "category": "TP"}]</t>
  </si>
  <si>
    <t>[{"line_number": "2", "feedback": "The range function is not used correctly. It should be used in a loop to generate 's' number of random numbers.", "category": "TP"}, {"line_number": "3", "feedback": "You are returning the function name itself, not the result. You should return the list of random numbers.", "category": "TP"}, {"line_number": "3", "feedback": "You need to use a list comprehension or loop to generate the list of random integers.", "category": "FN"}]</t>
  </si>
  <si>
    <t>[{"line_number": "2", "feedback": "The syntax you used to create and assign the list is incorrect. You should use list comprehension or a loop to create a list of size \"s\".", "category": "TP"}, {"line_number": "3", "feedback": "You are trying to assign values to a function call, which is not valid in Python. You should create a list variable and assign the values to it.", "category": "TP"}, {"line_number": "3", "feedback": "You are missing a closing parenthesis in your range function.", "category": "FP-I"}, {"line_number": "2", "feedback": "You need to import the random module to generate random numbers.", "category": "TP"}]</t>
  </si>
  <si>
    <t>[{"line_number": "9", "feedback": "You forgot to return the list 'alist' after the while loop. Instead, you wrote 'pass' which does nothing. Your function should return the list 'alist' that you have generated.", "category": "TP"}]</t>
  </si>
  <si>
    <t>[{"line_number": "3", "feedback": "You should initialize the list outside the for loop. In your current code, the list is getting re-initialized in every iteration of the loop, and hence, only the last random number is getting stored in the list. Move the list initialization before the for loop to fix this.", "category": "TP"}]</t>
  </si>
  <si>
    <t>[{"line_number": "6", "feedback": "You've forgotten to return the list 'x' at the end of your function. Without this, your function doesn't output anything, which is why it's failing the test cases. Always remember to return the result in your function.", "category": "TP"}]</t>
  </si>
  <si>
    <t>[{"line_number": "2", "feedback": "You cannot assign a value to a function like len(). Also, you have not defined or initialized the list variable.", "category": "TP"}, {"line_number": "3", "feedback": "This line does not do anything. You need to use the random.randint() function to generate random numbers and add them to the list.", "category": "TP"}, {"line_number": "1", "feedback": "You forgot to import the random module which is needed to generate random numbers.", "category": "TP"}]</t>
  </si>
  <si>
    <t>[{"line_number": "4", "feedback": "You have created the list 'list1' but you are returning 'list' which is not defined in your function. You should return 'list1' instead.", "category": "TP"}]</t>
  </si>
  <si>
    <t>[{"line_number": "2", "feedback": "The variable myList is not defined. Python is case sensitive. You should use mylist as defined in the function parameters.", "category": "TP"}, {"line_number": "3", "feedback": "Your function fails when the input list is empty because you are trying to divide by zero. You should check if the list is empty before calculating the average.", "category": "TP"}]</t>
  </si>
  <si>
    <t>[{"line_number": "2", "feedback": "You should use the sum() function to calculate the sum of all elements in the list, not the len() function.", "category": "TP"}, {"line_number": "3", "feedback": "To calculate the average, you should divide the sum of all elements by the number of elements. Also, you should check if the list is not empty before dividing to avoid division by zero error.", "category": "TP"}]</t>
  </si>
  <si>
    <t>[{"line_number": "3", "feedback": "You do not need to print the sum of the list. Instead, you should return it.", "category": "TP"}, {"line_number": "4", "feedback": "You should use the previously calculated sum (x) to calculate the average. This avoids unnecessary computation.", "category": "FP-E"}, {"line_number": "5", "feedback": "You do not need to print the average of the list. Instead, you should return it.", "category": "TP"}, {"line_number": "4", "feedback": "You should handle the case when the list is empty. In that case, the average should be 0.", "category": "TP"}, {"line_number": "5", "feedback": "The return value should be a tuple. You missed the parentheses.", "category": "FP-H"}]</t>
  </si>
  <si>
    <t>[{"line_number": "1", "feedback": "There is a typo in the function name. It should be 'numOccurrence' instead of 'numOcurrence'.", "category": "FP-I"}, {"line_number": "3", "feedback": "Instead of manually iterating over the list and counting the occurrences, you can use the built-in 'count' function of a list in Python. This function returns the number of times a specified element appears in the list.", "category": "FP-E"}]</t>
  </si>
  <si>
    <t>[{"line_number": "1", "feedback": "There is a typo in the function name. It should be 'numOccurrence' instead of 'numOcurrence'.", "category": "FP-I"}, {"line_number": "5", "feedback": "You are not updating the index 'npos' correctly. It is always set to 0 in each iteration, so you are always comparing the first element of 'mylist' to 'data'. You should use the variable 'run' to index 'mylist'.", "category": "TP"}, {"line_number": "7", "feedback": "The else statement is not necessary. If the condition in the if statement is not met, the program will continue to the next iteration without adding to 'ans'.", "category": "FP-E"}]</t>
  </si>
  <si>
    <t>[{"line_number": "1", "feedback": "You have a typo in your function name. It should be 'numOccurrence' not 'numOcurrence'.", "category": "FP-I"}, {"line_number": "2", "feedback": "The syntax you are using to count the occurrences of 'data' in 'mylist' is incorrect. You should use the 'count' method of the list object like this: 'mylist.count(data)'.", "category": "TP"}, {"line_number": "3", "feedback": "The 'pass' statement is not needed here. It is used when a statement is required syntactically but you do not want any command or code to execute. The 'return' statement in the previous line makes this 'pass' statement unnecessary.", "category": "FP-E"}]</t>
  </si>
  <si>
    <t>[{"line_number": "2", "feedback": "The logic you used to combine the lists and then check for duplicates is not the correct way to check for subsets. Instead, you can use the all() function along with a for loop to check if all elements of one list are in the other list.", "category": "FP-I"}, {"line_number": "4", "feedback": "The use of a counter variable (z) and checking if the count of an element in the combined list is 2, is not a correct way to check for subsets. This approach might fail in cases where there are duplicate elements in the lists.", "category": "TP"}, {"line_number": "9", "feedback": "The condition len(list2) == 2 seems to be a typo. It should be len(list2) == z. However, this whole approach of using a counter variable and checking for duplicates is not correct for checking subsets.", "category": "TP"}, {"line_number": "14", "feedback": "The variable c is not defined in all code paths. If none of the conditions are met, the function will return an undefined variable. It is better to directly return the result from within the conditions.", "category": "TP"}]</t>
  </si>
  <si>
    <t>[{"line_number": "1", "feedback": "You need to implement the logic provided in the problem description. Simply assigning a value to the variable \\'ans\\' is not correct. Run the provided code snippet and store the output in \\'ans\\'.", "category": "FP-H"}, {"line_number": "1", "feedback": "You did not perform the operations correctly. The correct answer after performing the operations is 7.", "category": "FN"}]</t>
  </si>
  <si>
    <t>[{"line_number": "1", "feedback": "You misunderstood the problem. You were supposed to perform the operations on the list and then write down the elements inside the list. But you directly wrote down the list. The correct list after performing the operations is [6, 2, 1, 4, 0, 8, 5].", "category": "TP"}]</t>
  </si>
  <si>
    <t>[{"line_number": "1", "feedback": "You need to use the split() function to separate the string into individual items. The split() function splits a string into a list where each word is a separate item. In this case, you should split the string by the period character.", "category": "FP-H"}, {"line_number": "1", "feedback": "The elements inside the list should be strings, not integers.", "category": "FN"}]</t>
  </si>
  <si>
    <t>[{"line_number": "1", "feedback": "You need to initialize y as a list of integers [1, 2, 3] instead of -999.", "category": "FP-I"}, {"line_number": "2", "feedback": "You need to define the functions m1 and m2 as given in the problem statement.", "category": "FP-H"}, {"line_number": "3", "feedback": "In function m1, you need to use the global keyword to refer to the global variables x and y. Also, initialize x and y inside the function m1.", "category": "FP-H"}, {"line_number": "7", "feedback": "In function m2, you need to use the global keyword to refer to the global variable x and assign the value of number to x.", "category": "FP-H"}, {"line_number": "8", "feedback": "In function m2, you need to change the first element of the list y to -999.", "category": "FP-H"}, {"line_number": "10", "feedback": "You need to call the function m1 to execute the code.", "category": "FP-H"}, {"line_number": "2", "feedback": "y should have contained the final ouput after executing the given code. So it should have been: y =  [-999, 2, 3] ", "category": "FN"}]</t>
  </si>
  <si>
    <t>[{"line_number": "5", "feedback": "You need to use the \"global\" keyword before the variable \"x\" in the function m2(). This is because you want to change the global variable \"x", "category": "FP-I"}, {"line_number": "6", "feedback": "You should assign the value of \"number\" to \"x\" before modifying it. This ensures that the changes you make to \"number\" are reflected in \"x\". Howeve", "category": "FP-H"}, {"line_number": "3", "feedback": "You should call the function m2() after defining it, not before. This is because Python executes code from top to bottom, so you need to define the function before you can call it.", "category": "FP-E"}, {"line_number": "1", "feedback": "x should have contained the final ouput after executing the given code. So it should have been: x =  10", "category": "FN"}, {"line_number": "2", "feedback": "y should have contained the final ouput after executing the given code. So it should have been: y =  [-999, 2, 3] ", "category": "FN"}]</t>
  </si>
  <si>
    <t>[{"line_number": "1", "feedback": "The range function in Python starts from 0 by default. However, in this task, you need to include 0 in the list as well, which is a multiple of 5. So, the range should start from 0 instead of 1. Therefore, you should change the range to start from 0. The correct code should be: list1 = [5 * x for x in range(0,21)].", "category": "TP"}]</t>
  </si>
  <si>
    <t>[{"line_number": "1", "feedback": "You should use the double equals sign \"==\" for comparison in Python. The single equals sign \"=\" is used for assignment.", "category": "TP"}]</t>
  </si>
  <si>
    <t>[{"line_number": "1", "feedback": "Your list comprehension is almost correct, but you should start the range from 0 instead of 1 to include 0 in the list, as it is also a multiple of 5.", "category": "TP"}]</t>
  </si>
  <si>
    <t>[{"line_number": "1", "feedback": "You have made a logical error in your code. The range function generates numbers from the start (inclusive) to the stop (exclusive). S", "category": "TP"}]</t>
  </si>
  <si>
    <t>[{"line_number": "1", "feedback": "You are on the right track using list comprehension to generate the list of multiples of 5. However, the range function in Python does not include the stop number. So, you need to increase the stop number by 1 to include 100 in your list. Therefore, instead of range(20), use range(21).", "category": "TP"}]</t>
  </si>
  <si>
    <t>[{"line_number": "1", "feedback": "The range function in Python excludes the stop value. S", "category": "TP"}]</t>
  </si>
  <si>
    <t>[{"line_number": "2", "feedback": "You forgot to put a colon at the end of the for loop. In Python, you need to end the for loop declaration with a colon.", "category": "TP"}]</t>
  </si>
  <si>
    <t>[{"line_number": "2", "feedback": "You should check if the list is empty before proceeding with the shift operation. If the list is empty, return it as is.", "category": "TP"}, {"line_number": "3", "feedback": "You should retain the last element of the list, not the first one. Replace list1[0] with list1[-1].", "category": "TP"}, {"line_number": "4", "feedback": "There is a typo in your code. Replace list[i] with list1[i].", "category": "TP"}]</t>
  </si>
  <si>
    <t>[{"line_number": "2", "feedback": "The function currently does not perform any operations and simply returns the input list. You need to implement the logic to shift the elements of the list to the right.", "category": "TP"}, {"line_number": "2", "feedback": "You can use a temporary variable to hold the last element of the list. Then, use a loop to shift all the elements to the right. Finally, place the last element at the beginning of the list.", "category": "TP"}]</t>
  </si>
  <si>
    <t>[{"line_number": "4", "feedback": "You need to iterate from the end of the list to the beginning, not from the beginning to the end. Also, you should start from len(list1)-1, not len(list1).", "category": "TP"}, {"line_number": "3", "feedback": "You should add a condition to check if the list is empty. If it i", "category": "TP"}, {"line_number": "4", "feedback": "You should shift the elements to the right, not to the left. So, replace 'lst[i] = lst[i+1]' with 'lst[i] = lst[i - 1]'.", "category": "FN"}]</t>
  </si>
  <si>
    <t>[{"line_number": "2", "feedback": "You need to handle the case when the input list is empty. You can do this by checking if the length of the list is 0 at the start of your function. If it is, you can immediately return the list.", "category": "TP"}, {"line_number": "3", "feedback": "You should store the last element of the list in the temp variable, not the first one. You can access the last element of the list using the index -1.", "category": "TP"}, {"line_number": "4", "feedback": "Your loop should start from the last element of the list and go to the second element. You can do this by setting the start of the range to len(list1)-1 and the end to 0. Also, the step should be -1 to go backwards.", "category": "TP"}, {"line_number": "5", "feedback": "In the loop, you should set the current element of the list to the previous one. You can access the previous element using the index i-1.", "category": "TP"}, {"line_number": "6", "feedback": "After the loop, you should set the first element of the list to the value stored in the temp variable.", "category": "TP"}]</t>
  </si>
  <si>
    <t>[{"line_number": "3", "feedback": "You correctly popped the last element from the list, but when inserting it back at the beginning, you used the value of the element (temp) as the index. The index should be 0 to insert at the beginning of the list.", "category": "TP"}, {"line_number": "2", "feedback": "Your code fails when the input list is empty. Always check if the list is empty before trying to access its elements.", "category": "TP"}]</t>
  </si>
  <si>
    <t>[{"line_number": "2", "feedback": "You should retain the last element of the list, not the first one. So, replace 'lst[0]' with 'lst[-1]'.", "category": "TP"}, {"line_number": "3", "feedback": "You should iterate from the last element to the second one, not from the second to the last. So, replace 'range(1, len(lst))' with 'range(len(lst)-1, 0, -1)'.", "category": "TP"}, {"line_number": "4", "feedback": "You should shift the elements to the right, not to the left. So, replace 'lst[i - 1] = lst[i]' with 'lst[i] = lst[i - 1]'.", "category": "TP"}, {"line_number": "6", "feedback": "You should replace the first element of the list with the last one. So, replace 'lst[len(lst) - 1] = temp' with 'lst[0] = temp'.", "category": "TP"}, {"line_number": "7", "feedback": "You should return the modified list 'lst", "category": "FP-I"}, {"line_number": "3", "feedback": "You have used the wrong variable name 'lst' instead of 'list1'. Please change it to 'list1'. Replace this everywhere in the code.", "category": "FN"}]</t>
  </si>
  <si>
    <t>[{"line_number": "2", "feedback": "Your logic of popping the last element is correct but you should insert it at the beginning of the list. You can use the insert() function for this.", "category": "TP"}, {"line_number": "3", "feedback": "The \"+\" operator concatenates two lists but it does not modify the original list. S", "category": "FP-I"}]</t>
  </si>
  <si>
    <t>[{"line_number": "2", "feedback": "The mapping list you have defined does not correctly map the alphabets to their corresponding digits. The correct mapping list is already provided in the prefix code. Please use that.", "category": "FP-I"}, {"line_number": "5", "feedback": "Your condition to check if a character is a digit is correct, but the action you take when the condition is true is not. You should add the digit to the answer string as it is.", "category": "FP-I"}, {"line_number": "7", "feedback": "Instead of checking for each individual alphabet, you can use the ASCII value of the alphabets to map them to their corresponding digits. This can be done using the mapping list provided in the prefix code.", "category": "FP-E"}, {"line_number": "22", "feedback": "The pass statement at the end of your function is not needed and can be removed.", "category": "FP-E"}, {"line_number": "10", "feedback": "You need to handle the case when the character is neither a digit nor an alphabet. In such cases, you should add the character to the answer string as it is.", "category": "TP"}, {"line_number": "5", "feedback": "Your condition to check if a character is a digit is incorrect. You should add the digit to the answer string if you encounter a digit.", "category": "FN"}]</t>
  </si>
  <si>
    <t>[{"line_number": "8", "feedback": "The line 'tele_str.upper()' does not change the original string to uppercase. You should assign the result back to tele_str.", "category": "FP-E"}, {"line_number": "10", "feedback": "The print statements are not necessary for the function to work and they can make the output confusing. It is better to remove them.", "category": "FP-E"}, {"line_number": "12", "feedback": "You need to add a condition to check if the character is a digit or a letter. If it's a digit, just append it to the result string. If it's a letter, find its corresponding number and append it.", "category": "TP"}]</t>
  </si>
  <si>
    <t>[{"line_number": "8", "feedback": "You are converting uppercase letters to lowercase, but your condition is incorrect. The ASCII value of lowercase 'a' is 97, not 95.", "category": "TP"}, {"line_number": "14", "feedback": "You are correctly identifying the index of the list where the character is found, but you are not correctly translating it to the telephone digit. The digits start from 2, not 1, so you should add 2 instead of 1.", "category": "TP"}, {"line_number": "12", "feedback": "The else block is wrongly indented.", "category": "FN"}]</t>
  </si>
  <si>
    <t>[{"line_number": "8", "feedback": "You should use isalpha() function to check if a character is a letter. You missed the parentheses after isalpha.", "category": "TP"}, {"line_number": "12", "feedback": "The return statement should be outside the for loop. Currently, your function is returning after checking the first character of the input string.", "category": "TP"}]</t>
  </si>
  <si>
    <t>[{"line_number": "2", "feedback": "Instead of converting the decimal to binary and then filling zeros, you can do both in a single step using the format specifier {0:016b}. This will convert the decimal to binary and fill zeros to make it a 16 bit number.", "category": "FP-E"}, {"line_number": "4", "feedback": "Your function is currently printing the result instead of returning it. In Python, functions should return their result so that it can be used elsewhere in the program.", "category": "TP"}]</t>
  </si>
  <si>
    <t>[{"line_number": "4", "feedback": "You forgot to return the result from your function. Always remember to return the result so that it can be used elsewhere in the program.", "category":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</si>
</sst>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2"/>
      <color theme="1"/>
      <name val="Calibri"/>
      <scheme val="minor"/>
    </font>
    <font>
      <sz val="12"/>
      <color theme="1"/>
      <name val="Calibri"/>
      <family val="2"/>
      <scheme val="minor"/>
    </font>
    <font>
      <b/>
      <sz val="18"/>
      <color theme="1"/>
      <name val="Calibri"/>
      <family val="2"/>
    </font>
    <font>
      <sz val="12"/>
      <color theme="1"/>
      <name val="Calibri"/>
      <family val="2"/>
    </font>
    <font>
      <b/>
      <sz val="14"/>
      <color theme="0"/>
      <name val="Calibri"/>
      <family val="2"/>
    </font>
    <font>
      <sz val="12"/>
      <color rgb="FF006100"/>
      <name val="Calibri"/>
      <family val="2"/>
    </font>
    <font>
      <sz val="12"/>
      <color rgb="FFC00000"/>
      <name val="Calibri"/>
      <family val="2"/>
    </font>
    <font>
      <b/>
      <sz val="12"/>
      <color theme="1"/>
      <name val="Calibri"/>
      <family val="2"/>
    </font>
    <font>
      <b/>
      <sz val="14"/>
      <color rgb="FFFFFFFF"/>
      <name val="Calibri"/>
      <family val="2"/>
    </font>
    <font>
      <b/>
      <sz val="12"/>
      <color theme="0"/>
      <name val="Calibri"/>
      <family val="2"/>
    </font>
    <font>
      <b/>
      <sz val="12"/>
      <color rgb="FFFFFFFF"/>
      <name val="Calibri"/>
      <family val="2"/>
    </font>
    <font>
      <sz val="12"/>
      <color theme="0"/>
      <name val="Calibri"/>
      <family val="2"/>
    </font>
    <font>
      <sz val="12"/>
      <color theme="1"/>
      <name val="Calibri"/>
      <family val="2"/>
      <scheme val="minor"/>
    </font>
    <font>
      <sz val="12"/>
      <color rgb="FFFFFFFF"/>
      <name val="Calibri"/>
      <family val="2"/>
    </font>
    <font>
      <sz val="12"/>
      <color rgb="FF000000"/>
      <name val="Calibri"/>
      <family val="2"/>
    </font>
    <font>
      <b/>
      <sz val="12"/>
      <name val="Calibri"/>
      <family val="2"/>
    </font>
    <font>
      <sz val="11"/>
      <color theme="1"/>
      <name val="Calibri"/>
      <family val="2"/>
      <scheme val="minor"/>
    </font>
    <font>
      <b/>
      <sz val="11"/>
      <color theme="1"/>
      <name val="Calibri"/>
      <family val="2"/>
      <scheme val="minor"/>
    </font>
    <font>
      <b/>
      <sz val="12"/>
      <name val="Calibri"/>
      <family val="2"/>
    </font>
  </fonts>
  <fills count="7">
    <fill>
      <patternFill patternType="none"/>
    </fill>
    <fill>
      <patternFill patternType="gray125"/>
    </fill>
    <fill>
      <patternFill patternType="solid">
        <fgColor theme="7"/>
        <bgColor theme="7"/>
      </patternFill>
    </fill>
    <fill>
      <patternFill patternType="solid">
        <fgColor theme="4"/>
        <bgColor theme="4"/>
      </patternFill>
    </fill>
    <fill>
      <patternFill patternType="solid">
        <fgColor rgb="FFC6EFCE"/>
        <bgColor rgb="FFC6EFCE"/>
      </patternFill>
    </fill>
    <fill>
      <patternFill patternType="solid">
        <fgColor rgb="FF4472C4"/>
        <bgColor rgb="FF4472C4"/>
      </patternFill>
    </fill>
    <fill>
      <patternFill patternType="solid">
        <fgColor rgb="FF7F7F7F"/>
        <bgColor rgb="FF7F7F7F"/>
      </patternFill>
    </fill>
  </fills>
  <borders count="2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10"/>
  </cellStyleXfs>
  <cellXfs count="70">
    <xf numFmtId="0" fontId="0" fillId="0" borderId="0" xfId="0" applyBorder="1"/>
    <xf numFmtId="0" fontId="3" fillId="0" borderId="0" xfId="0" applyFont="1" applyBorder="1" applyAlignment="1">
      <alignment horizontal="left"/>
    </xf>
    <xf numFmtId="0" fontId="3" fillId="0" borderId="1" xfId="0" applyFont="1" applyBorder="1"/>
    <xf numFmtId="0" fontId="4" fillId="3" borderId="2" xfId="0" applyFont="1" applyFill="1" applyBorder="1" applyAlignment="1">
      <alignment horizontal="center" vertical="center"/>
    </xf>
    <xf numFmtId="0" fontId="3" fillId="0" borderId="3" xfId="0" applyFont="1" applyBorder="1" applyAlignment="1">
      <alignment horizontal="center" wrapText="1"/>
    </xf>
    <xf numFmtId="0" fontId="3" fillId="0" borderId="4" xfId="0" applyFont="1" applyBorder="1"/>
    <xf numFmtId="0" fontId="3" fillId="0" borderId="5" xfId="0" applyFont="1" applyBorder="1" applyAlignment="1">
      <alignment horizontal="center" wrapText="1"/>
    </xf>
    <xf numFmtId="0" fontId="3" fillId="0" borderId="6" xfId="0" applyFont="1" applyBorder="1"/>
    <xf numFmtId="0" fontId="3" fillId="0" borderId="0" xfId="0" applyFont="1" applyBorder="1" applyAlignment="1">
      <alignment wrapText="1"/>
    </xf>
    <xf numFmtId="0" fontId="5" fillId="4" borderId="7" xfId="0" applyFont="1" applyFill="1" applyBorder="1" applyAlignment="1">
      <alignment horizontal="center" vertical="center"/>
    </xf>
    <xf numFmtId="0" fontId="4" fillId="3" borderId="8" xfId="0" applyFont="1" applyFill="1" applyBorder="1" applyAlignment="1">
      <alignment horizontal="center" vertical="center"/>
    </xf>
    <xf numFmtId="0" fontId="6" fillId="0" borderId="0" xfId="0" applyFont="1" applyBorder="1"/>
    <xf numFmtId="0" fontId="7" fillId="0" borderId="3" xfId="0" applyFont="1" applyBorder="1" applyAlignment="1">
      <alignment horizontal="center" vertical="center" wrapText="1"/>
    </xf>
    <xf numFmtId="164" fontId="3" fillId="0" borderId="0" xfId="0" applyNumberFormat="1" applyFont="1" applyBorder="1" applyAlignment="1">
      <alignment horizontal="right" vertical="center" wrapText="1"/>
    </xf>
    <xf numFmtId="0" fontId="7" fillId="0" borderId="5" xfId="0" applyFont="1" applyBorder="1" applyAlignment="1">
      <alignment horizontal="center" vertical="center" wrapText="1"/>
    </xf>
    <xf numFmtId="164" fontId="3" fillId="0" borderId="9" xfId="0" applyNumberFormat="1" applyFont="1" applyBorder="1" applyAlignment="1">
      <alignment horizontal="right" vertical="center" wrapText="1"/>
    </xf>
    <xf numFmtId="0" fontId="4" fillId="3" borderId="7"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0" xfId="0" applyFont="1" applyFill="1" applyAlignment="1">
      <alignment horizontal="center" vertical="center"/>
    </xf>
    <xf numFmtId="0" fontId="3" fillId="0" borderId="3" xfId="0" applyFont="1" applyBorder="1"/>
    <xf numFmtId="0" fontId="8" fillId="5" borderId="10" xfId="0" applyFont="1" applyFill="1" applyAlignment="1">
      <alignment horizontal="center" vertical="center"/>
    </xf>
    <xf numFmtId="0" fontId="3" fillId="0" borderId="5" xfId="0" applyFont="1" applyBorder="1"/>
    <xf numFmtId="0" fontId="3" fillId="6" borderId="11" xfId="0" applyFont="1" applyFill="1"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wrapText="1"/>
    </xf>
    <xf numFmtId="0" fontId="7" fillId="0" borderId="1" xfId="0" applyFont="1" applyBorder="1" applyAlignment="1">
      <alignment horizontal="center" vertical="center" wrapText="1"/>
    </xf>
    <xf numFmtId="165" fontId="3" fillId="0" borderId="3" xfId="0" applyNumberFormat="1" applyFont="1" applyBorder="1" applyAlignment="1">
      <alignment horizontal="right" vertical="center" wrapText="1"/>
    </xf>
    <xf numFmtId="165" fontId="3" fillId="0" borderId="4" xfId="0" applyNumberFormat="1" applyFont="1" applyBorder="1" applyAlignment="1">
      <alignment horizontal="right" vertical="center" wrapText="1"/>
    </xf>
    <xf numFmtId="165" fontId="3" fillId="0" borderId="0" xfId="0" applyNumberFormat="1" applyFont="1" applyBorder="1" applyAlignment="1">
      <alignment horizontal="right" vertical="center" wrapText="1"/>
    </xf>
    <xf numFmtId="165" fontId="3" fillId="0" borderId="5" xfId="0" applyNumberFormat="1" applyFont="1" applyBorder="1" applyAlignment="1">
      <alignment horizontal="right" vertical="center" wrapText="1"/>
    </xf>
    <xf numFmtId="165" fontId="3" fillId="0" borderId="6" xfId="0" applyNumberFormat="1" applyFont="1" applyBorder="1" applyAlignment="1">
      <alignment horizontal="right" vertical="center" wrapText="1"/>
    </xf>
    <xf numFmtId="165" fontId="3" fillId="0" borderId="9" xfId="0" applyNumberFormat="1" applyFont="1" applyBorder="1" applyAlignment="1">
      <alignment horizontal="right" vertical="center" wrapText="1"/>
    </xf>
    <xf numFmtId="0" fontId="9" fillId="3" borderId="10" xfId="0" applyFont="1" applyFill="1" applyAlignment="1">
      <alignment horizontal="center" vertical="top" wrapText="1"/>
    </xf>
    <xf numFmtId="0" fontId="10" fillId="5" borderId="10" xfId="0" applyFont="1" applyFill="1" applyAlignment="1">
      <alignment horizontal="center" vertical="top" wrapText="1"/>
    </xf>
    <xf numFmtId="0" fontId="3" fillId="0" borderId="0" xfId="0" applyFont="1" applyBorder="1" applyAlignment="1">
      <alignment vertical="top" wrapText="1"/>
    </xf>
    <xf numFmtId="0" fontId="3" fillId="0" borderId="0" xfId="0" quotePrefix="1" applyFont="1" applyBorder="1" applyAlignment="1">
      <alignment vertical="top" wrapText="1"/>
    </xf>
    <xf numFmtId="0" fontId="3" fillId="0" borderId="0" xfId="0" applyFont="1" applyBorder="1" applyAlignment="1">
      <alignment vertical="top"/>
    </xf>
    <xf numFmtId="0" fontId="9" fillId="3" borderId="10" xfId="0" applyFont="1" applyFill="1" applyAlignment="1">
      <alignment horizontal="center" vertical="top"/>
    </xf>
    <xf numFmtId="0" fontId="9" fillId="3" borderId="10" xfId="0" applyFont="1" applyFill="1" applyAlignment="1">
      <alignment horizontal="left" vertical="top" wrapText="1"/>
    </xf>
    <xf numFmtId="0" fontId="3" fillId="0" borderId="0" xfId="0" applyFont="1" applyBorder="1" applyAlignment="1">
      <alignment horizontal="left" vertical="top" wrapText="1"/>
    </xf>
    <xf numFmtId="0" fontId="11" fillId="3" borderId="10" xfId="0" applyFont="1" applyFill="1" applyAlignment="1">
      <alignment horizontal="center"/>
    </xf>
    <xf numFmtId="0" fontId="11" fillId="3" borderId="10" xfId="0" applyFont="1" applyFill="1" applyAlignment="1">
      <alignment horizontal="left" vertical="top" wrapText="1"/>
    </xf>
    <xf numFmtId="0" fontId="12" fillId="0" borderId="0" xfId="0" applyFont="1" applyBorder="1"/>
    <xf numFmtId="0" fontId="11" fillId="3" borderId="10" xfId="0" applyFont="1" applyFill="1" applyAlignment="1">
      <alignment horizontal="center" vertical="top" wrapText="1"/>
    </xf>
    <xf numFmtId="0" fontId="13" fillId="5" borderId="10" xfId="0" applyFont="1" applyFill="1" applyAlignment="1">
      <alignment horizontal="center" vertical="top" wrapText="1"/>
    </xf>
    <xf numFmtId="0" fontId="3" fillId="0" borderId="0" xfId="0" applyFont="1" applyBorder="1" applyAlignment="1">
      <alignment horizontal="center"/>
    </xf>
    <xf numFmtId="0" fontId="3" fillId="0" borderId="0" xfId="0" applyFont="1" applyBorder="1" applyAlignment="1">
      <alignment horizontal="right" vertical="top" wrapText="1"/>
    </xf>
    <xf numFmtId="0" fontId="14" fillId="0" borderId="0" xfId="0" applyFont="1" applyBorder="1" applyAlignment="1">
      <alignment horizontal="right" vertical="top" wrapText="1"/>
    </xf>
    <xf numFmtId="0" fontId="14" fillId="0" borderId="0" xfId="0" applyFont="1" applyBorder="1" applyAlignment="1">
      <alignment vertical="top" wrapText="1"/>
    </xf>
    <xf numFmtId="0" fontId="3" fillId="0" borderId="0" xfId="0" applyFont="1" applyBorder="1" applyAlignment="1">
      <alignment horizontal="right"/>
    </xf>
    <xf numFmtId="0" fontId="1" fillId="0" borderId="0" xfId="0" applyFont="1" applyBorder="1"/>
    <xf numFmtId="0" fontId="15" fillId="0" borderId="18" xfId="0" applyFont="1" applyBorder="1" applyAlignment="1">
      <alignment horizontal="center" vertical="top"/>
    </xf>
    <xf numFmtId="0" fontId="16" fillId="0" borderId="0" xfId="0" applyFont="1" applyBorder="1"/>
    <xf numFmtId="0" fontId="17" fillId="0" borderId="0" xfId="0" applyFont="1" applyBorder="1" applyAlignment="1">
      <alignment wrapText="1"/>
    </xf>
    <xf numFmtId="0" fontId="18" fillId="0" borderId="19" xfId="0" applyFont="1" applyBorder="1" applyAlignment="1">
      <alignment horizontal="center" vertical="top"/>
    </xf>
    <xf numFmtId="0" fontId="5" fillId="4" borderId="17" xfId="0" applyFont="1" applyFill="1" applyBorder="1" applyAlignment="1">
      <alignment horizontal="center" vertical="center"/>
    </xf>
    <xf numFmtId="0" fontId="0" fillId="0" borderId="17" xfId="0" applyBorder="1"/>
    <xf numFmtId="0" fontId="3" fillId="0" borderId="10" xfId="0" applyFont="1"/>
    <xf numFmtId="0" fontId="0" fillId="0" borderId="0" xfId="0" applyBorder="1"/>
    <xf numFmtId="0" fontId="2" fillId="2" borderId="12" xfId="0" applyFont="1" applyFill="1" applyBorder="1" applyAlignment="1">
      <alignment horizontal="center" vertical="center"/>
    </xf>
    <xf numFmtId="0" fontId="0" fillId="0" borderId="9" xfId="0" applyBorder="1"/>
    <xf numFmtId="0" fontId="5" fillId="4" borderId="13" xfId="0" applyFont="1" applyFill="1" applyBorder="1" applyAlignment="1">
      <alignment horizontal="center" vertical="center"/>
    </xf>
    <xf numFmtId="0" fontId="0" fillId="0" borderId="14" xfId="0" applyBorder="1"/>
    <xf numFmtId="0" fontId="0" fillId="0" borderId="15" xfId="0" applyBorder="1"/>
    <xf numFmtId="0" fontId="4" fillId="3" borderId="7" xfId="0" applyFont="1" applyFill="1" applyBorder="1" applyAlignment="1">
      <alignment horizontal="center" vertical="center" wrapText="1"/>
    </xf>
    <xf numFmtId="0" fontId="0" fillId="0" borderId="16" xfId="0" applyBorder="1"/>
    <xf numFmtId="0" fontId="2" fillId="2" borderId="13" xfId="0" applyFont="1" applyFill="1" applyBorder="1" applyAlignment="1">
      <alignment horizontal="center" vertical="center"/>
    </xf>
    <xf numFmtId="0" fontId="4" fillId="3" borderId="10" xfId="0" applyFont="1" applyFill="1" applyAlignment="1">
      <alignment horizontal="center" vertical="center" wrapText="1"/>
    </xf>
    <xf numFmtId="0" fontId="2" fillId="2" borderId="16" xfId="0" applyFont="1" applyFill="1" applyBorder="1" applyAlignment="1">
      <alignment horizontal="center" vertical="center"/>
    </xf>
    <xf numFmtId="0" fontId="15" fillId="0" borderId="19"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L1000"/>
  <sheetViews>
    <sheetView workbookViewId="0">
      <selection activeCell="I16" sqref="I16"/>
    </sheetView>
  </sheetViews>
  <sheetFormatPr baseColWidth="10" defaultColWidth="11.1640625" defaultRowHeight="15" customHeight="1" x14ac:dyDescent="0.2"/>
  <cols>
    <col min="1" max="2" width="10.83203125" customWidth="1"/>
    <col min="3" max="26" width="10.5" customWidth="1"/>
  </cols>
  <sheetData>
    <row r="1" spans="1:12" ht="15.75" customHeight="1" x14ac:dyDescent="0.2">
      <c r="A1" s="66" t="s">
        <v>0</v>
      </c>
      <c r="B1" s="63"/>
      <c r="H1" s="1"/>
      <c r="I1" s="57"/>
      <c r="J1" s="58"/>
      <c r="K1" s="58"/>
      <c r="L1" s="58"/>
    </row>
    <row r="2" spans="1:12" ht="15.75" customHeight="1" x14ac:dyDescent="0.2">
      <c r="A2" s="2"/>
      <c r="B2" s="3" t="s">
        <v>1</v>
      </c>
      <c r="H2" s="1"/>
      <c r="I2" s="57"/>
      <c r="J2" s="58"/>
      <c r="K2" s="58"/>
      <c r="L2" s="58"/>
    </row>
    <row r="3" spans="1:12" ht="15.75" customHeight="1" x14ac:dyDescent="0.2">
      <c r="A3" s="4" t="s">
        <v>2</v>
      </c>
      <c r="B3" s="5">
        <f>COUNT(problems!A:A)</f>
        <v>69</v>
      </c>
    </row>
    <row r="4" spans="1:12" ht="15.75" customHeight="1" x14ac:dyDescent="0.2">
      <c r="A4" s="6" t="s">
        <v>3</v>
      </c>
      <c r="B4" s="7">
        <f>COUNT(buggy_submissions!A:A)</f>
        <v>366</v>
      </c>
    </row>
    <row r="5" spans="1:12" ht="15.75" customHeight="1" x14ac:dyDescent="0.2">
      <c r="A5" s="8"/>
    </row>
    <row r="6" spans="1:12" ht="15.75" customHeight="1" x14ac:dyDescent="0.2">
      <c r="A6" s="59" t="s">
        <v>4</v>
      </c>
      <c r="B6" s="60"/>
      <c r="C6" s="60"/>
    </row>
    <row r="7" spans="1:12" ht="15.75" customHeight="1" x14ac:dyDescent="0.2">
      <c r="A7" s="64" t="s">
        <v>5</v>
      </c>
      <c r="B7" s="9" t="s">
        <v>6</v>
      </c>
    </row>
    <row r="8" spans="1:12" ht="15.75" customHeight="1" x14ac:dyDescent="0.2">
      <c r="A8" s="65"/>
      <c r="B8" s="10" t="s">
        <v>7</v>
      </c>
      <c r="F8" s="11"/>
    </row>
    <row r="9" spans="1:12" ht="15.75" customHeight="1" x14ac:dyDescent="0.2">
      <c r="A9" s="12">
        <v>1</v>
      </c>
      <c r="B9" s="13">
        <f>COUNTIFS(gpt4_N!G:G, TRUE, gpt4_N!F:F, "&lt;=1")/$B$4*100</f>
        <v>74.863387978142086</v>
      </c>
      <c r="F9" s="11"/>
    </row>
    <row r="10" spans="1:12" ht="15.75" customHeight="1" x14ac:dyDescent="0.2">
      <c r="A10" s="12">
        <v>2</v>
      </c>
      <c r="B10" s="13">
        <f>COUNTIFS(gpt4_N!G:G, TRUE, gpt4_N!F:F, "&lt;=2")/$B$4*100</f>
        <v>84.153005464480884</v>
      </c>
    </row>
    <row r="11" spans="1:12" ht="15.75" customHeight="1" x14ac:dyDescent="0.2">
      <c r="A11" s="12">
        <v>3</v>
      </c>
      <c r="B11" s="13">
        <f>COUNTIFS(gpt4_N!G:G, TRUE, gpt4_N!F:F, "&lt;=3")/$B$4*100</f>
        <v>86.065573770491795</v>
      </c>
    </row>
    <row r="12" spans="1:12" ht="15.75" customHeight="1" x14ac:dyDescent="0.2">
      <c r="A12" s="12">
        <v>4</v>
      </c>
      <c r="B12" s="13">
        <f>COUNTIFS(gpt4_N!G:G, TRUE, gpt4_N!F:F, "&lt;=4")/$B$4*100</f>
        <v>87.978142076502735</v>
      </c>
    </row>
    <row r="13" spans="1:12" ht="15.75" customHeight="1" x14ac:dyDescent="0.2">
      <c r="A13" s="14">
        <v>5</v>
      </c>
      <c r="B13" s="15">
        <f>COUNTIFS(gpt4_N!G:G, TRUE, gpt4_N!F:F, "&lt;=5")/$B$4*100</f>
        <v>88.52459016393442</v>
      </c>
    </row>
    <row r="14" spans="1:12" ht="15.75" customHeight="1" x14ac:dyDescent="0.2">
      <c r="A14" s="8"/>
    </row>
    <row r="15" spans="1:12" ht="15.75" customHeight="1" x14ac:dyDescent="0.2">
      <c r="A15" s="68" t="s">
        <v>8</v>
      </c>
      <c r="B15" s="58"/>
      <c r="C15" s="58"/>
      <c r="D15" s="58"/>
      <c r="E15" s="58"/>
      <c r="F15" s="58"/>
    </row>
    <row r="16" spans="1:12" ht="15.75" customHeight="1" x14ac:dyDescent="0.2">
      <c r="A16" s="8"/>
      <c r="C16" s="55" t="s">
        <v>6</v>
      </c>
      <c r="D16" s="56"/>
    </row>
    <row r="17" spans="1:7" ht="15.75" customHeight="1" x14ac:dyDescent="0.2">
      <c r="A17" s="8"/>
      <c r="C17" s="16" t="s">
        <v>9</v>
      </c>
      <c r="D17" s="17" t="s">
        <v>10</v>
      </c>
    </row>
    <row r="18" spans="1:7" ht="15.75" customHeight="1" x14ac:dyDescent="0.2">
      <c r="A18" s="67" t="s">
        <v>11</v>
      </c>
      <c r="B18" s="18" t="s">
        <v>12</v>
      </c>
      <c r="C18" s="19">
        <f>SUM(gpt4_1!I:I)</f>
        <v>656</v>
      </c>
      <c r="D18" s="5">
        <f>SUM(gpt4_1!M:M)</f>
        <v>125</v>
      </c>
    </row>
    <row r="19" spans="1:7" ht="15.75" customHeight="1" x14ac:dyDescent="0.2">
      <c r="A19" s="58"/>
      <c r="B19" s="20" t="s">
        <v>10</v>
      </c>
      <c r="C19" s="21">
        <f>SUM(gpt4_1!J:L)</f>
        <v>254</v>
      </c>
      <c r="D19" s="22"/>
    </row>
    <row r="20" spans="1:7" ht="15.75" customHeight="1" x14ac:dyDescent="0.2">
      <c r="A20" s="8"/>
    </row>
    <row r="21" spans="1:7" ht="15.75" customHeight="1" x14ac:dyDescent="0.2">
      <c r="A21" s="8"/>
    </row>
    <row r="22" spans="1:7" ht="15.75" customHeight="1" x14ac:dyDescent="0.2">
      <c r="A22" s="59" t="s">
        <v>13</v>
      </c>
      <c r="B22" s="60"/>
      <c r="C22" s="60"/>
      <c r="D22" s="60"/>
      <c r="E22" s="60"/>
      <c r="F22" s="60"/>
      <c r="G22" s="60"/>
    </row>
    <row r="23" spans="1:7" ht="15.75" customHeight="1" x14ac:dyDescent="0.2">
      <c r="A23" s="64" t="s">
        <v>5</v>
      </c>
      <c r="B23" s="61" t="s">
        <v>6</v>
      </c>
      <c r="C23" s="62"/>
      <c r="D23" s="62"/>
      <c r="E23" s="62"/>
      <c r="F23" s="62"/>
      <c r="G23" s="63"/>
    </row>
    <row r="24" spans="1:7" ht="15.75" customHeight="1" x14ac:dyDescent="0.2">
      <c r="A24" s="65"/>
      <c r="B24" s="23" t="s">
        <v>14</v>
      </c>
      <c r="C24" s="17" t="s">
        <v>15</v>
      </c>
      <c r="D24" s="16" t="s">
        <v>16</v>
      </c>
      <c r="E24" s="24" t="s">
        <v>17</v>
      </c>
      <c r="F24" s="24" t="s">
        <v>18</v>
      </c>
      <c r="G24" s="17" t="s">
        <v>19</v>
      </c>
    </row>
    <row r="25" spans="1:7" ht="15.75" customHeight="1" x14ac:dyDescent="0.2">
      <c r="A25" s="25" t="s">
        <v>20</v>
      </c>
      <c r="B25" s="26">
        <f>SUM(gpt4_1!$I$1:$I$367)/(SUM(gpt4_1!$I$1:$I$367)+SUM(gpt4_1!M:M))</f>
        <v>0.83994878361075542</v>
      </c>
      <c r="C25" s="27">
        <f>SUM(gpt4_1!M:M)/(SUM(gpt4_1!$I$1:$I$367)+SUM(gpt4_1!M:M))</f>
        <v>0.16005121638924455</v>
      </c>
      <c r="D25" s="26">
        <f>SUM(gpt4_1!$I$1:$I$367)/(SUM(gpt4_1!$I$1:$I$367)+SUM(gpt4_1!$J$1:$L$367))</f>
        <v>0.72087912087912087</v>
      </c>
      <c r="E25" s="28">
        <f>SUM(gpt4_1!$J$1:$J$367)/(SUM(gpt4_1!$I$1:$I$367)+SUM(gpt4_1!$J$1:$L$367))</f>
        <v>0.14835164835164835</v>
      </c>
      <c r="F25" s="28">
        <f>SUM(gpt4_1!$K$1:$K$367)/(SUM(gpt4_1!$I$1:$I$367)+SUM(gpt4_1!$J$1:$L$367))</f>
        <v>9.0109890109890109E-2</v>
      </c>
      <c r="G25" s="27">
        <f>SUM(gpt4_1!$L$1:$L$367)/(SUM(gpt4_1!$I$1:$I$367)+SUM(gpt4_1!$J$1:$L$367))</f>
        <v>4.0659340659340661E-2</v>
      </c>
    </row>
    <row r="26" spans="1:7" ht="15.75" customHeight="1" x14ac:dyDescent="0.2">
      <c r="A26" s="14" t="s">
        <v>21</v>
      </c>
      <c r="B26" s="29">
        <f>SUM(gpt4_N!$I$1:$I$367)/(SUM(gpt4_N!$I$1:$I$367)+SUM(gpt4_N!M:M))</f>
        <v>0.8716981132075472</v>
      </c>
      <c r="C26" s="30">
        <f>SUM(gpt4_N!M:M)/(SUM(gpt4_N!$I$1:$I$367)+SUM(gpt4_N!M:M))</f>
        <v>0.12830188679245283</v>
      </c>
      <c r="D26" s="29">
        <f>SUM(gpt4_N!$I$1:$I$367)/(SUM(gpt4_N!$I$1:$I$367)+SUM(gpt4_N!$J$1:$L$367))</f>
        <v>0.72413793103448276</v>
      </c>
      <c r="E26" s="31">
        <f>SUM(gpt4_N!$J$1:$J$367)/(SUM(gpt4_N!$I$1:$I$367)+SUM(gpt4_N!$J$1:$L$367))</f>
        <v>0.14420062695924765</v>
      </c>
      <c r="F26" s="31">
        <f>SUM(gpt4_N!$K$1:$K$367)/(SUM(gpt4_N!$I$1:$I$367)+SUM(gpt4_N!$J$1:$L$367))</f>
        <v>7.7324973876698011E-2</v>
      </c>
      <c r="G26" s="30">
        <f>SUM(gpt4_N!$L$1:$L$367)/(SUM(gpt4_N!$I$1:$I$367)+SUM(gpt4_N!$J$1:$L$367))</f>
        <v>5.4336468129571575E-2</v>
      </c>
    </row>
    <row r="27" spans="1:7" ht="15.75" customHeight="1" x14ac:dyDescent="0.2">
      <c r="A27" s="8"/>
    </row>
    <row r="28" spans="1:7" ht="15.75" customHeight="1" x14ac:dyDescent="0.2">
      <c r="A28" s="8"/>
    </row>
    <row r="29" spans="1:7" ht="15.75" customHeight="1" x14ac:dyDescent="0.2">
      <c r="A29" s="8"/>
    </row>
    <row r="30" spans="1:7" ht="15.75" customHeight="1" x14ac:dyDescent="0.2">
      <c r="A30" s="8"/>
    </row>
    <row r="31" spans="1:7" ht="15.75" customHeight="1" x14ac:dyDescent="0.2">
      <c r="A31" s="8"/>
    </row>
    <row r="32" spans="1:7" ht="15.75" customHeight="1" x14ac:dyDescent="0.2">
      <c r="A32" s="8"/>
    </row>
    <row r="33" spans="1:1" ht="15.75" customHeight="1" x14ac:dyDescent="0.2">
      <c r="A33" s="8"/>
    </row>
    <row r="34" spans="1:1" ht="15.75" customHeight="1" x14ac:dyDescent="0.2">
      <c r="A34" s="8"/>
    </row>
    <row r="35" spans="1:1" ht="15.75" customHeight="1" x14ac:dyDescent="0.2">
      <c r="A35" s="8"/>
    </row>
    <row r="36" spans="1:1" ht="15.75" customHeight="1" x14ac:dyDescent="0.2">
      <c r="A36" s="8"/>
    </row>
    <row r="37" spans="1:1" ht="15.75" customHeight="1" x14ac:dyDescent="0.2">
      <c r="A37" s="8"/>
    </row>
    <row r="38" spans="1:1" ht="15.75" customHeight="1" x14ac:dyDescent="0.2">
      <c r="A38" s="8"/>
    </row>
    <row r="39" spans="1:1" ht="15.75" customHeight="1" x14ac:dyDescent="0.2">
      <c r="A39" s="8"/>
    </row>
    <row r="40" spans="1:1" ht="15.75" customHeight="1" x14ac:dyDescent="0.2">
      <c r="A40" s="8"/>
    </row>
    <row r="41" spans="1:1" ht="15.75" customHeight="1" x14ac:dyDescent="0.2">
      <c r="A41" s="8"/>
    </row>
    <row r="42" spans="1:1" ht="15.75" customHeight="1" x14ac:dyDescent="0.2">
      <c r="A42" s="8"/>
    </row>
    <row r="43" spans="1:1" ht="15.75" customHeight="1" x14ac:dyDescent="0.2">
      <c r="A43" s="8"/>
    </row>
    <row r="44" spans="1:1" ht="15.75" customHeight="1" x14ac:dyDescent="0.2">
      <c r="A44" s="8"/>
    </row>
    <row r="45" spans="1:1" ht="15.75" customHeight="1" x14ac:dyDescent="0.2">
      <c r="A45" s="8"/>
    </row>
    <row r="46" spans="1:1" ht="15.75" customHeight="1" x14ac:dyDescent="0.2">
      <c r="A46" s="8"/>
    </row>
    <row r="47" spans="1:1" ht="15.75" customHeight="1" x14ac:dyDescent="0.2">
      <c r="A47" s="8"/>
    </row>
    <row r="48" spans="1:1" ht="15.75" customHeight="1" x14ac:dyDescent="0.2">
      <c r="A48" s="8"/>
    </row>
    <row r="49" spans="1:1" ht="15.75" customHeight="1" x14ac:dyDescent="0.2">
      <c r="A49" s="8"/>
    </row>
    <row r="50" spans="1:1" ht="15.75" customHeight="1" x14ac:dyDescent="0.2">
      <c r="A50" s="8"/>
    </row>
    <row r="51" spans="1:1" ht="15.75" customHeight="1" x14ac:dyDescent="0.2">
      <c r="A51" s="8"/>
    </row>
    <row r="52" spans="1:1" ht="15.75" customHeight="1" x14ac:dyDescent="0.2">
      <c r="A52" s="8"/>
    </row>
    <row r="53" spans="1:1" ht="15.75" customHeight="1" x14ac:dyDescent="0.2">
      <c r="A53" s="8"/>
    </row>
    <row r="54" spans="1:1" ht="15.75" customHeight="1" x14ac:dyDescent="0.2">
      <c r="A54" s="8"/>
    </row>
    <row r="55" spans="1:1" ht="15.75" customHeight="1" x14ac:dyDescent="0.2">
      <c r="A55" s="8"/>
    </row>
    <row r="56" spans="1:1" ht="15.75" customHeight="1" x14ac:dyDescent="0.2">
      <c r="A56" s="8"/>
    </row>
    <row r="57" spans="1:1" ht="15.75" customHeight="1" x14ac:dyDescent="0.2">
      <c r="A57" s="8"/>
    </row>
    <row r="58" spans="1:1" ht="15.75" customHeight="1" x14ac:dyDescent="0.2">
      <c r="A58" s="8"/>
    </row>
    <row r="59" spans="1:1" ht="15.75" customHeight="1" x14ac:dyDescent="0.2">
      <c r="A59" s="8"/>
    </row>
    <row r="60" spans="1:1" ht="15.75" customHeight="1" x14ac:dyDescent="0.2">
      <c r="A60" s="8"/>
    </row>
    <row r="61" spans="1:1" ht="15.75" customHeight="1" x14ac:dyDescent="0.2">
      <c r="A61" s="8"/>
    </row>
    <row r="62" spans="1:1" ht="15.75" customHeight="1" x14ac:dyDescent="0.2">
      <c r="A62" s="8"/>
    </row>
    <row r="63" spans="1:1" ht="15.75" customHeight="1" x14ac:dyDescent="0.2">
      <c r="A63" s="8"/>
    </row>
    <row r="64" spans="1:1" ht="15.75" customHeight="1" x14ac:dyDescent="0.2">
      <c r="A64" s="8"/>
    </row>
    <row r="65" spans="1:1" ht="15.75" customHeight="1" x14ac:dyDescent="0.2">
      <c r="A65" s="8"/>
    </row>
    <row r="66" spans="1:1" ht="15.75" customHeight="1" x14ac:dyDescent="0.2">
      <c r="A66" s="8"/>
    </row>
    <row r="67" spans="1:1" ht="15.75" customHeight="1" x14ac:dyDescent="0.2">
      <c r="A67" s="8"/>
    </row>
    <row r="68" spans="1:1" ht="15.75" customHeight="1" x14ac:dyDescent="0.2">
      <c r="A68" s="8"/>
    </row>
    <row r="69" spans="1:1" ht="15.75" customHeight="1" x14ac:dyDescent="0.2">
      <c r="A69" s="8"/>
    </row>
    <row r="70" spans="1:1" ht="15.75" customHeight="1" x14ac:dyDescent="0.2">
      <c r="A70" s="8"/>
    </row>
    <row r="71" spans="1:1" ht="15.75" customHeight="1" x14ac:dyDescent="0.2">
      <c r="A71" s="8"/>
    </row>
    <row r="72" spans="1:1" ht="15.75" customHeight="1" x14ac:dyDescent="0.2">
      <c r="A72" s="8"/>
    </row>
    <row r="73" spans="1:1" ht="15.75" customHeight="1" x14ac:dyDescent="0.2">
      <c r="A73" s="8"/>
    </row>
    <row r="74" spans="1:1" ht="15.75" customHeight="1" x14ac:dyDescent="0.2">
      <c r="A74" s="8"/>
    </row>
    <row r="75" spans="1:1" ht="15.75" customHeight="1" x14ac:dyDescent="0.2">
      <c r="A75" s="8"/>
    </row>
    <row r="76" spans="1:1" ht="15.75" customHeight="1" x14ac:dyDescent="0.2">
      <c r="A76" s="8"/>
    </row>
    <row r="77" spans="1:1" ht="15.75" customHeight="1" x14ac:dyDescent="0.2">
      <c r="A77" s="8"/>
    </row>
    <row r="78" spans="1:1" ht="15.75" customHeight="1" x14ac:dyDescent="0.2">
      <c r="A78" s="8"/>
    </row>
    <row r="79" spans="1:1" ht="15.75" customHeight="1" x14ac:dyDescent="0.2">
      <c r="A79" s="8"/>
    </row>
    <row r="80" spans="1:1" ht="15.75" customHeight="1" x14ac:dyDescent="0.2">
      <c r="A80" s="8"/>
    </row>
    <row r="81" spans="1:1" ht="15.75" customHeight="1" x14ac:dyDescent="0.2">
      <c r="A81" s="8"/>
    </row>
    <row r="82" spans="1:1" ht="15.75" customHeight="1" x14ac:dyDescent="0.2">
      <c r="A82" s="8"/>
    </row>
    <row r="83" spans="1:1" ht="15.75" customHeight="1" x14ac:dyDescent="0.2">
      <c r="A83" s="8"/>
    </row>
    <row r="84" spans="1:1" ht="15.75" customHeight="1" x14ac:dyDescent="0.2">
      <c r="A84" s="8"/>
    </row>
    <row r="85" spans="1:1" ht="15.75" customHeight="1" x14ac:dyDescent="0.2">
      <c r="A85" s="8"/>
    </row>
    <row r="86" spans="1:1" ht="15.75" customHeight="1" x14ac:dyDescent="0.2">
      <c r="A86" s="8"/>
    </row>
    <row r="87" spans="1:1" ht="15.75" customHeight="1" x14ac:dyDescent="0.2">
      <c r="A87" s="8"/>
    </row>
    <row r="88" spans="1:1" ht="15.75" customHeight="1" x14ac:dyDescent="0.2">
      <c r="A88" s="8"/>
    </row>
    <row r="89" spans="1:1" ht="15.75" customHeight="1" x14ac:dyDescent="0.2">
      <c r="A89" s="8"/>
    </row>
    <row r="90" spans="1:1" ht="15.75" customHeight="1" x14ac:dyDescent="0.2">
      <c r="A90" s="8"/>
    </row>
    <row r="91" spans="1:1" ht="15.75" customHeight="1" x14ac:dyDescent="0.2">
      <c r="A91" s="8"/>
    </row>
    <row r="92" spans="1:1" ht="15.75" customHeight="1" x14ac:dyDescent="0.2">
      <c r="A92" s="8"/>
    </row>
    <row r="93" spans="1:1" ht="15.75" customHeight="1" x14ac:dyDescent="0.2">
      <c r="A93" s="8"/>
    </row>
    <row r="94" spans="1:1" ht="15.75" customHeight="1" x14ac:dyDescent="0.2">
      <c r="A94" s="8"/>
    </row>
    <row r="95" spans="1:1" ht="15.75" customHeight="1" x14ac:dyDescent="0.2">
      <c r="A95" s="8"/>
    </row>
    <row r="96" spans="1:1" ht="15.75" customHeight="1" x14ac:dyDescent="0.2">
      <c r="A96" s="8"/>
    </row>
    <row r="97" spans="1:1" ht="15.75" customHeight="1" x14ac:dyDescent="0.2">
      <c r="A97" s="8"/>
    </row>
    <row r="98" spans="1:1" ht="15.75" customHeight="1" x14ac:dyDescent="0.2">
      <c r="A98" s="8"/>
    </row>
    <row r="99" spans="1:1" ht="15.75" customHeight="1" x14ac:dyDescent="0.2">
      <c r="A99" s="8"/>
    </row>
    <row r="100" spans="1:1" ht="15.75" customHeight="1" x14ac:dyDescent="0.2">
      <c r="A100" s="8"/>
    </row>
    <row r="101" spans="1:1" ht="15.75" customHeight="1" x14ac:dyDescent="0.2">
      <c r="A101" s="8"/>
    </row>
    <row r="102" spans="1:1" ht="15.75" customHeight="1" x14ac:dyDescent="0.2">
      <c r="A102" s="8"/>
    </row>
    <row r="103" spans="1:1" ht="15.75" customHeight="1" x14ac:dyDescent="0.2">
      <c r="A103" s="8"/>
    </row>
    <row r="104" spans="1:1" ht="15.75" customHeight="1" x14ac:dyDescent="0.2">
      <c r="A104" s="8"/>
    </row>
    <row r="105" spans="1:1" ht="15.75" customHeight="1" x14ac:dyDescent="0.2">
      <c r="A105" s="8"/>
    </row>
    <row r="106" spans="1:1" ht="15.75" customHeight="1" x14ac:dyDescent="0.2">
      <c r="A106" s="8"/>
    </row>
    <row r="107" spans="1:1" ht="15.75" customHeight="1" x14ac:dyDescent="0.2">
      <c r="A107" s="8"/>
    </row>
    <row r="108" spans="1:1" ht="15.75" customHeight="1" x14ac:dyDescent="0.2">
      <c r="A108" s="8"/>
    </row>
    <row r="109" spans="1:1" ht="15.75" customHeight="1" x14ac:dyDescent="0.2">
      <c r="A109" s="8"/>
    </row>
    <row r="110" spans="1:1" ht="15.75" customHeight="1" x14ac:dyDescent="0.2">
      <c r="A110" s="8"/>
    </row>
    <row r="111" spans="1:1" ht="15.75" customHeight="1" x14ac:dyDescent="0.2">
      <c r="A111" s="8"/>
    </row>
    <row r="112" spans="1:1" ht="15.75" customHeight="1" x14ac:dyDescent="0.2">
      <c r="A112" s="8"/>
    </row>
    <row r="113" spans="1:1" ht="15.75" customHeight="1" x14ac:dyDescent="0.2">
      <c r="A113" s="8"/>
    </row>
    <row r="114" spans="1:1" ht="15.75" customHeight="1" x14ac:dyDescent="0.2">
      <c r="A114" s="8"/>
    </row>
    <row r="115" spans="1:1" ht="15.75" customHeight="1" x14ac:dyDescent="0.2">
      <c r="A115" s="8"/>
    </row>
    <row r="116" spans="1:1" ht="15.75" customHeight="1" x14ac:dyDescent="0.2">
      <c r="A116" s="8"/>
    </row>
    <row r="117" spans="1:1" ht="15.75" customHeight="1" x14ac:dyDescent="0.2">
      <c r="A117" s="8"/>
    </row>
    <row r="118" spans="1:1" ht="15.75" customHeight="1" x14ac:dyDescent="0.2">
      <c r="A118" s="8"/>
    </row>
    <row r="119" spans="1:1" ht="15.75" customHeight="1" x14ac:dyDescent="0.2">
      <c r="A119" s="8"/>
    </row>
    <row r="120" spans="1:1" ht="15.75" customHeight="1" x14ac:dyDescent="0.2">
      <c r="A120" s="8"/>
    </row>
    <row r="121" spans="1:1" ht="15.75" customHeight="1" x14ac:dyDescent="0.2">
      <c r="A121" s="8"/>
    </row>
    <row r="122" spans="1:1" ht="15.75" customHeight="1" x14ac:dyDescent="0.2">
      <c r="A122" s="8"/>
    </row>
    <row r="123" spans="1:1" ht="15.75" customHeight="1" x14ac:dyDescent="0.2">
      <c r="A123" s="8"/>
    </row>
    <row r="124" spans="1:1" ht="15.75" customHeight="1" x14ac:dyDescent="0.2">
      <c r="A124" s="8"/>
    </row>
    <row r="125" spans="1:1" ht="15.75" customHeight="1" x14ac:dyDescent="0.2">
      <c r="A125" s="8"/>
    </row>
    <row r="126" spans="1:1" ht="15.75" customHeight="1" x14ac:dyDescent="0.2">
      <c r="A126" s="8"/>
    </row>
    <row r="127" spans="1:1" ht="15.75" customHeight="1" x14ac:dyDescent="0.2">
      <c r="A127" s="8"/>
    </row>
    <row r="128" spans="1:1" ht="15.75" customHeight="1" x14ac:dyDescent="0.2">
      <c r="A128" s="8"/>
    </row>
    <row r="129" spans="1:1" ht="15.75" customHeight="1" x14ac:dyDescent="0.2">
      <c r="A129" s="8"/>
    </row>
    <row r="130" spans="1:1" ht="15.75" customHeight="1" x14ac:dyDescent="0.2">
      <c r="A130" s="8"/>
    </row>
    <row r="131" spans="1:1" ht="15.75" customHeight="1" x14ac:dyDescent="0.2">
      <c r="A131" s="8"/>
    </row>
    <row r="132" spans="1:1" ht="15.75" customHeight="1" x14ac:dyDescent="0.2">
      <c r="A132" s="8"/>
    </row>
    <row r="133" spans="1:1" ht="15.75" customHeight="1" x14ac:dyDescent="0.2">
      <c r="A133" s="8"/>
    </row>
    <row r="134" spans="1:1" ht="15.75" customHeight="1" x14ac:dyDescent="0.2">
      <c r="A134" s="8"/>
    </row>
    <row r="135" spans="1:1" ht="15.75" customHeight="1" x14ac:dyDescent="0.2">
      <c r="A135" s="8"/>
    </row>
    <row r="136" spans="1:1" ht="15.75" customHeight="1" x14ac:dyDescent="0.2">
      <c r="A136" s="8"/>
    </row>
    <row r="137" spans="1:1" ht="15.75" customHeight="1" x14ac:dyDescent="0.2">
      <c r="A137" s="8"/>
    </row>
    <row r="138" spans="1:1" ht="15.75" customHeight="1" x14ac:dyDescent="0.2">
      <c r="A138" s="8"/>
    </row>
    <row r="139" spans="1:1" ht="15.75" customHeight="1" x14ac:dyDescent="0.2">
      <c r="A139" s="8"/>
    </row>
    <row r="140" spans="1:1" ht="15.75" customHeight="1" x14ac:dyDescent="0.2">
      <c r="A140" s="8"/>
    </row>
    <row r="141" spans="1:1" ht="15.75" customHeight="1" x14ac:dyDescent="0.2">
      <c r="A141" s="8"/>
    </row>
    <row r="142" spans="1:1" ht="15.75" customHeight="1" x14ac:dyDescent="0.2">
      <c r="A142" s="8"/>
    </row>
    <row r="143" spans="1:1" ht="15.75" customHeight="1" x14ac:dyDescent="0.2">
      <c r="A143" s="8"/>
    </row>
    <row r="144" spans="1:1" ht="15.75" customHeight="1" x14ac:dyDescent="0.2">
      <c r="A144" s="8"/>
    </row>
    <row r="145" spans="1:1" ht="15.75" customHeight="1" x14ac:dyDescent="0.2">
      <c r="A145" s="8"/>
    </row>
    <row r="146" spans="1:1" ht="15.75" customHeight="1" x14ac:dyDescent="0.2">
      <c r="A146" s="8"/>
    </row>
    <row r="147" spans="1:1" ht="15.75" customHeight="1" x14ac:dyDescent="0.2">
      <c r="A147" s="8"/>
    </row>
    <row r="148" spans="1:1" ht="15.75" customHeight="1" x14ac:dyDescent="0.2">
      <c r="A148" s="8"/>
    </row>
    <row r="149" spans="1:1" ht="15.75" customHeight="1" x14ac:dyDescent="0.2">
      <c r="A149" s="8"/>
    </row>
    <row r="150" spans="1:1" ht="15.75" customHeight="1" x14ac:dyDescent="0.2">
      <c r="A150" s="8"/>
    </row>
    <row r="151" spans="1:1" ht="15.75" customHeight="1" x14ac:dyDescent="0.2">
      <c r="A151" s="8"/>
    </row>
    <row r="152" spans="1:1" ht="15.75" customHeight="1" x14ac:dyDescent="0.2">
      <c r="A152" s="8"/>
    </row>
    <row r="153" spans="1:1" ht="15.75" customHeight="1" x14ac:dyDescent="0.2">
      <c r="A153" s="8"/>
    </row>
    <row r="154" spans="1:1" ht="15.75" customHeight="1" x14ac:dyDescent="0.2">
      <c r="A154" s="8"/>
    </row>
    <row r="155" spans="1:1" ht="15.75" customHeight="1" x14ac:dyDescent="0.2">
      <c r="A155" s="8"/>
    </row>
    <row r="156" spans="1:1" ht="15.75" customHeight="1" x14ac:dyDescent="0.2">
      <c r="A156" s="8"/>
    </row>
    <row r="157" spans="1:1" ht="15.75" customHeight="1" x14ac:dyDescent="0.2">
      <c r="A157" s="8"/>
    </row>
    <row r="158" spans="1:1" ht="15.75" customHeight="1" x14ac:dyDescent="0.2">
      <c r="A158" s="8"/>
    </row>
    <row r="159" spans="1:1" ht="15.75" customHeight="1" x14ac:dyDescent="0.2">
      <c r="A159" s="8"/>
    </row>
    <row r="160" spans="1:1" ht="15.75" customHeight="1" x14ac:dyDescent="0.2">
      <c r="A160" s="8"/>
    </row>
    <row r="161" spans="1:1" ht="15.75" customHeight="1" x14ac:dyDescent="0.2">
      <c r="A161" s="8"/>
    </row>
    <row r="162" spans="1:1" ht="15.75" customHeight="1" x14ac:dyDescent="0.2">
      <c r="A162" s="8"/>
    </row>
    <row r="163" spans="1:1" ht="15.75" customHeight="1" x14ac:dyDescent="0.2">
      <c r="A163" s="8"/>
    </row>
    <row r="164" spans="1:1" ht="15.75" customHeight="1" x14ac:dyDescent="0.2">
      <c r="A164" s="8"/>
    </row>
    <row r="165" spans="1:1" ht="15.75" customHeight="1" x14ac:dyDescent="0.2">
      <c r="A165" s="8"/>
    </row>
    <row r="166" spans="1:1" ht="15.75" customHeight="1" x14ac:dyDescent="0.2">
      <c r="A166" s="8"/>
    </row>
    <row r="167" spans="1:1" ht="15.75" customHeight="1" x14ac:dyDescent="0.2">
      <c r="A167" s="8"/>
    </row>
    <row r="168" spans="1:1" ht="15.75" customHeight="1" x14ac:dyDescent="0.2">
      <c r="A168" s="8"/>
    </row>
    <row r="169" spans="1:1" ht="15.75" customHeight="1" x14ac:dyDescent="0.2">
      <c r="A169" s="8"/>
    </row>
    <row r="170" spans="1:1" ht="15.75" customHeight="1" x14ac:dyDescent="0.2">
      <c r="A170" s="8"/>
    </row>
    <row r="171" spans="1:1" ht="15.75" customHeight="1" x14ac:dyDescent="0.2">
      <c r="A171" s="8"/>
    </row>
    <row r="172" spans="1:1" ht="15.75" customHeight="1" x14ac:dyDescent="0.2">
      <c r="A172" s="8"/>
    </row>
    <row r="173" spans="1:1" ht="15.75" customHeight="1" x14ac:dyDescent="0.2">
      <c r="A173" s="8"/>
    </row>
    <row r="174" spans="1:1" ht="15.75" customHeight="1" x14ac:dyDescent="0.2">
      <c r="A174" s="8"/>
    </row>
    <row r="175" spans="1:1" ht="15.75" customHeight="1" x14ac:dyDescent="0.2">
      <c r="A175" s="8"/>
    </row>
    <row r="176" spans="1:1" ht="15.75" customHeight="1" x14ac:dyDescent="0.2">
      <c r="A176" s="8"/>
    </row>
    <row r="177" spans="1:1" ht="15.75" customHeight="1" x14ac:dyDescent="0.2">
      <c r="A177" s="8"/>
    </row>
    <row r="178" spans="1:1" ht="15.75" customHeight="1" x14ac:dyDescent="0.2">
      <c r="A178" s="8"/>
    </row>
    <row r="179" spans="1:1" ht="15.75" customHeight="1" x14ac:dyDescent="0.2">
      <c r="A179" s="8"/>
    </row>
    <row r="180" spans="1:1" ht="15.75" customHeight="1" x14ac:dyDescent="0.2">
      <c r="A180" s="8"/>
    </row>
    <row r="181" spans="1:1" ht="15.75" customHeight="1" x14ac:dyDescent="0.2">
      <c r="A181" s="8"/>
    </row>
    <row r="182" spans="1:1" ht="15.75" customHeight="1" x14ac:dyDescent="0.2">
      <c r="A182" s="8"/>
    </row>
    <row r="183" spans="1:1" ht="15.75" customHeight="1" x14ac:dyDescent="0.2">
      <c r="A183" s="8"/>
    </row>
    <row r="184" spans="1:1" ht="15.75" customHeight="1" x14ac:dyDescent="0.2">
      <c r="A184" s="8"/>
    </row>
    <row r="185" spans="1:1" ht="15.75" customHeight="1" x14ac:dyDescent="0.2">
      <c r="A185" s="8"/>
    </row>
    <row r="186" spans="1:1" ht="15.75" customHeight="1" x14ac:dyDescent="0.2">
      <c r="A186" s="8"/>
    </row>
    <row r="187" spans="1:1" ht="15.75" customHeight="1" x14ac:dyDescent="0.2">
      <c r="A187" s="8"/>
    </row>
    <row r="188" spans="1:1" ht="15.75" customHeight="1" x14ac:dyDescent="0.2">
      <c r="A188" s="8"/>
    </row>
    <row r="189" spans="1:1" ht="15.75" customHeight="1" x14ac:dyDescent="0.2">
      <c r="A189" s="8"/>
    </row>
    <row r="190" spans="1:1" ht="15.75" customHeight="1" x14ac:dyDescent="0.2">
      <c r="A190" s="8"/>
    </row>
    <row r="191" spans="1:1" ht="15.75" customHeight="1" x14ac:dyDescent="0.2">
      <c r="A191" s="8"/>
    </row>
    <row r="192" spans="1:1" ht="15.75" customHeight="1" x14ac:dyDescent="0.2">
      <c r="A192" s="8"/>
    </row>
    <row r="193" spans="1:1" ht="15.75" customHeight="1" x14ac:dyDescent="0.2">
      <c r="A193" s="8"/>
    </row>
    <row r="194" spans="1:1" ht="15.75" customHeight="1" x14ac:dyDescent="0.2">
      <c r="A194" s="8"/>
    </row>
    <row r="195" spans="1:1" ht="15.75" customHeight="1" x14ac:dyDescent="0.2">
      <c r="A195" s="8"/>
    </row>
    <row r="196" spans="1:1" ht="15.75" customHeight="1" x14ac:dyDescent="0.2">
      <c r="A196" s="8"/>
    </row>
    <row r="197" spans="1:1" ht="15.75" customHeight="1" x14ac:dyDescent="0.2">
      <c r="A197" s="8"/>
    </row>
    <row r="198" spans="1:1" ht="15.75" customHeight="1" x14ac:dyDescent="0.2">
      <c r="A198" s="8"/>
    </row>
    <row r="199" spans="1:1" ht="15.75" customHeight="1" x14ac:dyDescent="0.2">
      <c r="A199" s="8"/>
    </row>
    <row r="200" spans="1:1" ht="15.75" customHeight="1" x14ac:dyDescent="0.2">
      <c r="A200" s="8"/>
    </row>
    <row r="201" spans="1:1" ht="15.75" customHeight="1" x14ac:dyDescent="0.2">
      <c r="A201" s="8"/>
    </row>
    <row r="202" spans="1:1" ht="15.75" customHeight="1" x14ac:dyDescent="0.2">
      <c r="A202" s="8"/>
    </row>
    <row r="203" spans="1:1" ht="15.75" customHeight="1" x14ac:dyDescent="0.2">
      <c r="A203" s="8"/>
    </row>
    <row r="204" spans="1:1" ht="15.75" customHeight="1" x14ac:dyDescent="0.2">
      <c r="A204" s="8"/>
    </row>
    <row r="205" spans="1:1" ht="15.75" customHeight="1" x14ac:dyDescent="0.2">
      <c r="A205" s="8"/>
    </row>
    <row r="206" spans="1:1" ht="15.75" customHeight="1" x14ac:dyDescent="0.2">
      <c r="A206" s="8"/>
    </row>
    <row r="207" spans="1:1" ht="15.75" customHeight="1" x14ac:dyDescent="0.2">
      <c r="A207" s="8"/>
    </row>
    <row r="208" spans="1:1" ht="15.75" customHeight="1" x14ac:dyDescent="0.2">
      <c r="A208" s="8"/>
    </row>
    <row r="209" spans="1:1" ht="15.75" customHeight="1" x14ac:dyDescent="0.2">
      <c r="A209" s="8"/>
    </row>
    <row r="210" spans="1:1" ht="15.75" customHeight="1" x14ac:dyDescent="0.2">
      <c r="A210" s="8"/>
    </row>
    <row r="211" spans="1:1" ht="15.75" customHeight="1" x14ac:dyDescent="0.2">
      <c r="A211" s="8"/>
    </row>
    <row r="212" spans="1:1" ht="15.75" customHeight="1" x14ac:dyDescent="0.2">
      <c r="A212" s="8"/>
    </row>
    <row r="213" spans="1:1" ht="15.75" customHeight="1" x14ac:dyDescent="0.2">
      <c r="A213" s="8"/>
    </row>
    <row r="214" spans="1:1" ht="15.75" customHeight="1" x14ac:dyDescent="0.2">
      <c r="A214" s="8"/>
    </row>
    <row r="215" spans="1:1" ht="15.75" customHeight="1" x14ac:dyDescent="0.2">
      <c r="A215" s="8"/>
    </row>
    <row r="216" spans="1:1" ht="15.75" customHeight="1" x14ac:dyDescent="0.2">
      <c r="A216" s="8"/>
    </row>
    <row r="217" spans="1:1" ht="15.75" customHeight="1" x14ac:dyDescent="0.2">
      <c r="A217" s="8"/>
    </row>
    <row r="218" spans="1:1" ht="15.75" customHeight="1" x14ac:dyDescent="0.2">
      <c r="A218" s="8"/>
    </row>
    <row r="219" spans="1:1" ht="15.75" customHeight="1" x14ac:dyDescent="0.2">
      <c r="A219" s="8"/>
    </row>
    <row r="220" spans="1:1" ht="15.75" customHeight="1" x14ac:dyDescent="0.2">
      <c r="A220" s="8"/>
    </row>
    <row r="221" spans="1:1" ht="15.75" customHeight="1" x14ac:dyDescent="0.2">
      <c r="A221" s="8"/>
    </row>
    <row r="222" spans="1:1" ht="15.75" customHeight="1" x14ac:dyDescent="0.2">
      <c r="A222" s="8"/>
    </row>
    <row r="223" spans="1:1" ht="15.75" customHeight="1" x14ac:dyDescent="0.2">
      <c r="A223" s="8"/>
    </row>
    <row r="224" spans="1:1" ht="15.75" customHeight="1" x14ac:dyDescent="0.2">
      <c r="A224" s="8"/>
    </row>
    <row r="225" spans="1:1" ht="15.75" customHeight="1" x14ac:dyDescent="0.2">
      <c r="A225" s="8"/>
    </row>
    <row r="226" spans="1:1" ht="15.75" customHeight="1" x14ac:dyDescent="0.2">
      <c r="A226" s="8"/>
    </row>
    <row r="227" spans="1:1" ht="15.75" customHeight="1" x14ac:dyDescent="0.2">
      <c r="A227" s="8"/>
    </row>
    <row r="228" spans="1:1" ht="15.75" customHeight="1" x14ac:dyDescent="0.2">
      <c r="A228" s="8"/>
    </row>
    <row r="229" spans="1:1" ht="15.75" customHeight="1" x14ac:dyDescent="0.2">
      <c r="A229" s="8"/>
    </row>
    <row r="230" spans="1:1" ht="15.75" customHeight="1" x14ac:dyDescent="0.2">
      <c r="A230" s="8"/>
    </row>
    <row r="231" spans="1:1" ht="15.75" customHeight="1" x14ac:dyDescent="0.2">
      <c r="A231" s="8"/>
    </row>
    <row r="232" spans="1:1" ht="15.75" customHeight="1" x14ac:dyDescent="0.2">
      <c r="A232" s="8"/>
    </row>
    <row r="233" spans="1:1" ht="15.75" customHeight="1" x14ac:dyDescent="0.2">
      <c r="A233" s="8"/>
    </row>
    <row r="234" spans="1:1" ht="15.75" customHeight="1" x14ac:dyDescent="0.2">
      <c r="A234" s="8"/>
    </row>
    <row r="235" spans="1:1" ht="15.75" customHeight="1" x14ac:dyDescent="0.2">
      <c r="A235" s="8"/>
    </row>
    <row r="236" spans="1:1" ht="15.75" customHeight="1" x14ac:dyDescent="0.2">
      <c r="A236" s="8"/>
    </row>
    <row r="237" spans="1:1" ht="15.75" customHeight="1" x14ac:dyDescent="0.2">
      <c r="A237" s="8"/>
    </row>
    <row r="238" spans="1:1" ht="15.75" customHeight="1" x14ac:dyDescent="0.2">
      <c r="A238" s="8"/>
    </row>
    <row r="239" spans="1:1" ht="15.75" customHeight="1" x14ac:dyDescent="0.2">
      <c r="A239" s="8"/>
    </row>
    <row r="240" spans="1:1" ht="15.75" customHeight="1" x14ac:dyDescent="0.2">
      <c r="A240" s="8"/>
    </row>
    <row r="241" spans="1:1" ht="15.75" customHeight="1" x14ac:dyDescent="0.2">
      <c r="A241" s="8"/>
    </row>
    <row r="242" spans="1:1" ht="15.75" customHeight="1" x14ac:dyDescent="0.2">
      <c r="A242" s="8"/>
    </row>
    <row r="243" spans="1:1" ht="15.75" customHeight="1" x14ac:dyDescent="0.2">
      <c r="A243" s="8"/>
    </row>
    <row r="244" spans="1:1" ht="15.75" customHeight="1" x14ac:dyDescent="0.2">
      <c r="A244" s="8"/>
    </row>
    <row r="245" spans="1:1" ht="15.75" customHeight="1" x14ac:dyDescent="0.2">
      <c r="A245" s="8"/>
    </row>
    <row r="246" spans="1:1" ht="15.75" customHeight="1" x14ac:dyDescent="0.2">
      <c r="A246" s="8"/>
    </row>
    <row r="247" spans="1:1" ht="15.75" customHeight="1" x14ac:dyDescent="0.2">
      <c r="A247" s="8"/>
    </row>
    <row r="248" spans="1:1" ht="15.75" customHeight="1" x14ac:dyDescent="0.2">
      <c r="A248" s="8"/>
    </row>
    <row r="249" spans="1:1" ht="15.75" customHeight="1" x14ac:dyDescent="0.2">
      <c r="A249" s="8"/>
    </row>
    <row r="250" spans="1:1" ht="15.75" customHeight="1" x14ac:dyDescent="0.2">
      <c r="A250" s="8"/>
    </row>
    <row r="251" spans="1:1" ht="15.75" customHeight="1" x14ac:dyDescent="0.2">
      <c r="A251" s="8"/>
    </row>
    <row r="252" spans="1:1" ht="15.75" customHeight="1" x14ac:dyDescent="0.2">
      <c r="A252" s="8"/>
    </row>
    <row r="253" spans="1:1" ht="15.75" customHeight="1" x14ac:dyDescent="0.2">
      <c r="A253" s="8"/>
    </row>
    <row r="254" spans="1:1" ht="15.75" customHeight="1" x14ac:dyDescent="0.2">
      <c r="A254" s="8"/>
    </row>
    <row r="255" spans="1:1" ht="15.75" customHeight="1" x14ac:dyDescent="0.2">
      <c r="A255" s="8"/>
    </row>
    <row r="256" spans="1:1" ht="15.75" customHeight="1" x14ac:dyDescent="0.2">
      <c r="A256" s="8"/>
    </row>
    <row r="257" spans="1:1" ht="15.75" customHeight="1" x14ac:dyDescent="0.2">
      <c r="A257" s="8"/>
    </row>
    <row r="258" spans="1:1" ht="15.75" customHeight="1" x14ac:dyDescent="0.2">
      <c r="A258" s="8"/>
    </row>
    <row r="259" spans="1:1" ht="15.75" customHeight="1" x14ac:dyDescent="0.2">
      <c r="A259" s="8"/>
    </row>
    <row r="260" spans="1:1" ht="15.75" customHeight="1" x14ac:dyDescent="0.2">
      <c r="A260" s="8"/>
    </row>
    <row r="261" spans="1:1" ht="15.75" customHeight="1" x14ac:dyDescent="0.2">
      <c r="A261" s="8"/>
    </row>
    <row r="262" spans="1:1" ht="15.75" customHeight="1" x14ac:dyDescent="0.2">
      <c r="A262" s="8"/>
    </row>
    <row r="263" spans="1:1" ht="15.75" customHeight="1" x14ac:dyDescent="0.2">
      <c r="A263" s="8"/>
    </row>
    <row r="264" spans="1:1" ht="15.75" customHeight="1" x14ac:dyDescent="0.2">
      <c r="A264" s="8"/>
    </row>
    <row r="265" spans="1:1" ht="15.75" customHeight="1" x14ac:dyDescent="0.2">
      <c r="A265" s="8"/>
    </row>
    <row r="266" spans="1:1" ht="15.75" customHeight="1" x14ac:dyDescent="0.2">
      <c r="A266" s="8"/>
    </row>
    <row r="267" spans="1:1" ht="15.75" customHeight="1" x14ac:dyDescent="0.2">
      <c r="A267" s="8"/>
    </row>
    <row r="268" spans="1:1" ht="15.75" customHeight="1" x14ac:dyDescent="0.2">
      <c r="A268" s="8"/>
    </row>
    <row r="269" spans="1:1" ht="15.75" customHeight="1" x14ac:dyDescent="0.2">
      <c r="A269" s="8"/>
    </row>
    <row r="270" spans="1:1" ht="15.75" customHeight="1" x14ac:dyDescent="0.2">
      <c r="A270" s="8"/>
    </row>
    <row r="271" spans="1:1" ht="15.75" customHeight="1" x14ac:dyDescent="0.2">
      <c r="A271" s="8"/>
    </row>
    <row r="272" spans="1:1" ht="15.75" customHeight="1" x14ac:dyDescent="0.2">
      <c r="A272" s="8"/>
    </row>
    <row r="273" spans="1:1" ht="15.75" customHeight="1" x14ac:dyDescent="0.2">
      <c r="A273" s="8"/>
    </row>
    <row r="274" spans="1:1" ht="15.75" customHeight="1" x14ac:dyDescent="0.2">
      <c r="A274" s="8"/>
    </row>
    <row r="275" spans="1:1" ht="15.75" customHeight="1" x14ac:dyDescent="0.2">
      <c r="A275" s="8"/>
    </row>
    <row r="276" spans="1:1" ht="15.75" customHeight="1" x14ac:dyDescent="0.2">
      <c r="A276" s="8"/>
    </row>
    <row r="277" spans="1:1" ht="15.75" customHeight="1" x14ac:dyDescent="0.2">
      <c r="A277" s="8"/>
    </row>
    <row r="278" spans="1:1" ht="15.75" customHeight="1" x14ac:dyDescent="0.2">
      <c r="A278" s="8"/>
    </row>
    <row r="279" spans="1:1" ht="15.75" customHeight="1" x14ac:dyDescent="0.2">
      <c r="A279" s="8"/>
    </row>
    <row r="280" spans="1:1" ht="15.75" customHeight="1" x14ac:dyDescent="0.2">
      <c r="A280" s="8"/>
    </row>
    <row r="281" spans="1:1" ht="15.75" customHeight="1" x14ac:dyDescent="0.2">
      <c r="A281" s="8"/>
    </row>
    <row r="282" spans="1:1" ht="15.75" customHeight="1" x14ac:dyDescent="0.2">
      <c r="A282" s="8"/>
    </row>
    <row r="283" spans="1:1" ht="15.75" customHeight="1" x14ac:dyDescent="0.2">
      <c r="A283" s="8"/>
    </row>
    <row r="284" spans="1:1" ht="15.75" customHeight="1" x14ac:dyDescent="0.2">
      <c r="A284" s="8"/>
    </row>
    <row r="285" spans="1:1" ht="15.75" customHeight="1" x14ac:dyDescent="0.2">
      <c r="A285" s="8"/>
    </row>
    <row r="286" spans="1:1" ht="15.75" customHeight="1" x14ac:dyDescent="0.2">
      <c r="A286" s="8"/>
    </row>
    <row r="287" spans="1:1" ht="15.75" customHeight="1" x14ac:dyDescent="0.2">
      <c r="A287" s="8"/>
    </row>
    <row r="288" spans="1:1" ht="15.75" customHeight="1" x14ac:dyDescent="0.2">
      <c r="A288" s="8"/>
    </row>
    <row r="289" spans="1:1" ht="15.75" customHeight="1" x14ac:dyDescent="0.2">
      <c r="A289" s="8"/>
    </row>
    <row r="290" spans="1:1" ht="15.75" customHeight="1" x14ac:dyDescent="0.2">
      <c r="A290" s="8"/>
    </row>
    <row r="291" spans="1:1" ht="15.75" customHeight="1" x14ac:dyDescent="0.2">
      <c r="A291" s="8"/>
    </row>
    <row r="292" spans="1:1" ht="15.75" customHeight="1" x14ac:dyDescent="0.2">
      <c r="A292" s="8"/>
    </row>
    <row r="293" spans="1:1" ht="15.75" customHeight="1" x14ac:dyDescent="0.2">
      <c r="A293" s="8"/>
    </row>
    <row r="294" spans="1:1" ht="15.75" customHeight="1" x14ac:dyDescent="0.2">
      <c r="A294" s="8"/>
    </row>
    <row r="295" spans="1:1" ht="15.75" customHeight="1" x14ac:dyDescent="0.2">
      <c r="A295" s="8"/>
    </row>
    <row r="296" spans="1:1" ht="15.75" customHeight="1" x14ac:dyDescent="0.2">
      <c r="A296" s="8"/>
    </row>
    <row r="297" spans="1:1" ht="15.75" customHeight="1" x14ac:dyDescent="0.2">
      <c r="A297" s="8"/>
    </row>
    <row r="298" spans="1:1" ht="15.75" customHeight="1" x14ac:dyDescent="0.2">
      <c r="A298" s="8"/>
    </row>
    <row r="299" spans="1:1" ht="15.75" customHeight="1" x14ac:dyDescent="0.2">
      <c r="A299" s="8"/>
    </row>
    <row r="300" spans="1:1" ht="15.75" customHeight="1" x14ac:dyDescent="0.2">
      <c r="A300" s="8"/>
    </row>
    <row r="301" spans="1:1" ht="15.75" customHeight="1" x14ac:dyDescent="0.2">
      <c r="A301" s="8"/>
    </row>
    <row r="302" spans="1:1" ht="15.75" customHeight="1" x14ac:dyDescent="0.2">
      <c r="A302" s="8"/>
    </row>
    <row r="303" spans="1:1" ht="15.75" customHeight="1" x14ac:dyDescent="0.2">
      <c r="A303" s="8"/>
    </row>
    <row r="304" spans="1:1" ht="15.75" customHeight="1" x14ac:dyDescent="0.2">
      <c r="A304" s="8"/>
    </row>
    <row r="305" spans="1:1" ht="15.75" customHeight="1" x14ac:dyDescent="0.2">
      <c r="A305" s="8"/>
    </row>
    <row r="306" spans="1:1" ht="15.75" customHeight="1" x14ac:dyDescent="0.2">
      <c r="A306" s="8"/>
    </row>
    <row r="307" spans="1:1" ht="15.75" customHeight="1" x14ac:dyDescent="0.2">
      <c r="A307" s="8"/>
    </row>
    <row r="308" spans="1:1" ht="15.75" customHeight="1" x14ac:dyDescent="0.2">
      <c r="A308" s="8"/>
    </row>
    <row r="309" spans="1:1" ht="15.75" customHeight="1" x14ac:dyDescent="0.2">
      <c r="A309" s="8"/>
    </row>
    <row r="310" spans="1:1" ht="15.75" customHeight="1" x14ac:dyDescent="0.2">
      <c r="A310" s="8"/>
    </row>
    <row r="311" spans="1:1" ht="15.75" customHeight="1" x14ac:dyDescent="0.2">
      <c r="A311" s="8"/>
    </row>
    <row r="312" spans="1:1" ht="15.75" customHeight="1" x14ac:dyDescent="0.2">
      <c r="A312" s="8"/>
    </row>
    <row r="313" spans="1:1" ht="15.75" customHeight="1" x14ac:dyDescent="0.2">
      <c r="A313" s="8"/>
    </row>
    <row r="314" spans="1:1" ht="15.75" customHeight="1" x14ac:dyDescent="0.2">
      <c r="A314" s="8"/>
    </row>
    <row r="315" spans="1:1" ht="15.75" customHeight="1" x14ac:dyDescent="0.2">
      <c r="A315" s="8"/>
    </row>
    <row r="316" spans="1:1" ht="15.75" customHeight="1" x14ac:dyDescent="0.2">
      <c r="A316" s="8"/>
    </row>
    <row r="317" spans="1:1" ht="15.75" customHeight="1" x14ac:dyDescent="0.2">
      <c r="A317" s="8"/>
    </row>
    <row r="318" spans="1:1" ht="15.75" customHeight="1" x14ac:dyDescent="0.2">
      <c r="A318" s="8"/>
    </row>
    <row r="319" spans="1:1" ht="15.75" customHeight="1" x14ac:dyDescent="0.2">
      <c r="A319" s="8"/>
    </row>
    <row r="320" spans="1:1" ht="15.75" customHeight="1" x14ac:dyDescent="0.2">
      <c r="A320" s="8"/>
    </row>
    <row r="321" spans="1:1" ht="15.75" customHeight="1" x14ac:dyDescent="0.2">
      <c r="A321" s="8"/>
    </row>
    <row r="322" spans="1:1" ht="15.75" customHeight="1" x14ac:dyDescent="0.2">
      <c r="A322" s="8"/>
    </row>
    <row r="323" spans="1:1" ht="15.75" customHeight="1" x14ac:dyDescent="0.2">
      <c r="A323" s="8"/>
    </row>
    <row r="324" spans="1:1" ht="15.75" customHeight="1" x14ac:dyDescent="0.2">
      <c r="A324" s="8"/>
    </row>
    <row r="325" spans="1:1" ht="15.75" customHeight="1" x14ac:dyDescent="0.2">
      <c r="A325" s="8"/>
    </row>
    <row r="326" spans="1:1" ht="15.75" customHeight="1" x14ac:dyDescent="0.2">
      <c r="A326" s="8"/>
    </row>
    <row r="327" spans="1:1" ht="15.75" customHeight="1" x14ac:dyDescent="0.2">
      <c r="A327" s="8"/>
    </row>
    <row r="328" spans="1:1" ht="15.75" customHeight="1" x14ac:dyDescent="0.2">
      <c r="A328" s="8"/>
    </row>
    <row r="329" spans="1:1" ht="15.75" customHeight="1" x14ac:dyDescent="0.2">
      <c r="A329" s="8"/>
    </row>
    <row r="330" spans="1:1" ht="15.75" customHeight="1" x14ac:dyDescent="0.2">
      <c r="A330" s="8"/>
    </row>
    <row r="331" spans="1:1" ht="15.75" customHeight="1" x14ac:dyDescent="0.2">
      <c r="A331" s="8"/>
    </row>
    <row r="332" spans="1:1" ht="15.75" customHeight="1" x14ac:dyDescent="0.2">
      <c r="A332" s="8"/>
    </row>
    <row r="333" spans="1:1" ht="15.75" customHeight="1" x14ac:dyDescent="0.2">
      <c r="A333" s="8"/>
    </row>
    <row r="334" spans="1:1" ht="15.75" customHeight="1" x14ac:dyDescent="0.2">
      <c r="A334" s="8"/>
    </row>
    <row r="335" spans="1:1" ht="15.75" customHeight="1" x14ac:dyDescent="0.2">
      <c r="A335" s="8"/>
    </row>
    <row r="336" spans="1:1" ht="15.75" customHeight="1" x14ac:dyDescent="0.2">
      <c r="A336" s="8"/>
    </row>
    <row r="337" spans="1:1" ht="15.75" customHeight="1" x14ac:dyDescent="0.2">
      <c r="A337" s="8"/>
    </row>
    <row r="338" spans="1:1" ht="15.75" customHeight="1" x14ac:dyDescent="0.2">
      <c r="A338" s="8"/>
    </row>
    <row r="339" spans="1:1" ht="15.75" customHeight="1" x14ac:dyDescent="0.2">
      <c r="A339" s="8"/>
    </row>
    <row r="340" spans="1:1" ht="15.75" customHeight="1" x14ac:dyDescent="0.2">
      <c r="A340" s="8"/>
    </row>
    <row r="341" spans="1:1" ht="15.75" customHeight="1" x14ac:dyDescent="0.2">
      <c r="A341" s="8"/>
    </row>
    <row r="342" spans="1:1" ht="15.75" customHeight="1" x14ac:dyDescent="0.2">
      <c r="A342" s="8"/>
    </row>
    <row r="343" spans="1:1" ht="15.75" customHeight="1" x14ac:dyDescent="0.2">
      <c r="A343" s="8"/>
    </row>
    <row r="344" spans="1:1" ht="15.75" customHeight="1" x14ac:dyDescent="0.2">
      <c r="A344" s="8"/>
    </row>
    <row r="345" spans="1:1" ht="15.75" customHeight="1" x14ac:dyDescent="0.2">
      <c r="A345" s="8"/>
    </row>
    <row r="346" spans="1:1" ht="15.75" customHeight="1" x14ac:dyDescent="0.2">
      <c r="A346" s="8"/>
    </row>
    <row r="347" spans="1:1" ht="15.75" customHeight="1" x14ac:dyDescent="0.2">
      <c r="A347" s="8"/>
    </row>
    <row r="348" spans="1:1" ht="15.75" customHeight="1" x14ac:dyDescent="0.2">
      <c r="A348" s="8"/>
    </row>
    <row r="349" spans="1:1" ht="15.75" customHeight="1" x14ac:dyDescent="0.2">
      <c r="A349" s="8"/>
    </row>
    <row r="350" spans="1:1" ht="15.75" customHeight="1" x14ac:dyDescent="0.2">
      <c r="A350" s="8"/>
    </row>
    <row r="351" spans="1:1" ht="15.75" customHeight="1" x14ac:dyDescent="0.2">
      <c r="A351" s="8"/>
    </row>
    <row r="352" spans="1:1" ht="15.75" customHeight="1" x14ac:dyDescent="0.2">
      <c r="A352" s="8"/>
    </row>
    <row r="353" spans="1:1" ht="15.75" customHeight="1" x14ac:dyDescent="0.2">
      <c r="A353" s="8"/>
    </row>
    <row r="354" spans="1:1" ht="15.75" customHeight="1" x14ac:dyDescent="0.2">
      <c r="A354" s="8"/>
    </row>
    <row r="355" spans="1:1" ht="15.75" customHeight="1" x14ac:dyDescent="0.2">
      <c r="A355" s="8"/>
    </row>
    <row r="356" spans="1:1" ht="15.75" customHeight="1" x14ac:dyDescent="0.2">
      <c r="A356" s="8"/>
    </row>
    <row r="357" spans="1:1" ht="15.75" customHeight="1" x14ac:dyDescent="0.2">
      <c r="A357" s="8"/>
    </row>
    <row r="358" spans="1:1" ht="15.75" customHeight="1" x14ac:dyDescent="0.2">
      <c r="A358" s="8"/>
    </row>
    <row r="359" spans="1:1" ht="15.75" customHeight="1" x14ac:dyDescent="0.2">
      <c r="A359" s="8"/>
    </row>
    <row r="360" spans="1:1" ht="15.75" customHeight="1" x14ac:dyDescent="0.2">
      <c r="A360" s="8"/>
    </row>
    <row r="361" spans="1:1" ht="15.75" customHeight="1" x14ac:dyDescent="0.2">
      <c r="A361" s="8"/>
    </row>
    <row r="362" spans="1:1" ht="15.75" customHeight="1" x14ac:dyDescent="0.2">
      <c r="A362" s="8"/>
    </row>
    <row r="363" spans="1:1" ht="15.75" customHeight="1" x14ac:dyDescent="0.2">
      <c r="A363" s="8"/>
    </row>
    <row r="364" spans="1:1" ht="15.75" customHeight="1" x14ac:dyDescent="0.2">
      <c r="A364" s="8"/>
    </row>
    <row r="365" spans="1:1" ht="15.75" customHeight="1" x14ac:dyDescent="0.2">
      <c r="A365" s="8"/>
    </row>
    <row r="366" spans="1:1" ht="15.75" customHeight="1" x14ac:dyDescent="0.2">
      <c r="A366" s="8"/>
    </row>
    <row r="367" spans="1:1" ht="15.75" customHeight="1" x14ac:dyDescent="0.2">
      <c r="A367" s="8"/>
    </row>
    <row r="368" spans="1:1" ht="15.75" customHeight="1" x14ac:dyDescent="0.2">
      <c r="A368" s="8"/>
    </row>
    <row r="369" spans="1:1" ht="15.75" customHeight="1" x14ac:dyDescent="0.2">
      <c r="A369" s="8"/>
    </row>
    <row r="370" spans="1:1" ht="15.75" customHeight="1" x14ac:dyDescent="0.2">
      <c r="A370" s="8"/>
    </row>
    <row r="371" spans="1:1" ht="15.75" customHeight="1" x14ac:dyDescent="0.2">
      <c r="A371" s="8"/>
    </row>
    <row r="372" spans="1:1" ht="15.75" customHeight="1" x14ac:dyDescent="0.2">
      <c r="A372" s="8"/>
    </row>
    <row r="373" spans="1:1" ht="15.75" customHeight="1" x14ac:dyDescent="0.2">
      <c r="A373" s="8"/>
    </row>
    <row r="374" spans="1:1" ht="15.75" customHeight="1" x14ac:dyDescent="0.2">
      <c r="A374" s="8"/>
    </row>
    <row r="375" spans="1:1" ht="15.75" customHeight="1" x14ac:dyDescent="0.2">
      <c r="A375" s="8"/>
    </row>
    <row r="376" spans="1:1" ht="15.75" customHeight="1" x14ac:dyDescent="0.2">
      <c r="A376" s="8"/>
    </row>
    <row r="377" spans="1:1" ht="15.75" customHeight="1" x14ac:dyDescent="0.2">
      <c r="A377" s="8"/>
    </row>
    <row r="378" spans="1:1" ht="15.75" customHeight="1" x14ac:dyDescent="0.2">
      <c r="A378" s="8"/>
    </row>
    <row r="379" spans="1:1" ht="15.75" customHeight="1" x14ac:dyDescent="0.2">
      <c r="A379" s="8"/>
    </row>
    <row r="380" spans="1:1" ht="15.75" customHeight="1" x14ac:dyDescent="0.2">
      <c r="A380" s="8"/>
    </row>
    <row r="381" spans="1:1" ht="15.75" customHeight="1" x14ac:dyDescent="0.2">
      <c r="A381" s="8"/>
    </row>
    <row r="382" spans="1:1" ht="15.75" customHeight="1" x14ac:dyDescent="0.2">
      <c r="A382" s="8"/>
    </row>
    <row r="383" spans="1:1" ht="15.75" customHeight="1" x14ac:dyDescent="0.2">
      <c r="A383" s="8"/>
    </row>
    <row r="384" spans="1:1" ht="15.75" customHeight="1" x14ac:dyDescent="0.2">
      <c r="A384" s="8"/>
    </row>
    <row r="385" spans="1:1" ht="15.75" customHeight="1" x14ac:dyDescent="0.2">
      <c r="A385" s="8"/>
    </row>
    <row r="386" spans="1:1" ht="15.75" customHeight="1" x14ac:dyDescent="0.2">
      <c r="A386" s="8"/>
    </row>
    <row r="387" spans="1:1" ht="15.75" customHeight="1" x14ac:dyDescent="0.2">
      <c r="A387" s="8"/>
    </row>
    <row r="388" spans="1:1" ht="15.75" customHeight="1" x14ac:dyDescent="0.2">
      <c r="A388" s="8"/>
    </row>
    <row r="389" spans="1:1" ht="15.75" customHeight="1" x14ac:dyDescent="0.2">
      <c r="A389" s="8"/>
    </row>
    <row r="390" spans="1:1" ht="15.75" customHeight="1" x14ac:dyDescent="0.2">
      <c r="A390" s="8"/>
    </row>
    <row r="391" spans="1:1" ht="15.75" customHeight="1" x14ac:dyDescent="0.2">
      <c r="A391" s="8"/>
    </row>
    <row r="392" spans="1:1" ht="15.75" customHeight="1" x14ac:dyDescent="0.2">
      <c r="A392" s="8"/>
    </row>
    <row r="393" spans="1:1" ht="15.75" customHeight="1" x14ac:dyDescent="0.2">
      <c r="A393" s="8"/>
    </row>
    <row r="394" spans="1:1" ht="15.75" customHeight="1" x14ac:dyDescent="0.2">
      <c r="A394" s="8"/>
    </row>
    <row r="395" spans="1:1" ht="15.75" customHeight="1" x14ac:dyDescent="0.2">
      <c r="A395" s="8"/>
    </row>
    <row r="396" spans="1:1" ht="15.75" customHeight="1" x14ac:dyDescent="0.2">
      <c r="A396" s="8"/>
    </row>
    <row r="397" spans="1:1" ht="15.75" customHeight="1" x14ac:dyDescent="0.2">
      <c r="A397" s="8"/>
    </row>
    <row r="398" spans="1:1" ht="15.75" customHeight="1" x14ac:dyDescent="0.2">
      <c r="A398" s="8"/>
    </row>
    <row r="399" spans="1:1" ht="15.75" customHeight="1" x14ac:dyDescent="0.2">
      <c r="A399" s="8"/>
    </row>
    <row r="400" spans="1:1" ht="15.75" customHeight="1" x14ac:dyDescent="0.2">
      <c r="A400" s="8"/>
    </row>
    <row r="401" spans="1:1" ht="15.75" customHeight="1" x14ac:dyDescent="0.2">
      <c r="A401" s="8"/>
    </row>
    <row r="402" spans="1:1" ht="15.75" customHeight="1" x14ac:dyDescent="0.2">
      <c r="A402" s="8"/>
    </row>
    <row r="403" spans="1:1" ht="15.75" customHeight="1" x14ac:dyDescent="0.2">
      <c r="A403" s="8"/>
    </row>
    <row r="404" spans="1:1" ht="15.75" customHeight="1" x14ac:dyDescent="0.2">
      <c r="A404" s="8"/>
    </row>
    <row r="405" spans="1:1" ht="15.75" customHeight="1" x14ac:dyDescent="0.2">
      <c r="A405" s="8"/>
    </row>
    <row r="406" spans="1:1" ht="15.75" customHeight="1" x14ac:dyDescent="0.2">
      <c r="A406" s="8"/>
    </row>
    <row r="407" spans="1:1" ht="15.75" customHeight="1" x14ac:dyDescent="0.2">
      <c r="A407" s="8"/>
    </row>
    <row r="408" spans="1:1" ht="15.75" customHeight="1" x14ac:dyDescent="0.2">
      <c r="A408" s="8"/>
    </row>
    <row r="409" spans="1:1" ht="15.75" customHeight="1" x14ac:dyDescent="0.2">
      <c r="A409" s="8"/>
    </row>
    <row r="410" spans="1:1" ht="15.75" customHeight="1" x14ac:dyDescent="0.2">
      <c r="A410" s="8"/>
    </row>
    <row r="411" spans="1:1" ht="15.75" customHeight="1" x14ac:dyDescent="0.2">
      <c r="A411" s="8"/>
    </row>
    <row r="412" spans="1:1" ht="15.75" customHeight="1" x14ac:dyDescent="0.2">
      <c r="A412" s="8"/>
    </row>
    <row r="413" spans="1:1" ht="15.75" customHeight="1" x14ac:dyDescent="0.2">
      <c r="A413" s="8"/>
    </row>
    <row r="414" spans="1:1" ht="15.75" customHeight="1" x14ac:dyDescent="0.2">
      <c r="A414" s="8"/>
    </row>
    <row r="415" spans="1:1" ht="15.75" customHeight="1" x14ac:dyDescent="0.2">
      <c r="A415" s="8"/>
    </row>
    <row r="416" spans="1:1" ht="15.75" customHeight="1" x14ac:dyDescent="0.2">
      <c r="A416" s="8"/>
    </row>
    <row r="417" spans="1:1" ht="15.75" customHeight="1" x14ac:dyDescent="0.2">
      <c r="A417" s="8"/>
    </row>
    <row r="418" spans="1:1" ht="15.75" customHeight="1" x14ac:dyDescent="0.2">
      <c r="A418" s="8"/>
    </row>
    <row r="419" spans="1:1" ht="15.75" customHeight="1" x14ac:dyDescent="0.2">
      <c r="A419" s="8"/>
    </row>
    <row r="420" spans="1:1" ht="15.75" customHeight="1" x14ac:dyDescent="0.2">
      <c r="A420" s="8"/>
    </row>
    <row r="421" spans="1:1" ht="15.75" customHeight="1" x14ac:dyDescent="0.2">
      <c r="A421" s="8"/>
    </row>
    <row r="422" spans="1:1" ht="15.75" customHeight="1" x14ac:dyDescent="0.2">
      <c r="A422" s="8"/>
    </row>
    <row r="423" spans="1:1" ht="15.75" customHeight="1" x14ac:dyDescent="0.2">
      <c r="A423" s="8"/>
    </row>
    <row r="424" spans="1:1" ht="15.75" customHeight="1" x14ac:dyDescent="0.2">
      <c r="A424" s="8"/>
    </row>
    <row r="425" spans="1:1" ht="15.75" customHeight="1" x14ac:dyDescent="0.2">
      <c r="A425" s="8"/>
    </row>
    <row r="426" spans="1:1" ht="15.75" customHeight="1" x14ac:dyDescent="0.2">
      <c r="A426" s="8"/>
    </row>
    <row r="427" spans="1:1" ht="15.75" customHeight="1" x14ac:dyDescent="0.2">
      <c r="A427" s="8"/>
    </row>
    <row r="428" spans="1:1" ht="15.75" customHeight="1" x14ac:dyDescent="0.2">
      <c r="A428" s="8"/>
    </row>
    <row r="429" spans="1:1" ht="15.75" customHeight="1" x14ac:dyDescent="0.2">
      <c r="A429" s="8"/>
    </row>
    <row r="430" spans="1:1" ht="15.75" customHeight="1" x14ac:dyDescent="0.2">
      <c r="A430" s="8"/>
    </row>
    <row r="431" spans="1:1" ht="15.75" customHeight="1" x14ac:dyDescent="0.2">
      <c r="A431" s="8"/>
    </row>
    <row r="432" spans="1:1" ht="15.75" customHeight="1" x14ac:dyDescent="0.2">
      <c r="A432" s="8"/>
    </row>
    <row r="433" spans="1:1" ht="15.75" customHeight="1" x14ac:dyDescent="0.2">
      <c r="A433" s="8"/>
    </row>
    <row r="434" spans="1:1" ht="15.75" customHeight="1" x14ac:dyDescent="0.2">
      <c r="A434" s="8"/>
    </row>
    <row r="435" spans="1:1" ht="15.75" customHeight="1" x14ac:dyDescent="0.2">
      <c r="A435" s="8"/>
    </row>
    <row r="436" spans="1:1" ht="15.75" customHeight="1" x14ac:dyDescent="0.2">
      <c r="A436" s="8"/>
    </row>
    <row r="437" spans="1:1" ht="15.75" customHeight="1" x14ac:dyDescent="0.2">
      <c r="A437" s="8"/>
    </row>
    <row r="438" spans="1:1" ht="15.75" customHeight="1" x14ac:dyDescent="0.2">
      <c r="A438" s="8"/>
    </row>
    <row r="439" spans="1:1" ht="15.75" customHeight="1" x14ac:dyDescent="0.2">
      <c r="A439" s="8"/>
    </row>
    <row r="440" spans="1:1" ht="15.75" customHeight="1" x14ac:dyDescent="0.2">
      <c r="A440" s="8"/>
    </row>
    <row r="441" spans="1:1" ht="15.75" customHeight="1" x14ac:dyDescent="0.2">
      <c r="A441" s="8"/>
    </row>
    <row r="442" spans="1:1" ht="15.75" customHeight="1" x14ac:dyDescent="0.2">
      <c r="A442" s="8"/>
    </row>
    <row r="443" spans="1:1" ht="15.75" customHeight="1" x14ac:dyDescent="0.2">
      <c r="A443" s="8"/>
    </row>
    <row r="444" spans="1:1" ht="15.75" customHeight="1" x14ac:dyDescent="0.2">
      <c r="A444" s="8"/>
    </row>
    <row r="445" spans="1:1" ht="15.75" customHeight="1" x14ac:dyDescent="0.2">
      <c r="A445" s="8"/>
    </row>
    <row r="446" spans="1:1" ht="15.75" customHeight="1" x14ac:dyDescent="0.2">
      <c r="A446" s="8"/>
    </row>
    <row r="447" spans="1:1" ht="15.75" customHeight="1" x14ac:dyDescent="0.2">
      <c r="A447" s="8"/>
    </row>
    <row r="448" spans="1:1" ht="15.75" customHeight="1" x14ac:dyDescent="0.2">
      <c r="A448" s="8"/>
    </row>
    <row r="449" spans="1:1" ht="15.75" customHeight="1" x14ac:dyDescent="0.2">
      <c r="A449" s="8"/>
    </row>
    <row r="450" spans="1:1" ht="15.75" customHeight="1" x14ac:dyDescent="0.2">
      <c r="A450" s="8"/>
    </row>
    <row r="451" spans="1:1" ht="15.75" customHeight="1" x14ac:dyDescent="0.2">
      <c r="A451" s="8"/>
    </row>
    <row r="452" spans="1:1" ht="15.75" customHeight="1" x14ac:dyDescent="0.2">
      <c r="A452" s="8"/>
    </row>
    <row r="453" spans="1:1" ht="15.75" customHeight="1" x14ac:dyDescent="0.2">
      <c r="A453" s="8"/>
    </row>
    <row r="454" spans="1:1" ht="15.75" customHeight="1" x14ac:dyDescent="0.2">
      <c r="A454" s="8"/>
    </row>
    <row r="455" spans="1:1" ht="15.75" customHeight="1" x14ac:dyDescent="0.2">
      <c r="A455" s="8"/>
    </row>
    <row r="456" spans="1:1" ht="15.75" customHeight="1" x14ac:dyDescent="0.2">
      <c r="A456" s="8"/>
    </row>
    <row r="457" spans="1:1" ht="15.75" customHeight="1" x14ac:dyDescent="0.2">
      <c r="A457" s="8"/>
    </row>
    <row r="458" spans="1:1" ht="15.75" customHeight="1" x14ac:dyDescent="0.2">
      <c r="A458" s="8"/>
    </row>
    <row r="459" spans="1:1" ht="15.75" customHeight="1" x14ac:dyDescent="0.2">
      <c r="A459" s="8"/>
    </row>
    <row r="460" spans="1:1" ht="15.75" customHeight="1" x14ac:dyDescent="0.2">
      <c r="A460" s="8"/>
    </row>
    <row r="461" spans="1:1" ht="15.75" customHeight="1" x14ac:dyDescent="0.2">
      <c r="A461" s="8"/>
    </row>
    <row r="462" spans="1:1" ht="15.75" customHeight="1" x14ac:dyDescent="0.2">
      <c r="A462" s="8"/>
    </row>
    <row r="463" spans="1:1" ht="15.75" customHeight="1" x14ac:dyDescent="0.2">
      <c r="A463" s="8"/>
    </row>
    <row r="464" spans="1:1" ht="15.75" customHeight="1" x14ac:dyDescent="0.2">
      <c r="A464" s="8"/>
    </row>
    <row r="465" spans="1:1" ht="15.75" customHeight="1" x14ac:dyDescent="0.2">
      <c r="A465" s="8"/>
    </row>
    <row r="466" spans="1:1" ht="15.75" customHeight="1" x14ac:dyDescent="0.2">
      <c r="A466" s="8"/>
    </row>
    <row r="467" spans="1:1" ht="15.75" customHeight="1" x14ac:dyDescent="0.2">
      <c r="A467" s="8"/>
    </row>
    <row r="468" spans="1:1" ht="15.75" customHeight="1" x14ac:dyDescent="0.2">
      <c r="A468" s="8"/>
    </row>
    <row r="469" spans="1:1" ht="15.75" customHeight="1" x14ac:dyDescent="0.2">
      <c r="A469" s="8"/>
    </row>
    <row r="470" spans="1:1" ht="15.75" customHeight="1" x14ac:dyDescent="0.2">
      <c r="A470" s="8"/>
    </row>
    <row r="471" spans="1:1" ht="15.75" customHeight="1" x14ac:dyDescent="0.2">
      <c r="A471" s="8"/>
    </row>
    <row r="472" spans="1:1" ht="15.75" customHeight="1" x14ac:dyDescent="0.2">
      <c r="A472" s="8"/>
    </row>
    <row r="473" spans="1:1" ht="15.75" customHeight="1" x14ac:dyDescent="0.2">
      <c r="A473" s="8"/>
    </row>
    <row r="474" spans="1:1" ht="15.75" customHeight="1" x14ac:dyDescent="0.2">
      <c r="A474" s="8"/>
    </row>
    <row r="475" spans="1:1" ht="15.75" customHeight="1" x14ac:dyDescent="0.2">
      <c r="A475" s="8"/>
    </row>
    <row r="476" spans="1:1" ht="15.75" customHeight="1" x14ac:dyDescent="0.2">
      <c r="A476" s="8"/>
    </row>
    <row r="477" spans="1:1" ht="15.75" customHeight="1" x14ac:dyDescent="0.2">
      <c r="A477" s="8"/>
    </row>
    <row r="478" spans="1:1" ht="15.75" customHeight="1" x14ac:dyDescent="0.2">
      <c r="A478" s="8"/>
    </row>
    <row r="479" spans="1:1" ht="15.75" customHeight="1" x14ac:dyDescent="0.2">
      <c r="A479" s="8"/>
    </row>
    <row r="480" spans="1:1" ht="15.75" customHeight="1" x14ac:dyDescent="0.2">
      <c r="A480" s="8"/>
    </row>
    <row r="481" spans="1:1" ht="15.75" customHeight="1" x14ac:dyDescent="0.2">
      <c r="A481" s="8"/>
    </row>
    <row r="482" spans="1:1" ht="15.75" customHeight="1" x14ac:dyDescent="0.2">
      <c r="A482" s="8"/>
    </row>
    <row r="483" spans="1:1" ht="15.75" customHeight="1" x14ac:dyDescent="0.2">
      <c r="A483" s="8"/>
    </row>
    <row r="484" spans="1:1" ht="15.75" customHeight="1" x14ac:dyDescent="0.2">
      <c r="A484" s="8"/>
    </row>
    <row r="485" spans="1:1" ht="15.75" customHeight="1" x14ac:dyDescent="0.2">
      <c r="A485" s="8"/>
    </row>
    <row r="486" spans="1:1" ht="15.75" customHeight="1" x14ac:dyDescent="0.2">
      <c r="A486" s="8"/>
    </row>
    <row r="487" spans="1:1" ht="15.75" customHeight="1" x14ac:dyDescent="0.2">
      <c r="A487" s="8"/>
    </row>
    <row r="488" spans="1:1" ht="15.75" customHeight="1" x14ac:dyDescent="0.2">
      <c r="A488" s="8"/>
    </row>
    <row r="489" spans="1:1" ht="15.75" customHeight="1" x14ac:dyDescent="0.2">
      <c r="A489" s="8"/>
    </row>
    <row r="490" spans="1:1" ht="15.75" customHeight="1" x14ac:dyDescent="0.2">
      <c r="A490" s="8"/>
    </row>
    <row r="491" spans="1:1" ht="15.75" customHeight="1" x14ac:dyDescent="0.2">
      <c r="A491" s="8"/>
    </row>
    <row r="492" spans="1:1" ht="15.75" customHeight="1" x14ac:dyDescent="0.2">
      <c r="A492" s="8"/>
    </row>
    <row r="493" spans="1:1" ht="15.75" customHeight="1" x14ac:dyDescent="0.2">
      <c r="A493" s="8"/>
    </row>
    <row r="494" spans="1:1" ht="15.75" customHeight="1" x14ac:dyDescent="0.2">
      <c r="A494" s="8"/>
    </row>
    <row r="495" spans="1:1" ht="15.75" customHeight="1" x14ac:dyDescent="0.2">
      <c r="A495" s="8"/>
    </row>
    <row r="496" spans="1:1" ht="15.75" customHeight="1" x14ac:dyDescent="0.2">
      <c r="A496" s="8"/>
    </row>
    <row r="497" spans="1:1" ht="15.75" customHeight="1" x14ac:dyDescent="0.2">
      <c r="A497" s="8"/>
    </row>
    <row r="498" spans="1:1" ht="15.75" customHeight="1" x14ac:dyDescent="0.2">
      <c r="A498" s="8"/>
    </row>
    <row r="499" spans="1:1" ht="15.75" customHeight="1" x14ac:dyDescent="0.2">
      <c r="A499" s="8"/>
    </row>
    <row r="500" spans="1:1" ht="15.75" customHeight="1" x14ac:dyDescent="0.2">
      <c r="A500" s="8"/>
    </row>
    <row r="501" spans="1:1" ht="15.75" customHeight="1" x14ac:dyDescent="0.2">
      <c r="A501" s="8"/>
    </row>
    <row r="502" spans="1:1" ht="15.75" customHeight="1" x14ac:dyDescent="0.2">
      <c r="A502" s="8"/>
    </row>
    <row r="503" spans="1:1" ht="15.75" customHeight="1" x14ac:dyDescent="0.2">
      <c r="A503" s="8"/>
    </row>
    <row r="504" spans="1:1" ht="15.75" customHeight="1" x14ac:dyDescent="0.2">
      <c r="A504" s="8"/>
    </row>
    <row r="505" spans="1:1" ht="15.75" customHeight="1" x14ac:dyDescent="0.2">
      <c r="A505" s="8"/>
    </row>
    <row r="506" spans="1:1" ht="15.75" customHeight="1" x14ac:dyDescent="0.2">
      <c r="A506" s="8"/>
    </row>
    <row r="507" spans="1:1" ht="15.75" customHeight="1" x14ac:dyDescent="0.2">
      <c r="A507" s="8"/>
    </row>
    <row r="508" spans="1:1" ht="15.75" customHeight="1" x14ac:dyDescent="0.2">
      <c r="A508" s="8"/>
    </row>
    <row r="509" spans="1:1" ht="15.75" customHeight="1" x14ac:dyDescent="0.2">
      <c r="A509" s="8"/>
    </row>
    <row r="510" spans="1:1" ht="15.75" customHeight="1" x14ac:dyDescent="0.2">
      <c r="A510" s="8"/>
    </row>
    <row r="511" spans="1:1" ht="15.75" customHeight="1" x14ac:dyDescent="0.2">
      <c r="A511" s="8"/>
    </row>
    <row r="512" spans="1:1" ht="15.75" customHeight="1" x14ac:dyDescent="0.2">
      <c r="A512" s="8"/>
    </row>
    <row r="513" spans="1:1" ht="15.75" customHeight="1" x14ac:dyDescent="0.2">
      <c r="A513" s="8"/>
    </row>
    <row r="514" spans="1:1" ht="15.75" customHeight="1" x14ac:dyDescent="0.2">
      <c r="A514" s="8"/>
    </row>
    <row r="515" spans="1:1" ht="15.75" customHeight="1" x14ac:dyDescent="0.2">
      <c r="A515" s="8"/>
    </row>
    <row r="516" spans="1:1" ht="15.75" customHeight="1" x14ac:dyDescent="0.2">
      <c r="A516" s="8"/>
    </row>
    <row r="517" spans="1:1" ht="15.75" customHeight="1" x14ac:dyDescent="0.2">
      <c r="A517" s="8"/>
    </row>
    <row r="518" spans="1:1" ht="15.75" customHeight="1" x14ac:dyDescent="0.2">
      <c r="A518" s="8"/>
    </row>
    <row r="519" spans="1:1" ht="15.75" customHeight="1" x14ac:dyDescent="0.2">
      <c r="A519" s="8"/>
    </row>
    <row r="520" spans="1:1" ht="15.75" customHeight="1" x14ac:dyDescent="0.2">
      <c r="A520" s="8"/>
    </row>
    <row r="521" spans="1:1" ht="15.75" customHeight="1" x14ac:dyDescent="0.2">
      <c r="A521" s="8"/>
    </row>
    <row r="522" spans="1:1" ht="15.75" customHeight="1" x14ac:dyDescent="0.2">
      <c r="A522" s="8"/>
    </row>
    <row r="523" spans="1:1" ht="15.75" customHeight="1" x14ac:dyDescent="0.2">
      <c r="A523" s="8"/>
    </row>
    <row r="524" spans="1:1" ht="15.75" customHeight="1" x14ac:dyDescent="0.2">
      <c r="A524" s="8"/>
    </row>
    <row r="525" spans="1:1" ht="15.75" customHeight="1" x14ac:dyDescent="0.2">
      <c r="A525" s="8"/>
    </row>
    <row r="526" spans="1:1" ht="15.75" customHeight="1" x14ac:dyDescent="0.2">
      <c r="A526" s="8"/>
    </row>
    <row r="527" spans="1:1" ht="15.75" customHeight="1" x14ac:dyDescent="0.2">
      <c r="A527" s="8"/>
    </row>
    <row r="528" spans="1:1" ht="15.75" customHeight="1" x14ac:dyDescent="0.2">
      <c r="A528" s="8"/>
    </row>
    <row r="529" spans="1:1" ht="15.75" customHeight="1" x14ac:dyDescent="0.2">
      <c r="A529" s="8"/>
    </row>
    <row r="530" spans="1:1" ht="15.75" customHeight="1" x14ac:dyDescent="0.2">
      <c r="A530" s="8"/>
    </row>
    <row r="531" spans="1:1" ht="15.75" customHeight="1" x14ac:dyDescent="0.2">
      <c r="A531" s="8"/>
    </row>
    <row r="532" spans="1:1" ht="15.75" customHeight="1" x14ac:dyDescent="0.2">
      <c r="A532" s="8"/>
    </row>
    <row r="533" spans="1:1" ht="15.75" customHeight="1" x14ac:dyDescent="0.2">
      <c r="A533" s="8"/>
    </row>
    <row r="534" spans="1:1" ht="15.75" customHeight="1" x14ac:dyDescent="0.2">
      <c r="A534" s="8"/>
    </row>
    <row r="535" spans="1:1" ht="15.75" customHeight="1" x14ac:dyDescent="0.2">
      <c r="A535" s="8"/>
    </row>
    <row r="536" spans="1:1" ht="15.75" customHeight="1" x14ac:dyDescent="0.2">
      <c r="A536" s="8"/>
    </row>
    <row r="537" spans="1:1" ht="15.75" customHeight="1" x14ac:dyDescent="0.2">
      <c r="A537" s="8"/>
    </row>
    <row r="538" spans="1:1" ht="15.75" customHeight="1" x14ac:dyDescent="0.2">
      <c r="A538" s="8"/>
    </row>
    <row r="539" spans="1:1" ht="15.75" customHeight="1" x14ac:dyDescent="0.2">
      <c r="A539" s="8"/>
    </row>
    <row r="540" spans="1:1" ht="15.75" customHeight="1" x14ac:dyDescent="0.2">
      <c r="A540" s="8"/>
    </row>
    <row r="541" spans="1:1" ht="15.75" customHeight="1" x14ac:dyDescent="0.2">
      <c r="A541" s="8"/>
    </row>
    <row r="542" spans="1:1" ht="15.75" customHeight="1" x14ac:dyDescent="0.2">
      <c r="A542" s="8"/>
    </row>
    <row r="543" spans="1:1" ht="15.75" customHeight="1" x14ac:dyDescent="0.2">
      <c r="A543" s="8"/>
    </row>
    <row r="544" spans="1:1" ht="15.75" customHeight="1" x14ac:dyDescent="0.2">
      <c r="A544" s="8"/>
    </row>
    <row r="545" spans="1:1" ht="15.75" customHeight="1" x14ac:dyDescent="0.2">
      <c r="A545" s="8"/>
    </row>
    <row r="546" spans="1:1" ht="15.75" customHeight="1" x14ac:dyDescent="0.2">
      <c r="A546" s="8"/>
    </row>
    <row r="547" spans="1:1" ht="15.75" customHeight="1" x14ac:dyDescent="0.2">
      <c r="A547" s="8"/>
    </row>
    <row r="548" spans="1:1" ht="15.75" customHeight="1" x14ac:dyDescent="0.2">
      <c r="A548" s="8"/>
    </row>
    <row r="549" spans="1:1" ht="15.75" customHeight="1" x14ac:dyDescent="0.2">
      <c r="A549" s="8"/>
    </row>
    <row r="550" spans="1:1" ht="15.75" customHeight="1" x14ac:dyDescent="0.2">
      <c r="A550" s="8"/>
    </row>
    <row r="551" spans="1:1" ht="15.75" customHeight="1" x14ac:dyDescent="0.2">
      <c r="A551" s="8"/>
    </row>
    <row r="552" spans="1:1" ht="15.75" customHeight="1" x14ac:dyDescent="0.2">
      <c r="A552" s="8"/>
    </row>
    <row r="553" spans="1:1" ht="15.75" customHeight="1" x14ac:dyDescent="0.2">
      <c r="A553" s="8"/>
    </row>
    <row r="554" spans="1:1" ht="15.75" customHeight="1" x14ac:dyDescent="0.2">
      <c r="A554" s="8"/>
    </row>
    <row r="555" spans="1:1" ht="15.75" customHeight="1" x14ac:dyDescent="0.2">
      <c r="A555" s="8"/>
    </row>
    <row r="556" spans="1:1" ht="15.75" customHeight="1" x14ac:dyDescent="0.2">
      <c r="A556" s="8"/>
    </row>
    <row r="557" spans="1:1" ht="15.75" customHeight="1" x14ac:dyDescent="0.2">
      <c r="A557" s="8"/>
    </row>
    <row r="558" spans="1:1" ht="15.75" customHeight="1" x14ac:dyDescent="0.2">
      <c r="A558" s="8"/>
    </row>
    <row r="559" spans="1:1" ht="15.75" customHeight="1" x14ac:dyDescent="0.2">
      <c r="A559" s="8"/>
    </row>
    <row r="560" spans="1:1" ht="15.75" customHeight="1" x14ac:dyDescent="0.2">
      <c r="A560" s="8"/>
    </row>
    <row r="561" spans="1:1" ht="15.75" customHeight="1" x14ac:dyDescent="0.2">
      <c r="A561" s="8"/>
    </row>
    <row r="562" spans="1:1" ht="15.75" customHeight="1" x14ac:dyDescent="0.2">
      <c r="A562" s="8"/>
    </row>
    <row r="563" spans="1:1" ht="15.75" customHeight="1" x14ac:dyDescent="0.2">
      <c r="A563" s="8"/>
    </row>
    <row r="564" spans="1:1" ht="15.75" customHeight="1" x14ac:dyDescent="0.2">
      <c r="A564" s="8"/>
    </row>
    <row r="565" spans="1:1" ht="15.75" customHeight="1" x14ac:dyDescent="0.2">
      <c r="A565" s="8"/>
    </row>
    <row r="566" spans="1:1" ht="15.75" customHeight="1" x14ac:dyDescent="0.2">
      <c r="A566" s="8"/>
    </row>
    <row r="567" spans="1:1" ht="15.75" customHeight="1" x14ac:dyDescent="0.2">
      <c r="A567" s="8"/>
    </row>
    <row r="568" spans="1:1" ht="15.75" customHeight="1" x14ac:dyDescent="0.2">
      <c r="A568" s="8"/>
    </row>
    <row r="569" spans="1:1" ht="15.75" customHeight="1" x14ac:dyDescent="0.2">
      <c r="A569" s="8"/>
    </row>
    <row r="570" spans="1:1" ht="15.75" customHeight="1" x14ac:dyDescent="0.2">
      <c r="A570" s="8"/>
    </row>
    <row r="571" spans="1:1" ht="15.75" customHeight="1" x14ac:dyDescent="0.2">
      <c r="A571" s="8"/>
    </row>
    <row r="572" spans="1:1" ht="15.75" customHeight="1" x14ac:dyDescent="0.2">
      <c r="A572" s="8"/>
    </row>
    <row r="573" spans="1:1" ht="15.75" customHeight="1" x14ac:dyDescent="0.2">
      <c r="A573" s="8"/>
    </row>
    <row r="574" spans="1:1" ht="15.75" customHeight="1" x14ac:dyDescent="0.2">
      <c r="A574" s="8"/>
    </row>
    <row r="575" spans="1:1" ht="15.75" customHeight="1" x14ac:dyDescent="0.2">
      <c r="A575" s="8"/>
    </row>
    <row r="576" spans="1:1" ht="15.75" customHeight="1" x14ac:dyDescent="0.2">
      <c r="A576" s="8"/>
    </row>
    <row r="577" spans="1:1" ht="15.75" customHeight="1" x14ac:dyDescent="0.2">
      <c r="A577" s="8"/>
    </row>
    <row r="578" spans="1:1" ht="15.75" customHeight="1" x14ac:dyDescent="0.2">
      <c r="A578" s="8"/>
    </row>
    <row r="579" spans="1:1" ht="15.75" customHeight="1" x14ac:dyDescent="0.2">
      <c r="A579" s="8"/>
    </row>
    <row r="580" spans="1:1" ht="15.75" customHeight="1" x14ac:dyDescent="0.2">
      <c r="A580" s="8"/>
    </row>
    <row r="581" spans="1:1" ht="15.75" customHeight="1" x14ac:dyDescent="0.2">
      <c r="A581" s="8"/>
    </row>
    <row r="582" spans="1:1" ht="15.75" customHeight="1" x14ac:dyDescent="0.2">
      <c r="A582" s="8"/>
    </row>
    <row r="583" spans="1:1" ht="15.75" customHeight="1" x14ac:dyDescent="0.2">
      <c r="A583" s="8"/>
    </row>
    <row r="584" spans="1:1" ht="15.75" customHeight="1" x14ac:dyDescent="0.2">
      <c r="A584" s="8"/>
    </row>
    <row r="585" spans="1:1" ht="15.75" customHeight="1" x14ac:dyDescent="0.2">
      <c r="A585" s="8"/>
    </row>
    <row r="586" spans="1:1" ht="15.75" customHeight="1" x14ac:dyDescent="0.2">
      <c r="A586" s="8"/>
    </row>
    <row r="587" spans="1:1" ht="15.75" customHeight="1" x14ac:dyDescent="0.2">
      <c r="A587" s="8"/>
    </row>
    <row r="588" spans="1:1" ht="15.75" customHeight="1" x14ac:dyDescent="0.2">
      <c r="A588" s="8"/>
    </row>
    <row r="589" spans="1:1" ht="15.75" customHeight="1" x14ac:dyDescent="0.2">
      <c r="A589" s="8"/>
    </row>
    <row r="590" spans="1:1" ht="15.75" customHeight="1" x14ac:dyDescent="0.2">
      <c r="A590" s="8"/>
    </row>
    <row r="591" spans="1:1" ht="15.75" customHeight="1" x14ac:dyDescent="0.2">
      <c r="A591" s="8"/>
    </row>
    <row r="592" spans="1:1" ht="15.75" customHeight="1" x14ac:dyDescent="0.2">
      <c r="A592" s="8"/>
    </row>
    <row r="593" spans="1:1" ht="15.75" customHeight="1" x14ac:dyDescent="0.2">
      <c r="A593" s="8"/>
    </row>
    <row r="594" spans="1:1" ht="15.75" customHeight="1" x14ac:dyDescent="0.2">
      <c r="A594" s="8"/>
    </row>
    <row r="595" spans="1:1" ht="15.75" customHeight="1" x14ac:dyDescent="0.2">
      <c r="A595" s="8"/>
    </row>
    <row r="596" spans="1:1" ht="15.75" customHeight="1" x14ac:dyDescent="0.2">
      <c r="A596" s="8"/>
    </row>
    <row r="597" spans="1:1" ht="15.75" customHeight="1" x14ac:dyDescent="0.2">
      <c r="A597" s="8"/>
    </row>
    <row r="598" spans="1:1" ht="15.75" customHeight="1" x14ac:dyDescent="0.2">
      <c r="A598" s="8"/>
    </row>
    <row r="599" spans="1:1" ht="15.75" customHeight="1" x14ac:dyDescent="0.2">
      <c r="A599" s="8"/>
    </row>
    <row r="600" spans="1:1" ht="15.75" customHeight="1" x14ac:dyDescent="0.2">
      <c r="A600" s="8"/>
    </row>
    <row r="601" spans="1:1" ht="15.75" customHeight="1" x14ac:dyDescent="0.2">
      <c r="A601" s="8"/>
    </row>
    <row r="602" spans="1:1" ht="15.75" customHeight="1" x14ac:dyDescent="0.2">
      <c r="A602" s="8"/>
    </row>
    <row r="603" spans="1:1" ht="15.75" customHeight="1" x14ac:dyDescent="0.2">
      <c r="A603" s="8"/>
    </row>
    <row r="604" spans="1:1" ht="15.75" customHeight="1" x14ac:dyDescent="0.2">
      <c r="A604" s="8"/>
    </row>
    <row r="605" spans="1:1" ht="15.75" customHeight="1" x14ac:dyDescent="0.2">
      <c r="A605" s="8"/>
    </row>
    <row r="606" spans="1:1" ht="15.75" customHeight="1" x14ac:dyDescent="0.2">
      <c r="A606" s="8"/>
    </row>
    <row r="607" spans="1:1" ht="15.75" customHeight="1" x14ac:dyDescent="0.2">
      <c r="A607" s="8"/>
    </row>
    <row r="608" spans="1:1" ht="15.75" customHeight="1" x14ac:dyDescent="0.2">
      <c r="A608" s="8"/>
    </row>
    <row r="609" spans="1:1" ht="15.75" customHeight="1" x14ac:dyDescent="0.2">
      <c r="A609" s="8"/>
    </row>
    <row r="610" spans="1:1" ht="15.75" customHeight="1" x14ac:dyDescent="0.2">
      <c r="A610" s="8"/>
    </row>
    <row r="611" spans="1:1" ht="15.75" customHeight="1" x14ac:dyDescent="0.2">
      <c r="A611" s="8"/>
    </row>
    <row r="612" spans="1:1" ht="15.75" customHeight="1" x14ac:dyDescent="0.2">
      <c r="A612" s="8"/>
    </row>
    <row r="613" spans="1:1" ht="15.75" customHeight="1" x14ac:dyDescent="0.2">
      <c r="A613" s="8"/>
    </row>
    <row r="614" spans="1:1" ht="15.75" customHeight="1" x14ac:dyDescent="0.2">
      <c r="A614" s="8"/>
    </row>
    <row r="615" spans="1:1" ht="15.75" customHeight="1" x14ac:dyDescent="0.2">
      <c r="A615" s="8"/>
    </row>
    <row r="616" spans="1:1" ht="15.75" customHeight="1" x14ac:dyDescent="0.2">
      <c r="A616" s="8"/>
    </row>
    <row r="617" spans="1:1" ht="15.75" customHeight="1" x14ac:dyDescent="0.2">
      <c r="A617" s="8"/>
    </row>
    <row r="618" spans="1:1" ht="15.75" customHeight="1" x14ac:dyDescent="0.2">
      <c r="A618" s="8"/>
    </row>
    <row r="619" spans="1:1" ht="15.75" customHeight="1" x14ac:dyDescent="0.2">
      <c r="A619" s="8"/>
    </row>
    <row r="620" spans="1:1" ht="15.75" customHeight="1" x14ac:dyDescent="0.2">
      <c r="A620" s="8"/>
    </row>
    <row r="621" spans="1:1" ht="15.75" customHeight="1" x14ac:dyDescent="0.2">
      <c r="A621" s="8"/>
    </row>
    <row r="622" spans="1:1" ht="15.75" customHeight="1" x14ac:dyDescent="0.2">
      <c r="A622" s="8"/>
    </row>
    <row r="623" spans="1:1" ht="15.75" customHeight="1" x14ac:dyDescent="0.2">
      <c r="A623" s="8"/>
    </row>
    <row r="624" spans="1:1" ht="15.75" customHeight="1" x14ac:dyDescent="0.2">
      <c r="A624" s="8"/>
    </row>
    <row r="625" spans="1:1" ht="15.75" customHeight="1" x14ac:dyDescent="0.2">
      <c r="A625" s="8"/>
    </row>
    <row r="626" spans="1:1" ht="15.75" customHeight="1" x14ac:dyDescent="0.2">
      <c r="A626" s="8"/>
    </row>
    <row r="627" spans="1:1" ht="15.75" customHeight="1" x14ac:dyDescent="0.2">
      <c r="A627" s="8"/>
    </row>
    <row r="628" spans="1:1" ht="15.75" customHeight="1" x14ac:dyDescent="0.2">
      <c r="A628" s="8"/>
    </row>
    <row r="629" spans="1:1" ht="15.75" customHeight="1" x14ac:dyDescent="0.2">
      <c r="A629" s="8"/>
    </row>
    <row r="630" spans="1:1" ht="15.75" customHeight="1" x14ac:dyDescent="0.2">
      <c r="A630" s="8"/>
    </row>
    <row r="631" spans="1:1" ht="15.75" customHeight="1" x14ac:dyDescent="0.2">
      <c r="A631" s="8"/>
    </row>
    <row r="632" spans="1:1" ht="15.75" customHeight="1" x14ac:dyDescent="0.2">
      <c r="A632" s="8"/>
    </row>
    <row r="633" spans="1:1" ht="15.75" customHeight="1" x14ac:dyDescent="0.2">
      <c r="A633" s="8"/>
    </row>
    <row r="634" spans="1:1" ht="15.75" customHeight="1" x14ac:dyDescent="0.2">
      <c r="A634" s="8"/>
    </row>
    <row r="635" spans="1:1" ht="15.75" customHeight="1" x14ac:dyDescent="0.2">
      <c r="A635" s="8"/>
    </row>
    <row r="636" spans="1:1" ht="15.75" customHeight="1" x14ac:dyDescent="0.2">
      <c r="A636" s="8"/>
    </row>
    <row r="637" spans="1:1" ht="15.75" customHeight="1" x14ac:dyDescent="0.2">
      <c r="A637" s="8"/>
    </row>
    <row r="638" spans="1:1" ht="15.75" customHeight="1" x14ac:dyDescent="0.2">
      <c r="A638" s="8"/>
    </row>
    <row r="639" spans="1:1" ht="15.75" customHeight="1" x14ac:dyDescent="0.2">
      <c r="A639" s="8"/>
    </row>
    <row r="640" spans="1:1" ht="15.75" customHeight="1" x14ac:dyDescent="0.2">
      <c r="A640" s="8"/>
    </row>
    <row r="641" spans="1:1" ht="15.75" customHeight="1" x14ac:dyDescent="0.2">
      <c r="A641" s="8"/>
    </row>
    <row r="642" spans="1:1" ht="15.75" customHeight="1" x14ac:dyDescent="0.2">
      <c r="A642" s="8"/>
    </row>
    <row r="643" spans="1:1" ht="15.75" customHeight="1" x14ac:dyDescent="0.2">
      <c r="A643" s="8"/>
    </row>
    <row r="644" spans="1:1" ht="15.75" customHeight="1" x14ac:dyDescent="0.2">
      <c r="A644" s="8"/>
    </row>
    <row r="645" spans="1:1" ht="15.75" customHeight="1" x14ac:dyDescent="0.2">
      <c r="A645" s="8"/>
    </row>
    <row r="646" spans="1:1" ht="15.75" customHeight="1" x14ac:dyDescent="0.2">
      <c r="A646" s="8"/>
    </row>
    <row r="647" spans="1:1" ht="15.75" customHeight="1" x14ac:dyDescent="0.2">
      <c r="A647" s="8"/>
    </row>
    <row r="648" spans="1:1" ht="15.75" customHeight="1" x14ac:dyDescent="0.2">
      <c r="A648" s="8"/>
    </row>
    <row r="649" spans="1:1" ht="15.75" customHeight="1" x14ac:dyDescent="0.2">
      <c r="A649" s="8"/>
    </row>
    <row r="650" spans="1:1" ht="15.75" customHeight="1" x14ac:dyDescent="0.2">
      <c r="A650" s="8"/>
    </row>
    <row r="651" spans="1:1" ht="15.75" customHeight="1" x14ac:dyDescent="0.2">
      <c r="A651" s="8"/>
    </row>
    <row r="652" spans="1:1" ht="15.75" customHeight="1" x14ac:dyDescent="0.2">
      <c r="A652" s="8"/>
    </row>
    <row r="653" spans="1:1" ht="15.75" customHeight="1" x14ac:dyDescent="0.2">
      <c r="A653" s="8"/>
    </row>
    <row r="654" spans="1:1" ht="15.75" customHeight="1" x14ac:dyDescent="0.2">
      <c r="A654" s="8"/>
    </row>
    <row r="655" spans="1:1" ht="15.75" customHeight="1" x14ac:dyDescent="0.2">
      <c r="A655" s="8"/>
    </row>
    <row r="656" spans="1:1" ht="15.75" customHeight="1" x14ac:dyDescent="0.2">
      <c r="A656" s="8"/>
    </row>
    <row r="657" spans="1:1" ht="15.75" customHeight="1" x14ac:dyDescent="0.2">
      <c r="A657" s="8"/>
    </row>
    <row r="658" spans="1:1" ht="15.75" customHeight="1" x14ac:dyDescent="0.2">
      <c r="A658" s="8"/>
    </row>
    <row r="659" spans="1:1" ht="15.75" customHeight="1" x14ac:dyDescent="0.2">
      <c r="A659" s="8"/>
    </row>
    <row r="660" spans="1:1" ht="15.75" customHeight="1" x14ac:dyDescent="0.2">
      <c r="A660" s="8"/>
    </row>
    <row r="661" spans="1:1" ht="15.75" customHeight="1" x14ac:dyDescent="0.2">
      <c r="A661" s="8"/>
    </row>
    <row r="662" spans="1:1" ht="15.75" customHeight="1" x14ac:dyDescent="0.2">
      <c r="A662" s="8"/>
    </row>
    <row r="663" spans="1:1" ht="15.75" customHeight="1" x14ac:dyDescent="0.2">
      <c r="A663" s="8"/>
    </row>
    <row r="664" spans="1:1" ht="15.75" customHeight="1" x14ac:dyDescent="0.2">
      <c r="A664" s="8"/>
    </row>
    <row r="665" spans="1:1" ht="15.75" customHeight="1" x14ac:dyDescent="0.2">
      <c r="A665" s="8"/>
    </row>
    <row r="666" spans="1:1" ht="15.75" customHeight="1" x14ac:dyDescent="0.2">
      <c r="A666" s="8"/>
    </row>
    <row r="667" spans="1:1" ht="15.75" customHeight="1" x14ac:dyDescent="0.2">
      <c r="A667" s="8"/>
    </row>
    <row r="668" spans="1:1" ht="15.75" customHeight="1" x14ac:dyDescent="0.2">
      <c r="A668" s="8"/>
    </row>
    <row r="669" spans="1:1" ht="15.75" customHeight="1" x14ac:dyDescent="0.2">
      <c r="A669" s="8"/>
    </row>
    <row r="670" spans="1:1" ht="15.75" customHeight="1" x14ac:dyDescent="0.2">
      <c r="A670" s="8"/>
    </row>
    <row r="671" spans="1:1" ht="15.75" customHeight="1" x14ac:dyDescent="0.2">
      <c r="A671" s="8"/>
    </row>
    <row r="672" spans="1:1" ht="15.75" customHeight="1" x14ac:dyDescent="0.2">
      <c r="A672" s="8"/>
    </row>
    <row r="673" spans="1:1" ht="15.75" customHeight="1" x14ac:dyDescent="0.2">
      <c r="A673" s="8"/>
    </row>
    <row r="674" spans="1:1" ht="15.75" customHeight="1" x14ac:dyDescent="0.2">
      <c r="A674" s="8"/>
    </row>
    <row r="675" spans="1:1" ht="15.75" customHeight="1" x14ac:dyDescent="0.2">
      <c r="A675" s="8"/>
    </row>
    <row r="676" spans="1:1" ht="15.75" customHeight="1" x14ac:dyDescent="0.2">
      <c r="A676" s="8"/>
    </row>
    <row r="677" spans="1:1" ht="15.75" customHeight="1" x14ac:dyDescent="0.2">
      <c r="A677" s="8"/>
    </row>
    <row r="678" spans="1:1" ht="15.75" customHeight="1" x14ac:dyDescent="0.2">
      <c r="A678" s="8"/>
    </row>
    <row r="679" spans="1:1" ht="15.75" customHeight="1" x14ac:dyDescent="0.2">
      <c r="A679" s="8"/>
    </row>
    <row r="680" spans="1:1" ht="15.75" customHeight="1" x14ac:dyDescent="0.2">
      <c r="A680" s="8"/>
    </row>
    <row r="681" spans="1:1" ht="15.75" customHeight="1" x14ac:dyDescent="0.2">
      <c r="A681" s="8"/>
    </row>
    <row r="682" spans="1:1" ht="15.75" customHeight="1" x14ac:dyDescent="0.2">
      <c r="A682" s="8"/>
    </row>
    <row r="683" spans="1:1" ht="15.75" customHeight="1" x14ac:dyDescent="0.2">
      <c r="A683" s="8"/>
    </row>
    <row r="684" spans="1:1" ht="15.75" customHeight="1" x14ac:dyDescent="0.2">
      <c r="A684" s="8"/>
    </row>
    <row r="685" spans="1:1" ht="15.75" customHeight="1" x14ac:dyDescent="0.2">
      <c r="A685" s="8"/>
    </row>
    <row r="686" spans="1:1" ht="15.75" customHeight="1" x14ac:dyDescent="0.2">
      <c r="A686" s="8"/>
    </row>
    <row r="687" spans="1:1" ht="15.75" customHeight="1" x14ac:dyDescent="0.2">
      <c r="A687" s="8"/>
    </row>
    <row r="688" spans="1:1" ht="15.75" customHeight="1" x14ac:dyDescent="0.2">
      <c r="A688" s="8"/>
    </row>
    <row r="689" spans="1:1" ht="15.75" customHeight="1" x14ac:dyDescent="0.2">
      <c r="A689" s="8"/>
    </row>
    <row r="690" spans="1:1" ht="15.75" customHeight="1" x14ac:dyDescent="0.2">
      <c r="A690" s="8"/>
    </row>
    <row r="691" spans="1:1" ht="15.75" customHeight="1" x14ac:dyDescent="0.2">
      <c r="A691" s="8"/>
    </row>
    <row r="692" spans="1:1" ht="15.75" customHeight="1" x14ac:dyDescent="0.2">
      <c r="A692" s="8"/>
    </row>
    <row r="693" spans="1:1" ht="15.75" customHeight="1" x14ac:dyDescent="0.2">
      <c r="A693" s="8"/>
    </row>
    <row r="694" spans="1:1" ht="15.75" customHeight="1" x14ac:dyDescent="0.2">
      <c r="A694" s="8"/>
    </row>
    <row r="695" spans="1:1" ht="15.75" customHeight="1" x14ac:dyDescent="0.2">
      <c r="A695" s="8"/>
    </row>
    <row r="696" spans="1:1" ht="15.75" customHeight="1" x14ac:dyDescent="0.2">
      <c r="A696" s="8"/>
    </row>
    <row r="697" spans="1:1" ht="15.75" customHeight="1" x14ac:dyDescent="0.2">
      <c r="A697" s="8"/>
    </row>
    <row r="698" spans="1:1" ht="15.75" customHeight="1" x14ac:dyDescent="0.2">
      <c r="A698" s="8"/>
    </row>
    <row r="699" spans="1:1" ht="15.75" customHeight="1" x14ac:dyDescent="0.2">
      <c r="A699" s="8"/>
    </row>
    <row r="700" spans="1:1" ht="15.75" customHeight="1" x14ac:dyDescent="0.2">
      <c r="A700" s="8"/>
    </row>
    <row r="701" spans="1:1" ht="15.75" customHeight="1" x14ac:dyDescent="0.2">
      <c r="A701" s="8"/>
    </row>
    <row r="702" spans="1:1" ht="15.75" customHeight="1" x14ac:dyDescent="0.2">
      <c r="A702" s="8"/>
    </row>
    <row r="703" spans="1:1" ht="15.75" customHeight="1" x14ac:dyDescent="0.2">
      <c r="A703" s="8"/>
    </row>
    <row r="704" spans="1:1" ht="15.75" customHeight="1" x14ac:dyDescent="0.2">
      <c r="A704" s="8"/>
    </row>
    <row r="705" spans="1:1" ht="15.75" customHeight="1" x14ac:dyDescent="0.2">
      <c r="A705" s="8"/>
    </row>
    <row r="706" spans="1:1" ht="15.75" customHeight="1" x14ac:dyDescent="0.2">
      <c r="A706" s="8"/>
    </row>
    <row r="707" spans="1:1" ht="15.75" customHeight="1" x14ac:dyDescent="0.2">
      <c r="A707" s="8"/>
    </row>
    <row r="708" spans="1:1" ht="15.75" customHeight="1" x14ac:dyDescent="0.2">
      <c r="A708" s="8"/>
    </row>
    <row r="709" spans="1:1" ht="15.75" customHeight="1" x14ac:dyDescent="0.2">
      <c r="A709" s="8"/>
    </row>
    <row r="710" spans="1:1" ht="15.75" customHeight="1" x14ac:dyDescent="0.2">
      <c r="A710" s="8"/>
    </row>
    <row r="711" spans="1:1" ht="15.75" customHeight="1" x14ac:dyDescent="0.2">
      <c r="A711" s="8"/>
    </row>
    <row r="712" spans="1:1" ht="15.75" customHeight="1" x14ac:dyDescent="0.2">
      <c r="A712" s="8"/>
    </row>
    <row r="713" spans="1:1" ht="15.75" customHeight="1" x14ac:dyDescent="0.2">
      <c r="A713" s="8"/>
    </row>
    <row r="714" spans="1:1" ht="15.75" customHeight="1" x14ac:dyDescent="0.2">
      <c r="A714" s="8"/>
    </row>
    <row r="715" spans="1:1" ht="15.75" customHeight="1" x14ac:dyDescent="0.2">
      <c r="A715" s="8"/>
    </row>
    <row r="716" spans="1:1" ht="15.75" customHeight="1" x14ac:dyDescent="0.2">
      <c r="A716" s="8"/>
    </row>
    <row r="717" spans="1:1" ht="15.75" customHeight="1" x14ac:dyDescent="0.2">
      <c r="A717" s="8"/>
    </row>
    <row r="718" spans="1:1" ht="15.75" customHeight="1" x14ac:dyDescent="0.2">
      <c r="A718" s="8"/>
    </row>
    <row r="719" spans="1:1" ht="15.75" customHeight="1" x14ac:dyDescent="0.2">
      <c r="A719" s="8"/>
    </row>
    <row r="720" spans="1:1" ht="15.75" customHeight="1" x14ac:dyDescent="0.2">
      <c r="A720" s="8"/>
    </row>
    <row r="721" spans="1:1" ht="15.75" customHeight="1" x14ac:dyDescent="0.2">
      <c r="A721" s="8"/>
    </row>
    <row r="722" spans="1:1" ht="15.75" customHeight="1" x14ac:dyDescent="0.2">
      <c r="A722" s="8"/>
    </row>
    <row r="723" spans="1:1" ht="15.75" customHeight="1" x14ac:dyDescent="0.2">
      <c r="A723" s="8"/>
    </row>
    <row r="724" spans="1:1" ht="15.75" customHeight="1" x14ac:dyDescent="0.2">
      <c r="A724" s="8"/>
    </row>
    <row r="725" spans="1:1" ht="15.75" customHeight="1" x14ac:dyDescent="0.2">
      <c r="A725" s="8"/>
    </row>
    <row r="726" spans="1:1" ht="15.75" customHeight="1" x14ac:dyDescent="0.2">
      <c r="A726" s="8"/>
    </row>
    <row r="727" spans="1:1" ht="15.75" customHeight="1" x14ac:dyDescent="0.2">
      <c r="A727" s="8"/>
    </row>
    <row r="728" spans="1:1" ht="15.75" customHeight="1" x14ac:dyDescent="0.2">
      <c r="A728" s="8"/>
    </row>
    <row r="729" spans="1:1" ht="15.75" customHeight="1" x14ac:dyDescent="0.2">
      <c r="A729" s="8"/>
    </row>
    <row r="730" spans="1:1" ht="15.75" customHeight="1" x14ac:dyDescent="0.2">
      <c r="A730" s="8"/>
    </row>
    <row r="731" spans="1:1" ht="15.75" customHeight="1" x14ac:dyDescent="0.2">
      <c r="A731" s="8"/>
    </row>
    <row r="732" spans="1:1" ht="15.75" customHeight="1" x14ac:dyDescent="0.2">
      <c r="A732" s="8"/>
    </row>
    <row r="733" spans="1:1" ht="15.75" customHeight="1" x14ac:dyDescent="0.2">
      <c r="A733" s="8"/>
    </row>
    <row r="734" spans="1:1" ht="15.75" customHeight="1" x14ac:dyDescent="0.2">
      <c r="A734" s="8"/>
    </row>
    <row r="735" spans="1:1" ht="15.75" customHeight="1" x14ac:dyDescent="0.2">
      <c r="A735" s="8"/>
    </row>
    <row r="736" spans="1:1" ht="15.75" customHeight="1" x14ac:dyDescent="0.2">
      <c r="A736" s="8"/>
    </row>
    <row r="737" spans="1:1" ht="15.75" customHeight="1" x14ac:dyDescent="0.2">
      <c r="A737" s="8"/>
    </row>
    <row r="738" spans="1:1" ht="15.75" customHeight="1" x14ac:dyDescent="0.2">
      <c r="A738" s="8"/>
    </row>
    <row r="739" spans="1:1" ht="15.75" customHeight="1" x14ac:dyDescent="0.2">
      <c r="A739" s="8"/>
    </row>
    <row r="740" spans="1:1" ht="15.75" customHeight="1" x14ac:dyDescent="0.2">
      <c r="A740" s="8"/>
    </row>
    <row r="741" spans="1:1" ht="15.75" customHeight="1" x14ac:dyDescent="0.2">
      <c r="A741" s="8"/>
    </row>
    <row r="742" spans="1:1" ht="15.75" customHeight="1" x14ac:dyDescent="0.2">
      <c r="A742" s="8"/>
    </row>
    <row r="743" spans="1:1" ht="15.75" customHeight="1" x14ac:dyDescent="0.2">
      <c r="A743" s="8"/>
    </row>
    <row r="744" spans="1:1" ht="15.75" customHeight="1" x14ac:dyDescent="0.2">
      <c r="A744" s="8"/>
    </row>
    <row r="745" spans="1:1" ht="15.75" customHeight="1" x14ac:dyDescent="0.2">
      <c r="A745" s="8"/>
    </row>
    <row r="746" spans="1:1" ht="15.75" customHeight="1" x14ac:dyDescent="0.2">
      <c r="A746" s="8"/>
    </row>
    <row r="747" spans="1:1" ht="15.75" customHeight="1" x14ac:dyDescent="0.2">
      <c r="A747" s="8"/>
    </row>
    <row r="748" spans="1:1" ht="15.75" customHeight="1" x14ac:dyDescent="0.2">
      <c r="A748" s="8"/>
    </row>
    <row r="749" spans="1:1" ht="15.75" customHeight="1" x14ac:dyDescent="0.2">
      <c r="A749" s="8"/>
    </row>
    <row r="750" spans="1:1" ht="15.75" customHeight="1" x14ac:dyDescent="0.2">
      <c r="A750" s="8"/>
    </row>
    <row r="751" spans="1:1" ht="15.75" customHeight="1" x14ac:dyDescent="0.2">
      <c r="A751" s="8"/>
    </row>
    <row r="752" spans="1:1" ht="15.75" customHeight="1" x14ac:dyDescent="0.2">
      <c r="A752" s="8"/>
    </row>
    <row r="753" spans="1:1" ht="15.75" customHeight="1" x14ac:dyDescent="0.2">
      <c r="A753" s="8"/>
    </row>
    <row r="754" spans="1:1" ht="15.75" customHeight="1" x14ac:dyDescent="0.2">
      <c r="A754" s="8"/>
    </row>
    <row r="755" spans="1:1" ht="15.75" customHeight="1" x14ac:dyDescent="0.2">
      <c r="A755" s="8"/>
    </row>
    <row r="756" spans="1:1" ht="15.75" customHeight="1" x14ac:dyDescent="0.2">
      <c r="A756" s="8"/>
    </row>
    <row r="757" spans="1:1" ht="15.75" customHeight="1" x14ac:dyDescent="0.2">
      <c r="A757" s="8"/>
    </row>
    <row r="758" spans="1:1" ht="15.75" customHeight="1" x14ac:dyDescent="0.2">
      <c r="A758" s="8"/>
    </row>
    <row r="759" spans="1:1" ht="15.75" customHeight="1" x14ac:dyDescent="0.2">
      <c r="A759" s="8"/>
    </row>
    <row r="760" spans="1:1" ht="15.75" customHeight="1" x14ac:dyDescent="0.2">
      <c r="A760" s="8"/>
    </row>
    <row r="761" spans="1:1" ht="15.75" customHeight="1" x14ac:dyDescent="0.2">
      <c r="A761" s="8"/>
    </row>
    <row r="762" spans="1:1" ht="15.75" customHeight="1" x14ac:dyDescent="0.2">
      <c r="A762" s="8"/>
    </row>
    <row r="763" spans="1:1" ht="15.75" customHeight="1" x14ac:dyDescent="0.2">
      <c r="A763" s="8"/>
    </row>
    <row r="764" spans="1:1" ht="15.75" customHeight="1" x14ac:dyDescent="0.2">
      <c r="A764" s="8"/>
    </row>
    <row r="765" spans="1:1" ht="15.75" customHeight="1" x14ac:dyDescent="0.2">
      <c r="A765" s="8"/>
    </row>
    <row r="766" spans="1:1" ht="15.75" customHeight="1" x14ac:dyDescent="0.2">
      <c r="A766" s="8"/>
    </row>
    <row r="767" spans="1:1" ht="15.75" customHeight="1" x14ac:dyDescent="0.2">
      <c r="A767" s="8"/>
    </row>
    <row r="768" spans="1:1" ht="15.75" customHeight="1" x14ac:dyDescent="0.2">
      <c r="A768" s="8"/>
    </row>
    <row r="769" spans="1:1" ht="15.75" customHeight="1" x14ac:dyDescent="0.2">
      <c r="A769" s="8"/>
    </row>
    <row r="770" spans="1:1" ht="15.75" customHeight="1" x14ac:dyDescent="0.2">
      <c r="A770" s="8"/>
    </row>
    <row r="771" spans="1:1" ht="15.75" customHeight="1" x14ac:dyDescent="0.2">
      <c r="A771" s="8"/>
    </row>
    <row r="772" spans="1:1" ht="15.75" customHeight="1" x14ac:dyDescent="0.2">
      <c r="A772" s="8"/>
    </row>
    <row r="773" spans="1:1" ht="15.75" customHeight="1" x14ac:dyDescent="0.2">
      <c r="A773" s="8"/>
    </row>
    <row r="774" spans="1:1" ht="15.75" customHeight="1" x14ac:dyDescent="0.2">
      <c r="A774" s="8"/>
    </row>
    <row r="775" spans="1:1" ht="15.75" customHeight="1" x14ac:dyDescent="0.2">
      <c r="A775" s="8"/>
    </row>
    <row r="776" spans="1:1" ht="15.75" customHeight="1" x14ac:dyDescent="0.2">
      <c r="A776" s="8"/>
    </row>
    <row r="777" spans="1:1" ht="15.75" customHeight="1" x14ac:dyDescent="0.2">
      <c r="A777" s="8"/>
    </row>
    <row r="778" spans="1:1" ht="15.75" customHeight="1" x14ac:dyDescent="0.2">
      <c r="A778" s="8"/>
    </row>
    <row r="779" spans="1:1" ht="15.75" customHeight="1" x14ac:dyDescent="0.2">
      <c r="A779" s="8"/>
    </row>
    <row r="780" spans="1:1" ht="15.75" customHeight="1" x14ac:dyDescent="0.2">
      <c r="A780" s="8"/>
    </row>
    <row r="781" spans="1:1" ht="15.75" customHeight="1" x14ac:dyDescent="0.2">
      <c r="A781" s="8"/>
    </row>
    <row r="782" spans="1:1" ht="15.75" customHeight="1" x14ac:dyDescent="0.2">
      <c r="A782" s="8"/>
    </row>
    <row r="783" spans="1:1" ht="15.75" customHeight="1" x14ac:dyDescent="0.2">
      <c r="A783" s="8"/>
    </row>
    <row r="784" spans="1:1" ht="15.75" customHeight="1" x14ac:dyDescent="0.2">
      <c r="A784" s="8"/>
    </row>
    <row r="785" spans="1:1" ht="15.75" customHeight="1" x14ac:dyDescent="0.2">
      <c r="A785" s="8"/>
    </row>
    <row r="786" spans="1:1" ht="15.75" customHeight="1" x14ac:dyDescent="0.2">
      <c r="A786" s="8"/>
    </row>
    <row r="787" spans="1:1" ht="15.75" customHeight="1" x14ac:dyDescent="0.2">
      <c r="A787" s="8"/>
    </row>
    <row r="788" spans="1:1" ht="15.75" customHeight="1" x14ac:dyDescent="0.2">
      <c r="A788" s="8"/>
    </row>
    <row r="789" spans="1:1" ht="15.75" customHeight="1" x14ac:dyDescent="0.2">
      <c r="A789" s="8"/>
    </row>
    <row r="790" spans="1:1" ht="15.75" customHeight="1" x14ac:dyDescent="0.2">
      <c r="A790" s="8"/>
    </row>
    <row r="791" spans="1:1" ht="15.75" customHeight="1" x14ac:dyDescent="0.2">
      <c r="A791" s="8"/>
    </row>
    <row r="792" spans="1:1" ht="15.75" customHeight="1" x14ac:dyDescent="0.2">
      <c r="A792" s="8"/>
    </row>
    <row r="793" spans="1:1" ht="15.75" customHeight="1" x14ac:dyDescent="0.2">
      <c r="A793" s="8"/>
    </row>
    <row r="794" spans="1:1" ht="15.75" customHeight="1" x14ac:dyDescent="0.2">
      <c r="A794" s="8"/>
    </row>
    <row r="795" spans="1:1" ht="15.75" customHeight="1" x14ac:dyDescent="0.2">
      <c r="A795" s="8"/>
    </row>
    <row r="796" spans="1:1" ht="15.75" customHeight="1" x14ac:dyDescent="0.2">
      <c r="A796" s="8"/>
    </row>
    <row r="797" spans="1:1" ht="15.75" customHeight="1" x14ac:dyDescent="0.2">
      <c r="A797" s="8"/>
    </row>
    <row r="798" spans="1:1" ht="15.75" customHeight="1" x14ac:dyDescent="0.2">
      <c r="A798" s="8"/>
    </row>
    <row r="799" spans="1:1" ht="15.75" customHeight="1" x14ac:dyDescent="0.2">
      <c r="A799" s="8"/>
    </row>
    <row r="800" spans="1:1" ht="15.75" customHeight="1" x14ac:dyDescent="0.2">
      <c r="A800" s="8"/>
    </row>
    <row r="801" spans="1:1" ht="15.75" customHeight="1" x14ac:dyDescent="0.2">
      <c r="A801" s="8"/>
    </row>
    <row r="802" spans="1:1" ht="15.75" customHeight="1" x14ac:dyDescent="0.2">
      <c r="A802" s="8"/>
    </row>
    <row r="803" spans="1:1" ht="15.75" customHeight="1" x14ac:dyDescent="0.2">
      <c r="A803" s="8"/>
    </row>
    <row r="804" spans="1:1" ht="15.75" customHeight="1" x14ac:dyDescent="0.2">
      <c r="A804" s="8"/>
    </row>
    <row r="805" spans="1:1" ht="15.75" customHeight="1" x14ac:dyDescent="0.2">
      <c r="A805" s="8"/>
    </row>
    <row r="806" spans="1:1" ht="15.75" customHeight="1" x14ac:dyDescent="0.2">
      <c r="A806" s="8"/>
    </row>
    <row r="807" spans="1:1" ht="15.75" customHeight="1" x14ac:dyDescent="0.2">
      <c r="A807" s="8"/>
    </row>
    <row r="808" spans="1:1" ht="15.75" customHeight="1" x14ac:dyDescent="0.2">
      <c r="A808" s="8"/>
    </row>
    <row r="809" spans="1:1" ht="15.75" customHeight="1" x14ac:dyDescent="0.2">
      <c r="A809" s="8"/>
    </row>
    <row r="810" spans="1:1" ht="15.75" customHeight="1" x14ac:dyDescent="0.2">
      <c r="A810" s="8"/>
    </row>
    <row r="811" spans="1:1" ht="15.75" customHeight="1" x14ac:dyDescent="0.2">
      <c r="A811" s="8"/>
    </row>
    <row r="812" spans="1:1" ht="15.75" customHeight="1" x14ac:dyDescent="0.2">
      <c r="A812" s="8"/>
    </row>
    <row r="813" spans="1:1" ht="15.75" customHeight="1" x14ac:dyDescent="0.2">
      <c r="A813" s="8"/>
    </row>
    <row r="814" spans="1:1" ht="15.75" customHeight="1" x14ac:dyDescent="0.2">
      <c r="A814" s="8"/>
    </row>
    <row r="815" spans="1:1" ht="15.75" customHeight="1" x14ac:dyDescent="0.2">
      <c r="A815" s="8"/>
    </row>
    <row r="816" spans="1:1" ht="15.75" customHeight="1" x14ac:dyDescent="0.2">
      <c r="A816" s="8"/>
    </row>
    <row r="817" spans="1:1" ht="15.75" customHeight="1" x14ac:dyDescent="0.2">
      <c r="A817" s="8"/>
    </row>
    <row r="818" spans="1:1" ht="15.75" customHeight="1" x14ac:dyDescent="0.2">
      <c r="A818" s="8"/>
    </row>
    <row r="819" spans="1:1" ht="15.75" customHeight="1" x14ac:dyDescent="0.2">
      <c r="A819" s="8"/>
    </row>
    <row r="820" spans="1:1" ht="15.75" customHeight="1" x14ac:dyDescent="0.2">
      <c r="A820" s="8"/>
    </row>
    <row r="821" spans="1:1" ht="15.75" customHeight="1" x14ac:dyDescent="0.2">
      <c r="A821" s="8"/>
    </row>
    <row r="822" spans="1:1" ht="15.75" customHeight="1" x14ac:dyDescent="0.2">
      <c r="A822" s="8"/>
    </row>
    <row r="823" spans="1:1" ht="15.75" customHeight="1" x14ac:dyDescent="0.2">
      <c r="A823" s="8"/>
    </row>
    <row r="824" spans="1:1" ht="15.75" customHeight="1" x14ac:dyDescent="0.2">
      <c r="A824" s="8"/>
    </row>
    <row r="825" spans="1:1" ht="15.75" customHeight="1" x14ac:dyDescent="0.2">
      <c r="A825" s="8"/>
    </row>
    <row r="826" spans="1:1" ht="15.75" customHeight="1" x14ac:dyDescent="0.2">
      <c r="A826" s="8"/>
    </row>
    <row r="827" spans="1:1" ht="15.75" customHeight="1" x14ac:dyDescent="0.2">
      <c r="A827" s="8"/>
    </row>
    <row r="828" spans="1:1" ht="15.75" customHeight="1" x14ac:dyDescent="0.2">
      <c r="A828" s="8"/>
    </row>
    <row r="829" spans="1:1" ht="15.75" customHeight="1" x14ac:dyDescent="0.2">
      <c r="A829" s="8"/>
    </row>
    <row r="830" spans="1:1" ht="15.75" customHeight="1" x14ac:dyDescent="0.2">
      <c r="A830" s="8"/>
    </row>
    <row r="831" spans="1:1" ht="15.75" customHeight="1" x14ac:dyDescent="0.2">
      <c r="A831" s="8"/>
    </row>
    <row r="832" spans="1:1" ht="15.75" customHeight="1" x14ac:dyDescent="0.2">
      <c r="A832" s="8"/>
    </row>
    <row r="833" spans="1:1" ht="15.75" customHeight="1" x14ac:dyDescent="0.2">
      <c r="A833" s="8"/>
    </row>
    <row r="834" spans="1:1" ht="15.75" customHeight="1" x14ac:dyDescent="0.2">
      <c r="A834" s="8"/>
    </row>
    <row r="835" spans="1:1" ht="15.75" customHeight="1" x14ac:dyDescent="0.2">
      <c r="A835" s="8"/>
    </row>
    <row r="836" spans="1:1" ht="15.75" customHeight="1" x14ac:dyDescent="0.2">
      <c r="A836" s="8"/>
    </row>
    <row r="837" spans="1:1" ht="15.75" customHeight="1" x14ac:dyDescent="0.2">
      <c r="A837" s="8"/>
    </row>
    <row r="838" spans="1:1" ht="15.75" customHeight="1" x14ac:dyDescent="0.2">
      <c r="A838" s="8"/>
    </row>
    <row r="839" spans="1:1" ht="15.75" customHeight="1" x14ac:dyDescent="0.2">
      <c r="A839" s="8"/>
    </row>
    <row r="840" spans="1:1" ht="15.75" customHeight="1" x14ac:dyDescent="0.2">
      <c r="A840" s="8"/>
    </row>
    <row r="841" spans="1:1" ht="15.75" customHeight="1" x14ac:dyDescent="0.2">
      <c r="A841" s="8"/>
    </row>
    <row r="842" spans="1:1" ht="15.75" customHeight="1" x14ac:dyDescent="0.2">
      <c r="A842" s="8"/>
    </row>
    <row r="843" spans="1:1" ht="15.75" customHeight="1" x14ac:dyDescent="0.2">
      <c r="A843" s="8"/>
    </row>
    <row r="844" spans="1:1" ht="15.75" customHeight="1" x14ac:dyDescent="0.2">
      <c r="A844" s="8"/>
    </row>
    <row r="845" spans="1:1" ht="15.75" customHeight="1" x14ac:dyDescent="0.2">
      <c r="A845" s="8"/>
    </row>
    <row r="846" spans="1:1" ht="15.75" customHeight="1" x14ac:dyDescent="0.2">
      <c r="A846" s="8"/>
    </row>
    <row r="847" spans="1:1" ht="15.75" customHeight="1" x14ac:dyDescent="0.2">
      <c r="A847" s="8"/>
    </row>
    <row r="848" spans="1:1" ht="15.75" customHeight="1" x14ac:dyDescent="0.2">
      <c r="A848" s="8"/>
    </row>
    <row r="849" spans="1:1" ht="15.75" customHeight="1" x14ac:dyDescent="0.2">
      <c r="A849" s="8"/>
    </row>
    <row r="850" spans="1:1" ht="15.75" customHeight="1" x14ac:dyDescent="0.2">
      <c r="A850" s="8"/>
    </row>
    <row r="851" spans="1:1" ht="15.75" customHeight="1" x14ac:dyDescent="0.2">
      <c r="A851" s="8"/>
    </row>
    <row r="852" spans="1:1" ht="15.75" customHeight="1" x14ac:dyDescent="0.2">
      <c r="A852" s="8"/>
    </row>
    <row r="853" spans="1:1" ht="15.75" customHeight="1" x14ac:dyDescent="0.2">
      <c r="A853" s="8"/>
    </row>
    <row r="854" spans="1:1" ht="15.75" customHeight="1" x14ac:dyDescent="0.2">
      <c r="A854" s="8"/>
    </row>
    <row r="855" spans="1:1" ht="15.75" customHeight="1" x14ac:dyDescent="0.2">
      <c r="A855" s="8"/>
    </row>
    <row r="856" spans="1:1" ht="15.75" customHeight="1" x14ac:dyDescent="0.2">
      <c r="A856" s="8"/>
    </row>
    <row r="857" spans="1:1" ht="15.75" customHeight="1" x14ac:dyDescent="0.2">
      <c r="A857" s="8"/>
    </row>
    <row r="858" spans="1:1" ht="15.75" customHeight="1" x14ac:dyDescent="0.2">
      <c r="A858" s="8"/>
    </row>
    <row r="859" spans="1:1" ht="15.75" customHeight="1" x14ac:dyDescent="0.2">
      <c r="A859" s="8"/>
    </row>
    <row r="860" spans="1:1" ht="15.75" customHeight="1" x14ac:dyDescent="0.2">
      <c r="A860" s="8"/>
    </row>
    <row r="861" spans="1:1" ht="15.75" customHeight="1" x14ac:dyDescent="0.2">
      <c r="A861" s="8"/>
    </row>
    <row r="862" spans="1:1" ht="15.75" customHeight="1" x14ac:dyDescent="0.2">
      <c r="A862" s="8"/>
    </row>
    <row r="863" spans="1:1" ht="15.75" customHeight="1" x14ac:dyDescent="0.2">
      <c r="A863" s="8"/>
    </row>
    <row r="864" spans="1:1" ht="15.75" customHeight="1" x14ac:dyDescent="0.2">
      <c r="A864" s="8"/>
    </row>
    <row r="865" spans="1:1" ht="15.75" customHeight="1" x14ac:dyDescent="0.2">
      <c r="A865" s="8"/>
    </row>
    <row r="866" spans="1:1" ht="15.75" customHeight="1" x14ac:dyDescent="0.2">
      <c r="A866" s="8"/>
    </row>
    <row r="867" spans="1:1" ht="15.75" customHeight="1" x14ac:dyDescent="0.2">
      <c r="A867" s="8"/>
    </row>
    <row r="868" spans="1:1" ht="15.75" customHeight="1" x14ac:dyDescent="0.2">
      <c r="A868" s="8"/>
    </row>
    <row r="869" spans="1:1" ht="15.75" customHeight="1" x14ac:dyDescent="0.2">
      <c r="A869" s="8"/>
    </row>
    <row r="870" spans="1:1" ht="15.75" customHeight="1" x14ac:dyDescent="0.2">
      <c r="A870" s="8"/>
    </row>
    <row r="871" spans="1:1" ht="15.75" customHeight="1" x14ac:dyDescent="0.2">
      <c r="A871" s="8"/>
    </row>
    <row r="872" spans="1:1" ht="15.75" customHeight="1" x14ac:dyDescent="0.2">
      <c r="A872" s="8"/>
    </row>
    <row r="873" spans="1:1" ht="15.75" customHeight="1" x14ac:dyDescent="0.2">
      <c r="A873" s="8"/>
    </row>
    <row r="874" spans="1:1" ht="15.75" customHeight="1" x14ac:dyDescent="0.2">
      <c r="A874" s="8"/>
    </row>
    <row r="875" spans="1:1" ht="15.75" customHeight="1" x14ac:dyDescent="0.2">
      <c r="A875" s="8"/>
    </row>
    <row r="876" spans="1:1" ht="15.75" customHeight="1" x14ac:dyDescent="0.2">
      <c r="A876" s="8"/>
    </row>
    <row r="877" spans="1:1" ht="15.75" customHeight="1" x14ac:dyDescent="0.2">
      <c r="A877" s="8"/>
    </row>
    <row r="878" spans="1:1" ht="15.75" customHeight="1" x14ac:dyDescent="0.2">
      <c r="A878" s="8"/>
    </row>
    <row r="879" spans="1:1" ht="15.75" customHeight="1" x14ac:dyDescent="0.2">
      <c r="A879" s="8"/>
    </row>
    <row r="880" spans="1:1" ht="15.75" customHeight="1" x14ac:dyDescent="0.2">
      <c r="A880" s="8"/>
    </row>
    <row r="881" spans="1:1" ht="15.75" customHeight="1" x14ac:dyDescent="0.2">
      <c r="A881" s="8"/>
    </row>
    <row r="882" spans="1:1" ht="15.75" customHeight="1" x14ac:dyDescent="0.2">
      <c r="A882" s="8"/>
    </row>
    <row r="883" spans="1:1" ht="15.75" customHeight="1" x14ac:dyDescent="0.2">
      <c r="A883" s="8"/>
    </row>
    <row r="884" spans="1:1" ht="15.75" customHeight="1" x14ac:dyDescent="0.2">
      <c r="A884" s="8"/>
    </row>
    <row r="885" spans="1:1" ht="15.75" customHeight="1" x14ac:dyDescent="0.2">
      <c r="A885" s="8"/>
    </row>
    <row r="886" spans="1:1" ht="15.75" customHeight="1" x14ac:dyDescent="0.2">
      <c r="A886" s="8"/>
    </row>
    <row r="887" spans="1:1" ht="15.75" customHeight="1" x14ac:dyDescent="0.2">
      <c r="A887" s="8"/>
    </row>
    <row r="888" spans="1:1" ht="15.75" customHeight="1" x14ac:dyDescent="0.2">
      <c r="A888" s="8"/>
    </row>
    <row r="889" spans="1:1" ht="15.75" customHeight="1" x14ac:dyDescent="0.2">
      <c r="A889" s="8"/>
    </row>
    <row r="890" spans="1:1" ht="15.75" customHeight="1" x14ac:dyDescent="0.2">
      <c r="A890" s="8"/>
    </row>
    <row r="891" spans="1:1" ht="15.75" customHeight="1" x14ac:dyDescent="0.2">
      <c r="A891" s="8"/>
    </row>
    <row r="892" spans="1:1" ht="15.75" customHeight="1" x14ac:dyDescent="0.2">
      <c r="A892" s="8"/>
    </row>
    <row r="893" spans="1:1" ht="15.75" customHeight="1" x14ac:dyDescent="0.2">
      <c r="A893" s="8"/>
    </row>
    <row r="894" spans="1:1" ht="15.75" customHeight="1" x14ac:dyDescent="0.2">
      <c r="A894" s="8"/>
    </row>
    <row r="895" spans="1:1" ht="15.75" customHeight="1" x14ac:dyDescent="0.2">
      <c r="A895" s="8"/>
    </row>
    <row r="896" spans="1:1" ht="15.75" customHeight="1" x14ac:dyDescent="0.2">
      <c r="A896" s="8"/>
    </row>
    <row r="897" spans="1:1" ht="15.75" customHeight="1" x14ac:dyDescent="0.2">
      <c r="A897" s="8"/>
    </row>
    <row r="898" spans="1:1" ht="15.75" customHeight="1" x14ac:dyDescent="0.2">
      <c r="A898" s="8"/>
    </row>
    <row r="899" spans="1:1" ht="15.75" customHeight="1" x14ac:dyDescent="0.2">
      <c r="A899" s="8"/>
    </row>
    <row r="900" spans="1:1" ht="15.75" customHeight="1" x14ac:dyDescent="0.2">
      <c r="A900" s="8"/>
    </row>
    <row r="901" spans="1:1" ht="15.75" customHeight="1" x14ac:dyDescent="0.2">
      <c r="A901" s="8"/>
    </row>
    <row r="902" spans="1:1" ht="15.75" customHeight="1" x14ac:dyDescent="0.2">
      <c r="A902" s="8"/>
    </row>
    <row r="903" spans="1:1" ht="15.75" customHeight="1" x14ac:dyDescent="0.2">
      <c r="A903" s="8"/>
    </row>
    <row r="904" spans="1:1" ht="15.75" customHeight="1" x14ac:dyDescent="0.2">
      <c r="A904" s="8"/>
    </row>
    <row r="905" spans="1:1" ht="15.75" customHeight="1" x14ac:dyDescent="0.2">
      <c r="A905" s="8"/>
    </row>
    <row r="906" spans="1:1" ht="15.75" customHeight="1" x14ac:dyDescent="0.2">
      <c r="A906" s="8"/>
    </row>
    <row r="907" spans="1:1" ht="15.75" customHeight="1" x14ac:dyDescent="0.2">
      <c r="A907" s="8"/>
    </row>
    <row r="908" spans="1:1" ht="15.75" customHeight="1" x14ac:dyDescent="0.2">
      <c r="A908" s="8"/>
    </row>
    <row r="909" spans="1:1" ht="15.75" customHeight="1" x14ac:dyDescent="0.2">
      <c r="A909" s="8"/>
    </row>
    <row r="910" spans="1:1" ht="15.75" customHeight="1" x14ac:dyDescent="0.2">
      <c r="A910" s="8"/>
    </row>
    <row r="911" spans="1:1" ht="15.75" customHeight="1" x14ac:dyDescent="0.2">
      <c r="A911" s="8"/>
    </row>
    <row r="912" spans="1:1" ht="15.75" customHeight="1" x14ac:dyDescent="0.2">
      <c r="A912" s="8"/>
    </row>
    <row r="913" spans="1:1" ht="15.75" customHeight="1" x14ac:dyDescent="0.2">
      <c r="A913" s="8"/>
    </row>
    <row r="914" spans="1:1" ht="15.75" customHeight="1" x14ac:dyDescent="0.2">
      <c r="A914" s="8"/>
    </row>
    <row r="915" spans="1:1" ht="15.75" customHeight="1" x14ac:dyDescent="0.2">
      <c r="A915" s="8"/>
    </row>
    <row r="916" spans="1:1" ht="15.75" customHeight="1" x14ac:dyDescent="0.2">
      <c r="A916" s="8"/>
    </row>
    <row r="917" spans="1:1" ht="15.75" customHeight="1" x14ac:dyDescent="0.2">
      <c r="A917" s="8"/>
    </row>
    <row r="918" spans="1:1" ht="15.75" customHeight="1" x14ac:dyDescent="0.2">
      <c r="A918" s="8"/>
    </row>
    <row r="919" spans="1:1" ht="15.75" customHeight="1" x14ac:dyDescent="0.2">
      <c r="A919" s="8"/>
    </row>
    <row r="920" spans="1:1" ht="15.75" customHeight="1" x14ac:dyDescent="0.2">
      <c r="A920" s="8"/>
    </row>
    <row r="921" spans="1:1" ht="15.75" customHeight="1" x14ac:dyDescent="0.2">
      <c r="A921" s="8"/>
    </row>
    <row r="922" spans="1:1" ht="15.75" customHeight="1" x14ac:dyDescent="0.2">
      <c r="A922" s="8"/>
    </row>
    <row r="923" spans="1:1" ht="15.75" customHeight="1" x14ac:dyDescent="0.2">
      <c r="A923" s="8"/>
    </row>
    <row r="924" spans="1:1" ht="15.75" customHeight="1" x14ac:dyDescent="0.2">
      <c r="A924" s="8"/>
    </row>
    <row r="925" spans="1:1" ht="15.75" customHeight="1" x14ac:dyDescent="0.2">
      <c r="A925" s="8"/>
    </row>
    <row r="926" spans="1:1" ht="15.75" customHeight="1" x14ac:dyDescent="0.2">
      <c r="A926" s="8"/>
    </row>
    <row r="927" spans="1:1" ht="15.75" customHeight="1" x14ac:dyDescent="0.2">
      <c r="A927" s="8"/>
    </row>
    <row r="928" spans="1:1" ht="15.75" customHeight="1" x14ac:dyDescent="0.2">
      <c r="A928" s="8"/>
    </row>
    <row r="929" spans="1:1" ht="15.75" customHeight="1" x14ac:dyDescent="0.2">
      <c r="A929" s="8"/>
    </row>
    <row r="930" spans="1:1" ht="15.75" customHeight="1" x14ac:dyDescent="0.2">
      <c r="A930" s="8"/>
    </row>
    <row r="931" spans="1:1" ht="15.75" customHeight="1" x14ac:dyDescent="0.2">
      <c r="A931" s="8"/>
    </row>
    <row r="932" spans="1:1" ht="15.75" customHeight="1" x14ac:dyDescent="0.2">
      <c r="A932" s="8"/>
    </row>
    <row r="933" spans="1:1" ht="15.75" customHeight="1" x14ac:dyDescent="0.2">
      <c r="A933" s="8"/>
    </row>
    <row r="934" spans="1:1" ht="15.75" customHeight="1" x14ac:dyDescent="0.2">
      <c r="A934" s="8"/>
    </row>
    <row r="935" spans="1:1" ht="15.75" customHeight="1" x14ac:dyDescent="0.2">
      <c r="A935" s="8"/>
    </row>
    <row r="936" spans="1:1" ht="15.75" customHeight="1" x14ac:dyDescent="0.2">
      <c r="A936" s="8"/>
    </row>
    <row r="937" spans="1:1" ht="15.75" customHeight="1" x14ac:dyDescent="0.2">
      <c r="A937" s="8"/>
    </row>
    <row r="938" spans="1:1" ht="15.75" customHeight="1" x14ac:dyDescent="0.2">
      <c r="A938" s="8"/>
    </row>
    <row r="939" spans="1:1" ht="15.75" customHeight="1" x14ac:dyDescent="0.2">
      <c r="A939" s="8"/>
    </row>
    <row r="940" spans="1:1" ht="15.75" customHeight="1" x14ac:dyDescent="0.2">
      <c r="A940" s="8"/>
    </row>
    <row r="941" spans="1:1" ht="15.75" customHeight="1" x14ac:dyDescent="0.2">
      <c r="A941" s="8"/>
    </row>
    <row r="942" spans="1:1" ht="15.75" customHeight="1" x14ac:dyDescent="0.2">
      <c r="A942" s="8"/>
    </row>
    <row r="943" spans="1:1" ht="15.75" customHeight="1" x14ac:dyDescent="0.2">
      <c r="A943" s="8"/>
    </row>
    <row r="944" spans="1:1" ht="15.75" customHeight="1" x14ac:dyDescent="0.2">
      <c r="A944" s="8"/>
    </row>
    <row r="945" spans="1:1" ht="15.75" customHeight="1" x14ac:dyDescent="0.2">
      <c r="A945" s="8"/>
    </row>
    <row r="946" spans="1:1" ht="15.75" customHeight="1" x14ac:dyDescent="0.2">
      <c r="A946" s="8"/>
    </row>
    <row r="947" spans="1:1" ht="15.75" customHeight="1" x14ac:dyDescent="0.2">
      <c r="A947" s="8"/>
    </row>
    <row r="948" spans="1:1" ht="15.75" customHeight="1" x14ac:dyDescent="0.2">
      <c r="A948" s="8"/>
    </row>
    <row r="949" spans="1:1" ht="15.75" customHeight="1" x14ac:dyDescent="0.2">
      <c r="A949" s="8"/>
    </row>
    <row r="950" spans="1:1" ht="15.75" customHeight="1" x14ac:dyDescent="0.2">
      <c r="A950" s="8"/>
    </row>
    <row r="951" spans="1:1" ht="15.75" customHeight="1" x14ac:dyDescent="0.2">
      <c r="A951" s="8"/>
    </row>
    <row r="952" spans="1:1" ht="15.75" customHeight="1" x14ac:dyDescent="0.2">
      <c r="A952" s="8"/>
    </row>
    <row r="953" spans="1:1" ht="15.75" customHeight="1" x14ac:dyDescent="0.2">
      <c r="A953" s="8"/>
    </row>
    <row r="954" spans="1:1" ht="15.75" customHeight="1" x14ac:dyDescent="0.2">
      <c r="A954" s="8"/>
    </row>
    <row r="955" spans="1:1" ht="15.75" customHeight="1" x14ac:dyDescent="0.2">
      <c r="A955" s="8"/>
    </row>
    <row r="956" spans="1:1" ht="15.75" customHeight="1" x14ac:dyDescent="0.2">
      <c r="A956" s="8"/>
    </row>
    <row r="957" spans="1:1" ht="15.75" customHeight="1" x14ac:dyDescent="0.2">
      <c r="A957" s="8"/>
    </row>
    <row r="958" spans="1:1" ht="15.75" customHeight="1" x14ac:dyDescent="0.2">
      <c r="A958" s="8"/>
    </row>
    <row r="959" spans="1:1" ht="15.75" customHeight="1" x14ac:dyDescent="0.2">
      <c r="A959" s="8"/>
    </row>
    <row r="960" spans="1:1" ht="15.75" customHeight="1" x14ac:dyDescent="0.2">
      <c r="A960" s="8"/>
    </row>
    <row r="961" spans="1:1" ht="15.75" customHeight="1" x14ac:dyDescent="0.2">
      <c r="A961" s="8"/>
    </row>
    <row r="962" spans="1:1" ht="15.75" customHeight="1" x14ac:dyDescent="0.2">
      <c r="A962" s="8"/>
    </row>
    <row r="963" spans="1:1" ht="15.75" customHeight="1" x14ac:dyDescent="0.2">
      <c r="A963" s="8"/>
    </row>
    <row r="964" spans="1:1" ht="15.75" customHeight="1" x14ac:dyDescent="0.2">
      <c r="A964" s="8"/>
    </row>
    <row r="965" spans="1:1" ht="15.75" customHeight="1" x14ac:dyDescent="0.2">
      <c r="A965" s="8"/>
    </row>
    <row r="966" spans="1:1" ht="15.75" customHeight="1" x14ac:dyDescent="0.2">
      <c r="A966" s="8"/>
    </row>
    <row r="967" spans="1:1" ht="15.75" customHeight="1" x14ac:dyDescent="0.2">
      <c r="A967" s="8"/>
    </row>
    <row r="968" spans="1:1" ht="15.75" customHeight="1" x14ac:dyDescent="0.2">
      <c r="A968" s="8"/>
    </row>
    <row r="969" spans="1:1" ht="15.75" customHeight="1" x14ac:dyDescent="0.2">
      <c r="A969" s="8"/>
    </row>
    <row r="970" spans="1:1" ht="15.75" customHeight="1" x14ac:dyDescent="0.2">
      <c r="A970" s="8"/>
    </row>
    <row r="971" spans="1:1" ht="15.75" customHeight="1" x14ac:dyDescent="0.2">
      <c r="A971" s="8"/>
    </row>
    <row r="972" spans="1:1" ht="15.75" customHeight="1" x14ac:dyDescent="0.2">
      <c r="A972" s="8"/>
    </row>
    <row r="973" spans="1:1" ht="15.75" customHeight="1" x14ac:dyDescent="0.2">
      <c r="A973" s="8"/>
    </row>
    <row r="974" spans="1:1" ht="15.75" customHeight="1" x14ac:dyDescent="0.2">
      <c r="A974" s="8"/>
    </row>
    <row r="975" spans="1:1" ht="15.75" customHeight="1" x14ac:dyDescent="0.2">
      <c r="A975" s="8"/>
    </row>
    <row r="976" spans="1:1" ht="15.75" customHeight="1" x14ac:dyDescent="0.2">
      <c r="A976" s="8"/>
    </row>
    <row r="977" spans="1:1" ht="15.75" customHeight="1" x14ac:dyDescent="0.2">
      <c r="A977" s="8"/>
    </row>
    <row r="978" spans="1:1" ht="15.75" customHeight="1" x14ac:dyDescent="0.2">
      <c r="A978" s="8"/>
    </row>
    <row r="979" spans="1:1" ht="15.75" customHeight="1" x14ac:dyDescent="0.2">
      <c r="A979" s="8"/>
    </row>
    <row r="980" spans="1:1" ht="15.75" customHeight="1" x14ac:dyDescent="0.2">
      <c r="A980" s="8"/>
    </row>
    <row r="981" spans="1:1" ht="15.75" customHeight="1" x14ac:dyDescent="0.2">
      <c r="A981" s="8"/>
    </row>
    <row r="982" spans="1:1" ht="15.75" customHeight="1" x14ac:dyDescent="0.2">
      <c r="A982" s="8"/>
    </row>
    <row r="983" spans="1:1" ht="15.75" customHeight="1" x14ac:dyDescent="0.2">
      <c r="A983" s="8"/>
    </row>
    <row r="984" spans="1:1" ht="15.75" customHeight="1" x14ac:dyDescent="0.2">
      <c r="A984" s="8"/>
    </row>
    <row r="985" spans="1:1" ht="15.75" customHeight="1" x14ac:dyDescent="0.2">
      <c r="A985" s="8"/>
    </row>
    <row r="986" spans="1:1" ht="15.75" customHeight="1" x14ac:dyDescent="0.2">
      <c r="A986" s="8"/>
    </row>
    <row r="987" spans="1:1" ht="15.75" customHeight="1" x14ac:dyDescent="0.2">
      <c r="A987" s="8"/>
    </row>
    <row r="988" spans="1:1" ht="15.75" customHeight="1" x14ac:dyDescent="0.2">
      <c r="A988" s="8"/>
    </row>
    <row r="989" spans="1:1" ht="15.75" customHeight="1" x14ac:dyDescent="0.2">
      <c r="A989" s="8"/>
    </row>
    <row r="990" spans="1:1" ht="15.75" customHeight="1" x14ac:dyDescent="0.2">
      <c r="A990" s="8"/>
    </row>
    <row r="991" spans="1:1" ht="15.75" customHeight="1" x14ac:dyDescent="0.2">
      <c r="A991" s="8"/>
    </row>
    <row r="992" spans="1:1" ht="15.75" customHeight="1" x14ac:dyDescent="0.2">
      <c r="A992" s="8"/>
    </row>
    <row r="993" spans="1:1" ht="15.75" customHeight="1" x14ac:dyDescent="0.2">
      <c r="A993" s="8"/>
    </row>
    <row r="994" spans="1:1" ht="15.75" customHeight="1" x14ac:dyDescent="0.2">
      <c r="A994" s="8"/>
    </row>
    <row r="995" spans="1:1" ht="15.75" customHeight="1" x14ac:dyDescent="0.2">
      <c r="A995" s="8"/>
    </row>
    <row r="996" spans="1:1" ht="15.75" customHeight="1" x14ac:dyDescent="0.2">
      <c r="A996" s="8"/>
    </row>
    <row r="997" spans="1:1" ht="15.75" customHeight="1" x14ac:dyDescent="0.2">
      <c r="A997" s="8"/>
    </row>
    <row r="998" spans="1:1" ht="15.75" customHeight="1" x14ac:dyDescent="0.2">
      <c r="A998" s="8"/>
    </row>
    <row r="999" spans="1:1" ht="15.75" customHeight="1" x14ac:dyDescent="0.2">
      <c r="A999" s="8"/>
    </row>
    <row r="1000" spans="1:1" ht="15.75" customHeight="1" x14ac:dyDescent="0.2">
      <c r="A1000" s="8"/>
    </row>
  </sheetData>
  <mergeCells count="11">
    <mergeCell ref="C16:D16"/>
    <mergeCell ref="I1:L1"/>
    <mergeCell ref="A22:G22"/>
    <mergeCell ref="B23:G23"/>
    <mergeCell ref="A6:C6"/>
    <mergeCell ref="A7:A8"/>
    <mergeCell ref="A23:A24"/>
    <mergeCell ref="A1:B1"/>
    <mergeCell ref="I2:L2"/>
    <mergeCell ref="A18:A19"/>
    <mergeCell ref="A15:F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62.1640625" customWidth="1"/>
    <col min="3" max="3" width="18.6640625" customWidth="1"/>
    <col min="4" max="4" width="54.5" customWidth="1"/>
    <col min="5" max="26" width="10.5" customWidth="1"/>
  </cols>
  <sheetData>
    <row r="1" spans="1:4" ht="15.75" customHeight="1" x14ac:dyDescent="0.2">
      <c r="A1" s="32" t="s">
        <v>22</v>
      </c>
      <c r="B1" s="32" t="s">
        <v>23</v>
      </c>
      <c r="C1" s="33" t="s">
        <v>24</v>
      </c>
      <c r="D1" s="33" t="s">
        <v>25</v>
      </c>
    </row>
    <row r="2" spans="1:4" ht="15.75" customHeight="1" x14ac:dyDescent="0.2">
      <c r="A2" s="34">
        <v>17311</v>
      </c>
      <c r="B2" s="34" t="s">
        <v>26</v>
      </c>
      <c r="C2" s="34" t="s">
        <v>27</v>
      </c>
      <c r="D2" s="34" t="s">
        <v>28</v>
      </c>
    </row>
    <row r="3" spans="1:4" ht="15.75" customHeight="1" x14ac:dyDescent="0.2">
      <c r="A3" s="34">
        <v>17312</v>
      </c>
      <c r="B3" s="34" t="s">
        <v>29</v>
      </c>
      <c r="C3" s="34" t="s">
        <v>30</v>
      </c>
      <c r="D3" s="34" t="s">
        <v>31</v>
      </c>
    </row>
    <row r="4" spans="1:4" ht="15.75" customHeight="1" x14ac:dyDescent="0.2">
      <c r="A4" s="34">
        <v>17313</v>
      </c>
      <c r="B4" s="34" t="s">
        <v>32</v>
      </c>
      <c r="C4" s="34" t="s">
        <v>33</v>
      </c>
      <c r="D4" s="34" t="s">
        <v>34</v>
      </c>
    </row>
    <row r="5" spans="1:4" ht="15.75" customHeight="1" x14ac:dyDescent="0.2">
      <c r="A5" s="34">
        <v>17314</v>
      </c>
      <c r="B5" s="34" t="s">
        <v>35</v>
      </c>
      <c r="C5" s="34"/>
      <c r="D5" s="34"/>
    </row>
    <row r="6" spans="1:4" ht="15.75" customHeight="1" x14ac:dyDescent="0.2">
      <c r="A6" s="34">
        <v>17315</v>
      </c>
      <c r="B6" s="34" t="s">
        <v>36</v>
      </c>
      <c r="C6" s="34"/>
      <c r="D6" s="34" t="s">
        <v>37</v>
      </c>
    </row>
    <row r="7" spans="1:4" ht="15.75" customHeight="1" x14ac:dyDescent="0.2">
      <c r="A7" s="34">
        <v>17316</v>
      </c>
      <c r="B7" s="34" t="s">
        <v>38</v>
      </c>
      <c r="C7" s="34" t="s">
        <v>39</v>
      </c>
      <c r="D7" s="34" t="s">
        <v>40</v>
      </c>
    </row>
    <row r="8" spans="1:4" ht="15.75" customHeight="1" x14ac:dyDescent="0.2">
      <c r="A8" s="34">
        <v>17317</v>
      </c>
      <c r="B8" s="34" t="s">
        <v>41</v>
      </c>
      <c r="C8" s="34" t="s">
        <v>42</v>
      </c>
      <c r="D8" s="34" t="s">
        <v>43</v>
      </c>
    </row>
    <row r="9" spans="1:4" ht="15.75" customHeight="1" x14ac:dyDescent="0.2">
      <c r="A9" s="34">
        <v>17318</v>
      </c>
      <c r="B9" s="34" t="s">
        <v>44</v>
      </c>
      <c r="C9" s="34" t="s">
        <v>45</v>
      </c>
      <c r="D9" s="34" t="s">
        <v>46</v>
      </c>
    </row>
    <row r="10" spans="1:4" ht="15.75" customHeight="1" x14ac:dyDescent="0.2">
      <c r="A10" s="34">
        <v>17319</v>
      </c>
      <c r="B10" s="34" t="s">
        <v>47</v>
      </c>
      <c r="C10" s="34"/>
      <c r="D10" s="34" t="s">
        <v>48</v>
      </c>
    </row>
    <row r="11" spans="1:4" ht="15.75" customHeight="1" x14ac:dyDescent="0.2">
      <c r="A11" s="34">
        <v>17320</v>
      </c>
      <c r="B11" s="34" t="s">
        <v>49</v>
      </c>
      <c r="C11" s="34" t="s">
        <v>50</v>
      </c>
      <c r="D11" s="34" t="s">
        <v>51</v>
      </c>
    </row>
    <row r="12" spans="1:4" ht="15.75" customHeight="1" x14ac:dyDescent="0.2">
      <c r="A12" s="34">
        <v>17322</v>
      </c>
      <c r="B12" s="34" t="s">
        <v>52</v>
      </c>
      <c r="C12" s="34"/>
      <c r="D12" s="34"/>
    </row>
    <row r="13" spans="1:4" ht="15.75" customHeight="1" x14ac:dyDescent="0.2">
      <c r="A13" s="34">
        <v>17323</v>
      </c>
      <c r="B13" s="34" t="s">
        <v>53</v>
      </c>
      <c r="C13" s="34"/>
      <c r="D13" s="34"/>
    </row>
    <row r="14" spans="1:4" ht="15.75" customHeight="1" x14ac:dyDescent="0.2">
      <c r="A14" s="34">
        <v>17324</v>
      </c>
      <c r="B14" s="34" t="s">
        <v>54</v>
      </c>
      <c r="C14" s="34"/>
      <c r="D14" s="34"/>
    </row>
    <row r="15" spans="1:4" ht="15.75" customHeight="1" x14ac:dyDescent="0.2">
      <c r="A15" s="34">
        <v>17325</v>
      </c>
      <c r="B15" s="34" t="s">
        <v>55</v>
      </c>
      <c r="C15" s="34"/>
      <c r="D15" s="34"/>
    </row>
    <row r="16" spans="1:4" ht="15.75" customHeight="1" x14ac:dyDescent="0.2">
      <c r="A16" s="34">
        <v>17326</v>
      </c>
      <c r="B16" s="34" t="s">
        <v>56</v>
      </c>
      <c r="C16" s="34"/>
      <c r="D16" s="34"/>
    </row>
    <row r="17" spans="1:4" ht="15.75" customHeight="1" x14ac:dyDescent="0.2">
      <c r="A17" s="34">
        <v>17327</v>
      </c>
      <c r="B17" s="34" t="s">
        <v>57</v>
      </c>
      <c r="C17" s="34" t="s">
        <v>58</v>
      </c>
      <c r="D17" s="34"/>
    </row>
    <row r="18" spans="1:4" ht="15.75" customHeight="1" x14ac:dyDescent="0.2">
      <c r="A18" s="34">
        <v>17329</v>
      </c>
      <c r="B18" s="34" t="s">
        <v>59</v>
      </c>
      <c r="C18" s="34"/>
      <c r="D18" s="34" t="s">
        <v>60</v>
      </c>
    </row>
    <row r="19" spans="1:4" ht="15.75" customHeight="1" x14ac:dyDescent="0.2">
      <c r="A19" s="34">
        <v>17330</v>
      </c>
      <c r="B19" s="34" t="s">
        <v>61</v>
      </c>
      <c r="C19" s="34"/>
      <c r="D19" s="34"/>
    </row>
    <row r="20" spans="1:4" ht="15.75" customHeight="1" x14ac:dyDescent="0.2">
      <c r="A20" s="34">
        <v>17331</v>
      </c>
      <c r="B20" s="34" t="s">
        <v>62</v>
      </c>
      <c r="C20" s="34"/>
      <c r="D20" s="34" t="s">
        <v>63</v>
      </c>
    </row>
    <row r="21" spans="1:4" ht="15.75" customHeight="1" x14ac:dyDescent="0.2">
      <c r="A21" s="34">
        <v>17332</v>
      </c>
      <c r="B21" s="34" t="s">
        <v>64</v>
      </c>
      <c r="C21" s="34" t="s">
        <v>65</v>
      </c>
      <c r="D21" s="34"/>
    </row>
    <row r="22" spans="1:4" ht="15.75" customHeight="1" x14ac:dyDescent="0.2">
      <c r="A22" s="34">
        <v>17337</v>
      </c>
      <c r="B22" s="34" t="s">
        <v>66</v>
      </c>
      <c r="C22" s="34"/>
      <c r="D22" s="34"/>
    </row>
    <row r="23" spans="1:4" ht="15.75" customHeight="1" x14ac:dyDescent="0.2">
      <c r="A23" s="34">
        <v>17338</v>
      </c>
      <c r="B23" s="34" t="s">
        <v>67</v>
      </c>
      <c r="C23" s="34"/>
      <c r="D23" s="34"/>
    </row>
    <row r="24" spans="1:4" ht="15.75" customHeight="1" x14ac:dyDescent="0.2">
      <c r="A24" s="34">
        <v>17339</v>
      </c>
      <c r="B24" s="34" t="s">
        <v>68</v>
      </c>
      <c r="C24" s="34"/>
      <c r="D24" s="34"/>
    </row>
    <row r="25" spans="1:4" ht="15.75" customHeight="1" x14ac:dyDescent="0.2">
      <c r="A25" s="34">
        <v>17344</v>
      </c>
      <c r="B25" s="34" t="s">
        <v>69</v>
      </c>
      <c r="C25" s="34"/>
      <c r="D25" s="34"/>
    </row>
    <row r="26" spans="1:4" ht="15.75" customHeight="1" x14ac:dyDescent="0.2">
      <c r="A26" s="34">
        <v>17345</v>
      </c>
      <c r="B26" s="34" t="s">
        <v>70</v>
      </c>
      <c r="C26" s="34" t="s">
        <v>71</v>
      </c>
      <c r="D26" s="34"/>
    </row>
    <row r="27" spans="1:4" ht="15.75" customHeight="1" x14ac:dyDescent="0.2">
      <c r="A27" s="34">
        <v>17346</v>
      </c>
      <c r="B27" s="34" t="s">
        <v>72</v>
      </c>
      <c r="C27" s="34" t="s">
        <v>73</v>
      </c>
      <c r="D27" s="34"/>
    </row>
    <row r="28" spans="1:4" ht="15.75" customHeight="1" x14ac:dyDescent="0.2">
      <c r="A28" s="34">
        <v>17347</v>
      </c>
      <c r="B28" s="34" t="s">
        <v>74</v>
      </c>
      <c r="C28" s="34"/>
      <c r="D28" s="34" t="s">
        <v>75</v>
      </c>
    </row>
    <row r="29" spans="1:4" ht="15.75" customHeight="1" x14ac:dyDescent="0.2">
      <c r="A29" s="34">
        <v>17348</v>
      </c>
      <c r="B29" s="34" t="s">
        <v>76</v>
      </c>
      <c r="C29" s="34"/>
      <c r="D29" s="34" t="s">
        <v>77</v>
      </c>
    </row>
    <row r="30" spans="1:4" ht="15.75" customHeight="1" x14ac:dyDescent="0.2">
      <c r="A30" s="34">
        <v>17349</v>
      </c>
      <c r="B30" s="34" t="s">
        <v>78</v>
      </c>
      <c r="C30" s="34"/>
      <c r="D30" s="34" t="s">
        <v>79</v>
      </c>
    </row>
    <row r="31" spans="1:4" ht="15.75" customHeight="1" x14ac:dyDescent="0.2">
      <c r="A31" s="34">
        <v>17350</v>
      </c>
      <c r="B31" s="34" t="s">
        <v>80</v>
      </c>
      <c r="C31" s="34"/>
      <c r="D31" s="34" t="s">
        <v>81</v>
      </c>
    </row>
    <row r="32" spans="1:4" ht="15.75" customHeight="1" x14ac:dyDescent="0.2">
      <c r="A32" s="34">
        <v>17351</v>
      </c>
      <c r="B32" s="34" t="s">
        <v>82</v>
      </c>
      <c r="C32" s="34"/>
      <c r="D32" s="34" t="s">
        <v>83</v>
      </c>
    </row>
    <row r="33" spans="1:4" ht="15.75" customHeight="1" x14ac:dyDescent="0.2">
      <c r="A33" s="34">
        <v>17352</v>
      </c>
      <c r="B33" s="34" t="s">
        <v>84</v>
      </c>
      <c r="C33" s="34"/>
      <c r="D33" s="34"/>
    </row>
    <row r="34" spans="1:4" ht="15.75" customHeight="1" x14ac:dyDescent="0.2">
      <c r="A34" s="34">
        <v>17353</v>
      </c>
      <c r="B34" s="34" t="s">
        <v>85</v>
      </c>
      <c r="C34" s="34"/>
      <c r="D34" s="34"/>
    </row>
    <row r="35" spans="1:4" ht="15.75" customHeight="1" x14ac:dyDescent="0.2">
      <c r="A35" s="34">
        <v>17354</v>
      </c>
      <c r="B35" s="34" t="s">
        <v>86</v>
      </c>
      <c r="C35" s="34"/>
      <c r="D35" s="34" t="s">
        <v>87</v>
      </c>
    </row>
    <row r="36" spans="1:4" ht="15.75" customHeight="1" x14ac:dyDescent="0.2">
      <c r="A36" s="34">
        <v>17355</v>
      </c>
      <c r="B36" s="34" t="s">
        <v>88</v>
      </c>
      <c r="C36" s="34" t="s">
        <v>89</v>
      </c>
      <c r="D36" s="34"/>
    </row>
    <row r="37" spans="1:4" ht="15.75" customHeight="1" x14ac:dyDescent="0.2">
      <c r="A37" s="34">
        <v>17356</v>
      </c>
      <c r="B37" s="34" t="s">
        <v>90</v>
      </c>
      <c r="C37" s="34"/>
      <c r="D37" s="34" t="s">
        <v>91</v>
      </c>
    </row>
    <row r="38" spans="1:4" ht="15.75" customHeight="1" x14ac:dyDescent="0.2">
      <c r="A38" s="34">
        <v>17357</v>
      </c>
      <c r="B38" s="34" t="s">
        <v>92</v>
      </c>
      <c r="C38" s="34" t="s">
        <v>93</v>
      </c>
      <c r="D38" s="34" t="s">
        <v>94</v>
      </c>
    </row>
    <row r="39" spans="1:4" ht="15.75" customHeight="1" x14ac:dyDescent="0.2">
      <c r="A39" s="34">
        <v>17358</v>
      </c>
      <c r="B39" s="34" t="s">
        <v>95</v>
      </c>
      <c r="C39" s="34"/>
      <c r="D39" s="34" t="s">
        <v>96</v>
      </c>
    </row>
    <row r="40" spans="1:4" ht="15.75" customHeight="1" x14ac:dyDescent="0.2">
      <c r="A40" s="34">
        <v>17359</v>
      </c>
      <c r="B40" s="34" t="s">
        <v>97</v>
      </c>
      <c r="C40" s="34"/>
      <c r="D40" s="34"/>
    </row>
    <row r="41" spans="1:4" ht="15.75" customHeight="1" x14ac:dyDescent="0.2">
      <c r="A41" s="34">
        <v>17365</v>
      </c>
      <c r="B41" s="34" t="s">
        <v>98</v>
      </c>
      <c r="C41" s="34"/>
      <c r="D41" s="34" t="s">
        <v>99</v>
      </c>
    </row>
    <row r="42" spans="1:4" ht="15.75" customHeight="1" x14ac:dyDescent="0.2">
      <c r="A42" s="34">
        <v>17366</v>
      </c>
      <c r="B42" s="34" t="s">
        <v>100</v>
      </c>
      <c r="C42" s="34" t="s">
        <v>101</v>
      </c>
      <c r="D42" s="34" t="s">
        <v>102</v>
      </c>
    </row>
    <row r="43" spans="1:4" ht="15.75" customHeight="1" x14ac:dyDescent="0.2">
      <c r="A43" s="34">
        <v>17384</v>
      </c>
      <c r="B43" s="34" t="s">
        <v>103</v>
      </c>
      <c r="C43" s="34"/>
      <c r="D43" s="34" t="s">
        <v>104</v>
      </c>
    </row>
    <row r="44" spans="1:4" ht="15.75" customHeight="1" x14ac:dyDescent="0.2">
      <c r="A44" s="34">
        <v>17385</v>
      </c>
      <c r="B44" s="34" t="s">
        <v>105</v>
      </c>
      <c r="C44" s="34"/>
      <c r="D44" s="34" t="s">
        <v>106</v>
      </c>
    </row>
    <row r="45" spans="1:4" ht="15.75" customHeight="1" x14ac:dyDescent="0.2">
      <c r="A45" s="34">
        <v>17386</v>
      </c>
      <c r="B45" s="34" t="s">
        <v>107</v>
      </c>
      <c r="C45" s="34"/>
      <c r="D45" s="34" t="s">
        <v>108</v>
      </c>
    </row>
    <row r="46" spans="1:4" ht="15.75" customHeight="1" x14ac:dyDescent="0.2">
      <c r="A46" s="34">
        <v>17387</v>
      </c>
      <c r="B46" s="34" t="s">
        <v>109</v>
      </c>
      <c r="C46" s="34"/>
      <c r="D46" s="34" t="s">
        <v>110</v>
      </c>
    </row>
    <row r="47" spans="1:4" ht="15.75" customHeight="1" x14ac:dyDescent="0.2">
      <c r="A47" s="34">
        <v>17388</v>
      </c>
      <c r="B47" s="34" t="s">
        <v>111</v>
      </c>
      <c r="C47" s="34"/>
      <c r="D47" s="34"/>
    </row>
    <row r="48" spans="1:4" ht="15.75" customHeight="1" x14ac:dyDescent="0.2">
      <c r="A48" s="34">
        <v>17389</v>
      </c>
      <c r="B48" s="34" t="s">
        <v>112</v>
      </c>
      <c r="C48" s="34"/>
      <c r="D48" s="34"/>
    </row>
    <row r="49" spans="1:4" ht="15.75" customHeight="1" x14ac:dyDescent="0.2">
      <c r="A49" s="34">
        <v>17390</v>
      </c>
      <c r="B49" s="34" t="s">
        <v>113</v>
      </c>
      <c r="C49" s="34"/>
      <c r="D49" s="34" t="s">
        <v>63</v>
      </c>
    </row>
    <row r="50" spans="1:4" ht="15.75" customHeight="1" x14ac:dyDescent="0.2">
      <c r="A50" s="34">
        <v>17391</v>
      </c>
      <c r="B50" s="34" t="s">
        <v>114</v>
      </c>
      <c r="C50" s="34"/>
      <c r="D50" s="34"/>
    </row>
    <row r="51" spans="1:4" ht="15.75" customHeight="1" x14ac:dyDescent="0.2">
      <c r="A51" s="34">
        <v>17392</v>
      </c>
      <c r="B51" s="34" t="s">
        <v>115</v>
      </c>
      <c r="C51" s="34" t="s">
        <v>116</v>
      </c>
      <c r="D51" s="34"/>
    </row>
    <row r="52" spans="1:4" ht="15.75" customHeight="1" x14ac:dyDescent="0.2">
      <c r="A52" s="34">
        <v>17393</v>
      </c>
      <c r="B52" s="34" t="s">
        <v>117</v>
      </c>
      <c r="C52" s="34" t="s">
        <v>118</v>
      </c>
      <c r="D52" s="34"/>
    </row>
    <row r="53" spans="1:4" ht="15.75" customHeight="1" x14ac:dyDescent="0.2">
      <c r="A53" s="34">
        <v>17397</v>
      </c>
      <c r="B53" s="34" t="s">
        <v>119</v>
      </c>
      <c r="C53" s="34" t="s">
        <v>120</v>
      </c>
      <c r="D53" s="34"/>
    </row>
    <row r="54" spans="1:4" ht="15.75" customHeight="1" x14ac:dyDescent="0.2">
      <c r="A54" s="34">
        <v>17398</v>
      </c>
      <c r="B54" s="34" t="s">
        <v>121</v>
      </c>
      <c r="C54" s="34" t="s">
        <v>122</v>
      </c>
      <c r="D54" s="34"/>
    </row>
    <row r="55" spans="1:4" ht="15.75" customHeight="1" x14ac:dyDescent="0.2">
      <c r="A55" s="34">
        <v>17399</v>
      </c>
      <c r="B55" s="34" t="s">
        <v>123</v>
      </c>
      <c r="C55" s="34" t="s">
        <v>124</v>
      </c>
      <c r="D55" s="34"/>
    </row>
    <row r="56" spans="1:4" ht="15.75" customHeight="1" x14ac:dyDescent="0.2">
      <c r="A56" s="34">
        <v>17400</v>
      </c>
      <c r="B56" s="34" t="s">
        <v>125</v>
      </c>
      <c r="C56" s="34" t="s">
        <v>126</v>
      </c>
      <c r="D56" s="34"/>
    </row>
    <row r="57" spans="1:4" ht="15.75" customHeight="1" x14ac:dyDescent="0.2">
      <c r="A57" s="34">
        <v>17405</v>
      </c>
      <c r="B57" s="34" t="s">
        <v>127</v>
      </c>
      <c r="C57" s="34" t="s">
        <v>128</v>
      </c>
      <c r="D57" s="34"/>
    </row>
    <row r="58" spans="1:4" ht="15.75" customHeight="1" x14ac:dyDescent="0.2">
      <c r="A58" s="34">
        <v>17406</v>
      </c>
      <c r="B58" s="34" t="s">
        <v>129</v>
      </c>
      <c r="C58" s="34" t="s">
        <v>130</v>
      </c>
      <c r="D58" s="34" t="s">
        <v>131</v>
      </c>
    </row>
    <row r="59" spans="1:4" ht="15.75" customHeight="1" x14ac:dyDescent="0.2">
      <c r="A59" s="34">
        <v>17407</v>
      </c>
      <c r="B59" s="34" t="s">
        <v>132</v>
      </c>
      <c r="C59" s="34"/>
      <c r="D59" s="34" t="s">
        <v>133</v>
      </c>
    </row>
    <row r="60" spans="1:4" ht="15.75" customHeight="1" x14ac:dyDescent="0.2">
      <c r="A60" s="34">
        <v>17408</v>
      </c>
      <c r="B60" s="34" t="s">
        <v>134</v>
      </c>
      <c r="C60" s="34"/>
      <c r="D60" s="34" t="s">
        <v>135</v>
      </c>
    </row>
    <row r="61" spans="1:4" ht="15.75" customHeight="1" x14ac:dyDescent="0.2">
      <c r="A61" s="34">
        <v>17409</v>
      </c>
      <c r="B61" s="34" t="s">
        <v>136</v>
      </c>
      <c r="C61" s="34"/>
      <c r="D61" s="34"/>
    </row>
    <row r="62" spans="1:4" ht="15.75" customHeight="1" x14ac:dyDescent="0.2">
      <c r="A62" s="34">
        <v>17410</v>
      </c>
      <c r="B62" s="34" t="s">
        <v>137</v>
      </c>
      <c r="C62" s="34"/>
      <c r="D62" s="34" t="s">
        <v>138</v>
      </c>
    </row>
    <row r="63" spans="1:4" ht="15.75" customHeight="1" x14ac:dyDescent="0.2">
      <c r="A63" s="34">
        <v>17412</v>
      </c>
      <c r="B63" s="34" t="s">
        <v>139</v>
      </c>
      <c r="C63" s="34"/>
      <c r="D63" s="34"/>
    </row>
    <row r="64" spans="1:4" ht="15.75" customHeight="1" x14ac:dyDescent="0.2">
      <c r="A64" s="34">
        <v>17415</v>
      </c>
      <c r="B64" s="34" t="s">
        <v>140</v>
      </c>
      <c r="C64" s="34"/>
      <c r="D64" s="34" t="s">
        <v>141</v>
      </c>
    </row>
    <row r="65" spans="1:4" ht="15.75" customHeight="1" x14ac:dyDescent="0.2">
      <c r="A65" s="34">
        <v>17416</v>
      </c>
      <c r="B65" s="34" t="s">
        <v>142</v>
      </c>
      <c r="C65" s="34"/>
      <c r="D65" s="34" t="s">
        <v>143</v>
      </c>
    </row>
    <row r="66" spans="1:4" ht="15.75" customHeight="1" x14ac:dyDescent="0.2">
      <c r="A66" s="34">
        <v>17417</v>
      </c>
      <c r="B66" s="34" t="s">
        <v>144</v>
      </c>
      <c r="C66" s="34"/>
      <c r="D66" s="34" t="s">
        <v>145</v>
      </c>
    </row>
    <row r="67" spans="1:4" ht="15.75" customHeight="1" x14ac:dyDescent="0.2">
      <c r="A67" s="34">
        <v>17418</v>
      </c>
      <c r="B67" s="34" t="s">
        <v>146</v>
      </c>
      <c r="C67" s="34"/>
      <c r="D67" s="34" t="s">
        <v>147</v>
      </c>
    </row>
    <row r="68" spans="1:4" ht="15.75" customHeight="1" x14ac:dyDescent="0.2">
      <c r="A68" s="34">
        <v>17420</v>
      </c>
      <c r="B68" s="34" t="s">
        <v>148</v>
      </c>
      <c r="C68" s="35" t="s">
        <v>149</v>
      </c>
      <c r="D68" s="34"/>
    </row>
    <row r="69" spans="1:4" ht="15.75" customHeight="1" x14ac:dyDescent="0.2">
      <c r="A69" s="34">
        <v>17421</v>
      </c>
      <c r="B69" s="34" t="s">
        <v>150</v>
      </c>
      <c r="C69" s="34" t="s">
        <v>151</v>
      </c>
      <c r="D69" s="34"/>
    </row>
    <row r="70" spans="1:4" ht="15.75" customHeight="1" x14ac:dyDescent="0.2">
      <c r="A70" s="34">
        <v>17422</v>
      </c>
      <c r="B70" s="34" t="s">
        <v>152</v>
      </c>
      <c r="C70" s="34"/>
      <c r="D70" s="34"/>
    </row>
    <row r="71" spans="1:4" ht="15.75" customHeight="1" x14ac:dyDescent="0.2">
      <c r="A71" s="34"/>
      <c r="B71" s="34"/>
      <c r="C71" s="34"/>
      <c r="D71" s="34"/>
    </row>
    <row r="72" spans="1:4" ht="15.75" customHeight="1" x14ac:dyDescent="0.2">
      <c r="A72" s="34"/>
      <c r="B72" s="34"/>
      <c r="C72" s="34"/>
      <c r="D72" s="34"/>
    </row>
    <row r="73" spans="1:4" ht="15.75" customHeight="1" x14ac:dyDescent="0.2">
      <c r="A73" s="34"/>
      <c r="B73" s="34"/>
      <c r="C73" s="34"/>
      <c r="D73" s="34"/>
    </row>
    <row r="74" spans="1:4" ht="15.75" customHeight="1" x14ac:dyDescent="0.2">
      <c r="A74" s="34"/>
      <c r="B74" s="34"/>
      <c r="C74" s="34"/>
      <c r="D74" s="34"/>
    </row>
    <row r="75" spans="1:4" ht="15.75" customHeight="1" x14ac:dyDescent="0.2">
      <c r="A75" s="34"/>
      <c r="B75" s="34"/>
      <c r="C75" s="34"/>
      <c r="D75" s="34"/>
    </row>
    <row r="76" spans="1:4" ht="15.75" customHeight="1" x14ac:dyDescent="0.2">
      <c r="A76" s="34"/>
      <c r="B76" s="34"/>
      <c r="C76" s="34"/>
      <c r="D76" s="34"/>
    </row>
    <row r="77" spans="1:4" ht="15.75" customHeight="1" x14ac:dyDescent="0.2">
      <c r="A77" s="34"/>
      <c r="B77" s="34"/>
      <c r="C77" s="34"/>
      <c r="D77" s="34"/>
    </row>
    <row r="78" spans="1:4" ht="15.75" customHeight="1" x14ac:dyDescent="0.2">
      <c r="A78" s="34"/>
      <c r="B78" s="34"/>
      <c r="C78" s="34"/>
      <c r="D78" s="34"/>
    </row>
    <row r="79" spans="1:4" ht="15.75" customHeight="1" x14ac:dyDescent="0.2">
      <c r="A79" s="34"/>
      <c r="B79" s="34"/>
      <c r="C79" s="34"/>
      <c r="D79" s="34"/>
    </row>
    <row r="80" spans="1:4" ht="15.75" customHeight="1" x14ac:dyDescent="0.2">
      <c r="A80" s="34"/>
      <c r="B80" s="34"/>
      <c r="C80" s="34"/>
      <c r="D80" s="34"/>
    </row>
    <row r="81" spans="1:4" ht="15.75" customHeight="1" x14ac:dyDescent="0.2">
      <c r="A81" s="34"/>
      <c r="B81" s="34"/>
      <c r="C81" s="34"/>
      <c r="D81" s="34"/>
    </row>
    <row r="82" spans="1:4" ht="15.75" customHeight="1" x14ac:dyDescent="0.2">
      <c r="A82" s="34"/>
      <c r="B82" s="34"/>
      <c r="C82" s="34"/>
      <c r="D82" s="34"/>
    </row>
    <row r="83" spans="1:4" ht="15.75" customHeight="1" x14ac:dyDescent="0.2">
      <c r="A83" s="34"/>
      <c r="B83" s="34"/>
      <c r="C83" s="34"/>
      <c r="D83" s="34"/>
    </row>
    <row r="84" spans="1:4" ht="15.75" customHeight="1" x14ac:dyDescent="0.2">
      <c r="A84" s="34"/>
      <c r="B84" s="34"/>
      <c r="C84" s="34"/>
      <c r="D84" s="34"/>
    </row>
    <row r="85" spans="1:4" ht="15.75" customHeight="1" x14ac:dyDescent="0.2">
      <c r="A85" s="34"/>
      <c r="B85" s="34"/>
      <c r="C85" s="34"/>
      <c r="D85" s="34"/>
    </row>
    <row r="86" spans="1:4" ht="15.75" customHeight="1" x14ac:dyDescent="0.2">
      <c r="A86" s="34"/>
      <c r="B86" s="34"/>
      <c r="C86" s="34"/>
      <c r="D86" s="34"/>
    </row>
    <row r="87" spans="1:4" ht="15.75" customHeight="1" x14ac:dyDescent="0.2">
      <c r="A87" s="34"/>
      <c r="B87" s="34"/>
      <c r="C87" s="34"/>
      <c r="D87" s="34"/>
    </row>
    <row r="88" spans="1:4" ht="15.75" customHeight="1" x14ac:dyDescent="0.2">
      <c r="A88" s="34"/>
      <c r="B88" s="34"/>
      <c r="C88" s="34"/>
      <c r="D88" s="34"/>
    </row>
    <row r="89" spans="1:4" ht="15.75" customHeight="1" x14ac:dyDescent="0.2">
      <c r="A89" s="34"/>
      <c r="B89" s="34"/>
      <c r="C89" s="34"/>
      <c r="D89" s="34"/>
    </row>
    <row r="90" spans="1:4" ht="15.75" customHeight="1" x14ac:dyDescent="0.2">
      <c r="A90" s="34"/>
      <c r="B90" s="34"/>
      <c r="C90" s="34"/>
      <c r="D90" s="34"/>
    </row>
    <row r="91" spans="1:4" ht="15.75" customHeight="1" x14ac:dyDescent="0.2">
      <c r="A91" s="34"/>
      <c r="B91" s="34"/>
      <c r="C91" s="34"/>
      <c r="D91" s="34"/>
    </row>
    <row r="92" spans="1:4" ht="15.75" customHeight="1" x14ac:dyDescent="0.2">
      <c r="A92" s="34"/>
      <c r="B92" s="34"/>
      <c r="C92" s="34"/>
      <c r="D92" s="34"/>
    </row>
    <row r="93" spans="1:4" ht="15.75" customHeight="1" x14ac:dyDescent="0.2">
      <c r="A93" s="34"/>
      <c r="B93" s="34"/>
      <c r="C93" s="34"/>
      <c r="D93" s="34"/>
    </row>
    <row r="94" spans="1:4" ht="15.75" customHeight="1" x14ac:dyDescent="0.2">
      <c r="A94" s="34"/>
      <c r="B94" s="34"/>
      <c r="C94" s="34"/>
      <c r="D94" s="34"/>
    </row>
    <row r="95" spans="1:4" ht="15.75" customHeight="1" x14ac:dyDescent="0.2">
      <c r="A95" s="34"/>
      <c r="B95" s="34"/>
      <c r="C95" s="34"/>
      <c r="D95" s="34"/>
    </row>
    <row r="96" spans="1:4" ht="15.75" customHeight="1" x14ac:dyDescent="0.2">
      <c r="A96" s="34"/>
      <c r="B96" s="34"/>
      <c r="C96" s="34"/>
      <c r="D96" s="34"/>
    </row>
    <row r="97" spans="1:4" ht="15.75" customHeight="1" x14ac:dyDescent="0.2">
      <c r="A97" s="34"/>
      <c r="B97" s="34"/>
      <c r="C97" s="34"/>
      <c r="D97" s="34"/>
    </row>
    <row r="98" spans="1:4" ht="15.75" customHeight="1" x14ac:dyDescent="0.2">
      <c r="A98" s="34"/>
      <c r="B98" s="34"/>
      <c r="C98" s="34"/>
      <c r="D98" s="34"/>
    </row>
    <row r="99" spans="1:4" ht="15.75" customHeight="1" x14ac:dyDescent="0.2">
      <c r="A99" s="34"/>
      <c r="B99" s="34"/>
      <c r="C99" s="34"/>
      <c r="D99" s="34"/>
    </row>
    <row r="100" spans="1:4" ht="15.75" customHeight="1" x14ac:dyDescent="0.2">
      <c r="A100" s="34"/>
      <c r="B100" s="34"/>
      <c r="C100" s="34"/>
      <c r="D100" s="34"/>
    </row>
    <row r="101" spans="1:4" ht="15.75" customHeight="1" x14ac:dyDescent="0.2">
      <c r="A101" s="34"/>
      <c r="B101" s="34"/>
      <c r="C101" s="34"/>
      <c r="D101" s="34"/>
    </row>
    <row r="102" spans="1:4" ht="15.75" customHeight="1" x14ac:dyDescent="0.2">
      <c r="A102" s="34"/>
      <c r="B102" s="34"/>
      <c r="C102" s="34"/>
      <c r="D102" s="34"/>
    </row>
    <row r="103" spans="1:4" ht="15.75" customHeight="1" x14ac:dyDescent="0.2">
      <c r="A103" s="34"/>
      <c r="B103" s="34"/>
      <c r="C103" s="34"/>
      <c r="D103" s="34"/>
    </row>
    <row r="104" spans="1:4" ht="15.75" customHeight="1" x14ac:dyDescent="0.2">
      <c r="A104" s="34"/>
      <c r="B104" s="34"/>
      <c r="C104" s="34"/>
      <c r="D104" s="34"/>
    </row>
    <row r="105" spans="1:4" ht="15.75" customHeight="1" x14ac:dyDescent="0.2">
      <c r="A105" s="34"/>
      <c r="B105" s="34"/>
      <c r="C105" s="34"/>
      <c r="D105" s="34"/>
    </row>
    <row r="106" spans="1:4" ht="15.75" customHeight="1" x14ac:dyDescent="0.2">
      <c r="A106" s="34"/>
      <c r="B106" s="34"/>
      <c r="C106" s="34"/>
      <c r="D106" s="34"/>
    </row>
    <row r="107" spans="1:4" ht="15.75" customHeight="1" x14ac:dyDescent="0.2">
      <c r="A107" s="34"/>
      <c r="B107" s="34"/>
      <c r="C107" s="34"/>
      <c r="D107" s="34"/>
    </row>
    <row r="108" spans="1:4" ht="15.75" customHeight="1" x14ac:dyDescent="0.2">
      <c r="A108" s="34"/>
      <c r="B108" s="34"/>
      <c r="C108" s="34"/>
      <c r="D108" s="34"/>
    </row>
    <row r="109" spans="1:4" ht="15.75" customHeight="1" x14ac:dyDescent="0.2">
      <c r="A109" s="34"/>
      <c r="B109" s="34"/>
      <c r="C109" s="34"/>
      <c r="D109" s="34"/>
    </row>
    <row r="110" spans="1:4" ht="15.75" customHeight="1" x14ac:dyDescent="0.2">
      <c r="A110" s="34"/>
      <c r="B110" s="34"/>
      <c r="C110" s="34"/>
      <c r="D110" s="34"/>
    </row>
    <row r="111" spans="1:4" ht="15.75" customHeight="1" x14ac:dyDescent="0.2">
      <c r="A111" s="34"/>
      <c r="B111" s="34"/>
      <c r="C111" s="34"/>
      <c r="D111" s="34"/>
    </row>
    <row r="112" spans="1:4" ht="15.75" customHeight="1" x14ac:dyDescent="0.2">
      <c r="A112" s="34"/>
      <c r="B112" s="34"/>
      <c r="C112" s="34"/>
      <c r="D112" s="34"/>
    </row>
    <row r="113" spans="1:4" ht="15.75" customHeight="1" x14ac:dyDescent="0.2">
      <c r="A113" s="34"/>
      <c r="B113" s="34"/>
      <c r="C113" s="34"/>
      <c r="D113" s="34"/>
    </row>
    <row r="114" spans="1:4" ht="15.75" customHeight="1" x14ac:dyDescent="0.2">
      <c r="A114" s="34"/>
      <c r="B114" s="34"/>
      <c r="C114" s="34"/>
      <c r="D114" s="34"/>
    </row>
    <row r="115" spans="1:4" ht="15.75" customHeight="1" x14ac:dyDescent="0.2">
      <c r="A115" s="34"/>
      <c r="B115" s="34"/>
      <c r="C115" s="34"/>
      <c r="D115" s="34"/>
    </row>
    <row r="116" spans="1:4" ht="15.75" customHeight="1" x14ac:dyDescent="0.2">
      <c r="A116" s="34"/>
      <c r="B116" s="34"/>
      <c r="C116" s="34"/>
      <c r="D116" s="34"/>
    </row>
    <row r="117" spans="1:4" ht="15.75" customHeight="1" x14ac:dyDescent="0.2">
      <c r="A117" s="34"/>
      <c r="B117" s="34"/>
      <c r="C117" s="34"/>
      <c r="D117" s="34"/>
    </row>
    <row r="118" spans="1:4" ht="15.75" customHeight="1" x14ac:dyDescent="0.2">
      <c r="A118" s="34"/>
      <c r="B118" s="34"/>
      <c r="C118" s="34"/>
      <c r="D118" s="34"/>
    </row>
    <row r="119" spans="1:4" ht="15.75" customHeight="1" x14ac:dyDescent="0.2">
      <c r="A119" s="34"/>
      <c r="B119" s="34"/>
      <c r="C119" s="34"/>
      <c r="D119" s="34"/>
    </row>
    <row r="120" spans="1:4" ht="15.75" customHeight="1" x14ac:dyDescent="0.2">
      <c r="A120" s="34"/>
      <c r="B120" s="34"/>
      <c r="C120" s="34"/>
      <c r="D120" s="34"/>
    </row>
    <row r="121" spans="1:4" ht="15.75" customHeight="1" x14ac:dyDescent="0.2">
      <c r="A121" s="34"/>
      <c r="B121" s="34"/>
      <c r="C121" s="34"/>
      <c r="D121" s="34"/>
    </row>
    <row r="122" spans="1:4" ht="15.75" customHeight="1" x14ac:dyDescent="0.2">
      <c r="A122" s="34"/>
      <c r="B122" s="34"/>
      <c r="C122" s="34"/>
      <c r="D122" s="34"/>
    </row>
    <row r="123" spans="1:4" ht="15.75" customHeight="1" x14ac:dyDescent="0.2">
      <c r="A123" s="34"/>
      <c r="B123" s="34"/>
      <c r="C123" s="34"/>
      <c r="D123" s="34"/>
    </row>
    <row r="124" spans="1:4" ht="15.75" customHeight="1" x14ac:dyDescent="0.2">
      <c r="A124" s="34"/>
      <c r="B124" s="34"/>
      <c r="C124" s="34"/>
      <c r="D124" s="34"/>
    </row>
    <row r="125" spans="1:4" ht="15.75" customHeight="1" x14ac:dyDescent="0.2">
      <c r="A125" s="34"/>
      <c r="B125" s="34"/>
      <c r="C125" s="34"/>
      <c r="D125" s="34"/>
    </row>
    <row r="126" spans="1:4" ht="15.75" customHeight="1" x14ac:dyDescent="0.2">
      <c r="A126" s="34"/>
      <c r="B126" s="34"/>
      <c r="C126" s="34"/>
      <c r="D126" s="34"/>
    </row>
    <row r="127" spans="1:4" ht="15.75" customHeight="1" x14ac:dyDescent="0.2">
      <c r="A127" s="34"/>
      <c r="B127" s="34"/>
      <c r="C127" s="34"/>
      <c r="D127" s="34"/>
    </row>
    <row r="128" spans="1:4" ht="15.75" customHeight="1" x14ac:dyDescent="0.2">
      <c r="A128" s="34"/>
      <c r="B128" s="34"/>
      <c r="C128" s="34"/>
      <c r="D128" s="34"/>
    </row>
    <row r="129" spans="1:4" ht="15.75" customHeight="1" x14ac:dyDescent="0.2">
      <c r="A129" s="34"/>
      <c r="B129" s="34"/>
      <c r="C129" s="34"/>
      <c r="D129" s="34"/>
    </row>
    <row r="130" spans="1:4" ht="15.75" customHeight="1" x14ac:dyDescent="0.2">
      <c r="A130" s="34"/>
      <c r="B130" s="34"/>
      <c r="C130" s="34"/>
      <c r="D130" s="34"/>
    </row>
    <row r="131" spans="1:4" ht="15.75" customHeight="1" x14ac:dyDescent="0.2">
      <c r="A131" s="34"/>
      <c r="B131" s="34"/>
      <c r="C131" s="34"/>
      <c r="D131" s="34"/>
    </row>
    <row r="132" spans="1:4" ht="15.75" customHeight="1" x14ac:dyDescent="0.2">
      <c r="A132" s="34"/>
      <c r="B132" s="34"/>
      <c r="C132" s="34"/>
      <c r="D132" s="34"/>
    </row>
    <row r="133" spans="1:4" ht="15.75" customHeight="1" x14ac:dyDescent="0.2">
      <c r="A133" s="34"/>
      <c r="B133" s="34"/>
      <c r="C133" s="34"/>
      <c r="D133" s="34"/>
    </row>
    <row r="134" spans="1:4" ht="15.75" customHeight="1" x14ac:dyDescent="0.2">
      <c r="A134" s="34"/>
      <c r="B134" s="34"/>
      <c r="C134" s="34"/>
      <c r="D134" s="34"/>
    </row>
    <row r="135" spans="1:4" ht="15.75" customHeight="1" x14ac:dyDescent="0.2">
      <c r="A135" s="34"/>
      <c r="B135" s="34"/>
      <c r="C135" s="34"/>
      <c r="D135" s="34"/>
    </row>
    <row r="136" spans="1:4" ht="15.75" customHeight="1" x14ac:dyDescent="0.2">
      <c r="A136" s="34"/>
      <c r="B136" s="34"/>
      <c r="C136" s="34"/>
      <c r="D136" s="34"/>
    </row>
    <row r="137" spans="1:4" ht="15.75" customHeight="1" x14ac:dyDescent="0.2">
      <c r="A137" s="34"/>
      <c r="B137" s="34"/>
      <c r="C137" s="34"/>
      <c r="D137" s="34"/>
    </row>
    <row r="138" spans="1:4" ht="15.75" customHeight="1" x14ac:dyDescent="0.2">
      <c r="A138" s="34"/>
      <c r="B138" s="34"/>
      <c r="C138" s="34"/>
      <c r="D138" s="34"/>
    </row>
    <row r="139" spans="1:4" ht="15.75" customHeight="1" x14ac:dyDescent="0.2">
      <c r="A139" s="34"/>
      <c r="B139" s="34"/>
      <c r="C139" s="34"/>
      <c r="D139" s="34"/>
    </row>
    <row r="140" spans="1:4" ht="15.75" customHeight="1" x14ac:dyDescent="0.2">
      <c r="A140" s="34"/>
      <c r="B140" s="34"/>
      <c r="C140" s="34"/>
      <c r="D140" s="34"/>
    </row>
    <row r="141" spans="1:4" ht="15.75" customHeight="1" x14ac:dyDescent="0.2">
      <c r="A141" s="34"/>
      <c r="B141" s="34"/>
      <c r="C141" s="34"/>
      <c r="D141" s="34"/>
    </row>
    <row r="142" spans="1:4" ht="15.75" customHeight="1" x14ac:dyDescent="0.2">
      <c r="A142" s="34"/>
      <c r="B142" s="34"/>
      <c r="C142" s="34"/>
      <c r="D142" s="34"/>
    </row>
    <row r="143" spans="1:4" ht="15.75" customHeight="1" x14ac:dyDescent="0.2">
      <c r="A143" s="34"/>
      <c r="B143" s="34"/>
      <c r="C143" s="34"/>
      <c r="D143" s="34"/>
    </row>
    <row r="144" spans="1:4" ht="15.75" customHeight="1" x14ac:dyDescent="0.2">
      <c r="A144" s="34"/>
      <c r="B144" s="34"/>
      <c r="C144" s="34"/>
      <c r="D144" s="34"/>
    </row>
    <row r="145" spans="1:4" ht="15.75" customHeight="1" x14ac:dyDescent="0.2">
      <c r="A145" s="34"/>
      <c r="B145" s="34"/>
      <c r="C145" s="34"/>
      <c r="D145" s="34"/>
    </row>
    <row r="146" spans="1:4" ht="15.75" customHeight="1" x14ac:dyDescent="0.2">
      <c r="A146" s="34"/>
      <c r="B146" s="34"/>
      <c r="C146" s="34"/>
      <c r="D146" s="34"/>
    </row>
    <row r="147" spans="1:4" ht="15.75" customHeight="1" x14ac:dyDescent="0.2">
      <c r="A147" s="34"/>
      <c r="B147" s="34"/>
      <c r="C147" s="34"/>
      <c r="D147" s="34"/>
    </row>
    <row r="148" spans="1:4" ht="15.75" customHeight="1" x14ac:dyDescent="0.2">
      <c r="A148" s="34"/>
      <c r="B148" s="34"/>
      <c r="C148" s="34"/>
      <c r="D148" s="34"/>
    </row>
    <row r="149" spans="1:4" ht="15.75" customHeight="1" x14ac:dyDescent="0.2">
      <c r="A149" s="34"/>
      <c r="B149" s="34"/>
      <c r="C149" s="34"/>
      <c r="D149" s="34"/>
    </row>
    <row r="150" spans="1:4" ht="15.75" customHeight="1" x14ac:dyDescent="0.2">
      <c r="A150" s="34"/>
      <c r="B150" s="34"/>
      <c r="C150" s="34"/>
      <c r="D150" s="34"/>
    </row>
    <row r="151" spans="1:4" ht="15.75" customHeight="1" x14ac:dyDescent="0.2">
      <c r="A151" s="34"/>
      <c r="B151" s="34"/>
      <c r="C151" s="34"/>
      <c r="D151" s="34"/>
    </row>
    <row r="152" spans="1:4" ht="15.75" customHeight="1" x14ac:dyDescent="0.2">
      <c r="A152" s="34"/>
      <c r="B152" s="34"/>
      <c r="C152" s="34"/>
      <c r="D152" s="34"/>
    </row>
    <row r="153" spans="1:4" ht="15.75" customHeight="1" x14ac:dyDescent="0.2">
      <c r="A153" s="34"/>
      <c r="B153" s="34"/>
      <c r="C153" s="34"/>
      <c r="D153" s="34"/>
    </row>
    <row r="154" spans="1:4" ht="15.75" customHeight="1" x14ac:dyDescent="0.2">
      <c r="A154" s="34"/>
      <c r="B154" s="34"/>
      <c r="C154" s="34"/>
      <c r="D154" s="34"/>
    </row>
    <row r="155" spans="1:4" ht="15.75" customHeight="1" x14ac:dyDescent="0.2">
      <c r="A155" s="34"/>
      <c r="B155" s="34"/>
      <c r="C155" s="34"/>
      <c r="D155" s="34"/>
    </row>
    <row r="156" spans="1:4" ht="15.75" customHeight="1" x14ac:dyDescent="0.2">
      <c r="A156" s="34"/>
      <c r="B156" s="34"/>
      <c r="C156" s="34"/>
      <c r="D156" s="34"/>
    </row>
    <row r="157" spans="1:4" ht="15.75" customHeight="1" x14ac:dyDescent="0.2">
      <c r="A157" s="34"/>
      <c r="B157" s="34"/>
      <c r="C157" s="34"/>
      <c r="D157" s="34"/>
    </row>
    <row r="158" spans="1:4" ht="15.75" customHeight="1" x14ac:dyDescent="0.2">
      <c r="A158" s="34"/>
      <c r="B158" s="34"/>
      <c r="C158" s="34"/>
      <c r="D158" s="34"/>
    </row>
    <row r="159" spans="1:4" ht="15.75" customHeight="1" x14ac:dyDescent="0.2">
      <c r="A159" s="34"/>
      <c r="B159" s="34"/>
      <c r="C159" s="34"/>
      <c r="D159" s="34"/>
    </row>
    <row r="160" spans="1:4" ht="15.75" customHeight="1" x14ac:dyDescent="0.2">
      <c r="A160" s="34"/>
      <c r="B160" s="34"/>
      <c r="C160" s="34"/>
      <c r="D160" s="34"/>
    </row>
    <row r="161" spans="1:4" ht="15.75" customHeight="1" x14ac:dyDescent="0.2">
      <c r="A161" s="34"/>
      <c r="B161" s="34"/>
      <c r="C161" s="34"/>
      <c r="D161" s="34"/>
    </row>
    <row r="162" spans="1:4" ht="15.75" customHeight="1" x14ac:dyDescent="0.2">
      <c r="A162" s="34"/>
      <c r="B162" s="34"/>
      <c r="C162" s="34"/>
      <c r="D162" s="34"/>
    </row>
    <row r="163" spans="1:4" ht="15.75" customHeight="1" x14ac:dyDescent="0.2">
      <c r="A163" s="34"/>
      <c r="B163" s="34"/>
      <c r="C163" s="34"/>
      <c r="D163" s="34"/>
    </row>
    <row r="164" spans="1:4" ht="15.75" customHeight="1" x14ac:dyDescent="0.2">
      <c r="A164" s="34"/>
      <c r="B164" s="34"/>
      <c r="C164" s="34"/>
      <c r="D164" s="34"/>
    </row>
    <row r="165" spans="1:4" ht="15.75" customHeight="1" x14ac:dyDescent="0.2">
      <c r="A165" s="34"/>
      <c r="B165" s="34"/>
      <c r="C165" s="34"/>
      <c r="D165" s="34"/>
    </row>
    <row r="166" spans="1:4" ht="15.75" customHeight="1" x14ac:dyDescent="0.2">
      <c r="A166" s="34"/>
      <c r="B166" s="34"/>
      <c r="C166" s="34"/>
      <c r="D166" s="34"/>
    </row>
    <row r="167" spans="1:4" ht="15.75" customHeight="1" x14ac:dyDescent="0.2">
      <c r="A167" s="34"/>
      <c r="B167" s="34"/>
      <c r="C167" s="34"/>
      <c r="D167" s="34"/>
    </row>
    <row r="168" spans="1:4" ht="15.75" customHeight="1" x14ac:dyDescent="0.2">
      <c r="A168" s="34"/>
      <c r="B168" s="34"/>
      <c r="C168" s="34"/>
      <c r="D168" s="34"/>
    </row>
    <row r="169" spans="1:4" ht="15.75" customHeight="1" x14ac:dyDescent="0.2">
      <c r="A169" s="34"/>
      <c r="B169" s="34"/>
      <c r="C169" s="34"/>
      <c r="D169" s="34"/>
    </row>
    <row r="170" spans="1:4" ht="15.75" customHeight="1" x14ac:dyDescent="0.2">
      <c r="A170" s="34"/>
      <c r="B170" s="34"/>
      <c r="C170" s="34"/>
      <c r="D170" s="34"/>
    </row>
    <row r="171" spans="1:4" ht="15.75" customHeight="1" x14ac:dyDescent="0.2">
      <c r="A171" s="34"/>
      <c r="B171" s="34"/>
      <c r="C171" s="34"/>
      <c r="D171" s="34"/>
    </row>
    <row r="172" spans="1:4" ht="15.75" customHeight="1" x14ac:dyDescent="0.2">
      <c r="A172" s="34"/>
      <c r="B172" s="34"/>
      <c r="C172" s="34"/>
      <c r="D172" s="34"/>
    </row>
    <row r="173" spans="1:4" ht="15.75" customHeight="1" x14ac:dyDescent="0.2">
      <c r="A173" s="34"/>
      <c r="B173" s="34"/>
      <c r="C173" s="34"/>
      <c r="D173" s="34"/>
    </row>
    <row r="174" spans="1:4" ht="15.75" customHeight="1" x14ac:dyDescent="0.2">
      <c r="A174" s="34"/>
      <c r="B174" s="34"/>
      <c r="C174" s="34"/>
      <c r="D174" s="34"/>
    </row>
    <row r="175" spans="1:4" ht="15.75" customHeight="1" x14ac:dyDescent="0.2">
      <c r="A175" s="34"/>
      <c r="B175" s="34"/>
      <c r="C175" s="34"/>
      <c r="D175" s="34"/>
    </row>
    <row r="176" spans="1:4" ht="15.75" customHeight="1" x14ac:dyDescent="0.2">
      <c r="A176" s="34"/>
      <c r="B176" s="34"/>
      <c r="C176" s="34"/>
      <c r="D176" s="34"/>
    </row>
    <row r="177" spans="1:4" ht="15.75" customHeight="1" x14ac:dyDescent="0.2">
      <c r="A177" s="34"/>
      <c r="B177" s="34"/>
      <c r="C177" s="34"/>
      <c r="D177" s="34"/>
    </row>
    <row r="178" spans="1:4" ht="15.75" customHeight="1" x14ac:dyDescent="0.2">
      <c r="A178" s="34"/>
      <c r="B178" s="34"/>
      <c r="C178" s="34"/>
      <c r="D178" s="34"/>
    </row>
    <row r="179" spans="1:4" ht="15.75" customHeight="1" x14ac:dyDescent="0.2">
      <c r="A179" s="34"/>
      <c r="B179" s="34"/>
      <c r="C179" s="34"/>
      <c r="D179" s="34"/>
    </row>
    <row r="180" spans="1:4" ht="15.75" customHeight="1" x14ac:dyDescent="0.2">
      <c r="A180" s="34"/>
      <c r="B180" s="34"/>
      <c r="C180" s="34"/>
      <c r="D180" s="34"/>
    </row>
    <row r="181" spans="1:4" ht="15.75" customHeight="1" x14ac:dyDescent="0.2">
      <c r="A181" s="34"/>
      <c r="B181" s="34"/>
      <c r="C181" s="34"/>
      <c r="D181" s="34"/>
    </row>
    <row r="182" spans="1:4" ht="15.75" customHeight="1" x14ac:dyDescent="0.2">
      <c r="A182" s="34"/>
      <c r="B182" s="34"/>
      <c r="C182" s="34"/>
      <c r="D182" s="34"/>
    </row>
    <row r="183" spans="1:4" ht="15.75" customHeight="1" x14ac:dyDescent="0.2">
      <c r="A183" s="34"/>
      <c r="B183" s="34"/>
      <c r="C183" s="34"/>
      <c r="D183" s="34"/>
    </row>
    <row r="184" spans="1:4" ht="15.75" customHeight="1" x14ac:dyDescent="0.2">
      <c r="A184" s="34"/>
      <c r="B184" s="34"/>
      <c r="C184" s="34"/>
      <c r="D184" s="34"/>
    </row>
    <row r="185" spans="1:4" ht="15.75" customHeight="1" x14ac:dyDescent="0.2">
      <c r="A185" s="34"/>
      <c r="B185" s="34"/>
      <c r="C185" s="34"/>
      <c r="D185" s="34"/>
    </row>
    <row r="186" spans="1:4" ht="15.75" customHeight="1" x14ac:dyDescent="0.2">
      <c r="A186" s="34"/>
      <c r="B186" s="34"/>
      <c r="C186" s="34"/>
      <c r="D186" s="34"/>
    </row>
    <row r="187" spans="1:4" ht="15.75" customHeight="1" x14ac:dyDescent="0.2">
      <c r="A187" s="34"/>
      <c r="B187" s="34"/>
      <c r="C187" s="34"/>
      <c r="D187" s="34"/>
    </row>
    <row r="188" spans="1:4" ht="15.75" customHeight="1" x14ac:dyDescent="0.2">
      <c r="A188" s="34"/>
      <c r="B188" s="34"/>
      <c r="C188" s="34"/>
      <c r="D188" s="34"/>
    </row>
    <row r="189" spans="1:4" ht="15.75" customHeight="1" x14ac:dyDescent="0.2">
      <c r="A189" s="34"/>
      <c r="B189" s="34"/>
      <c r="C189" s="34"/>
      <c r="D189" s="34"/>
    </row>
    <row r="190" spans="1:4" ht="15.75" customHeight="1" x14ac:dyDescent="0.2">
      <c r="A190" s="34"/>
      <c r="B190" s="34"/>
      <c r="C190" s="34"/>
      <c r="D190" s="34"/>
    </row>
    <row r="191" spans="1:4" ht="15.75" customHeight="1" x14ac:dyDescent="0.2">
      <c r="A191" s="34"/>
      <c r="B191" s="34"/>
      <c r="C191" s="34"/>
      <c r="D191" s="34"/>
    </row>
    <row r="192" spans="1:4" ht="15.75" customHeight="1" x14ac:dyDescent="0.2">
      <c r="A192" s="34"/>
      <c r="B192" s="34"/>
      <c r="C192" s="34"/>
      <c r="D192" s="34"/>
    </row>
    <row r="193" spans="1:4" ht="15.75" customHeight="1" x14ac:dyDescent="0.2">
      <c r="A193" s="34"/>
      <c r="B193" s="34"/>
      <c r="C193" s="34"/>
      <c r="D193" s="34"/>
    </row>
    <row r="194" spans="1:4" ht="15.75" customHeight="1" x14ac:dyDescent="0.2">
      <c r="A194" s="34"/>
      <c r="B194" s="34"/>
      <c r="C194" s="34"/>
      <c r="D194" s="34"/>
    </row>
    <row r="195" spans="1:4" ht="15.75" customHeight="1" x14ac:dyDescent="0.2">
      <c r="A195" s="34"/>
      <c r="B195" s="34"/>
      <c r="C195" s="34"/>
      <c r="D195" s="34"/>
    </row>
    <row r="196" spans="1:4" ht="15.75" customHeight="1" x14ac:dyDescent="0.2">
      <c r="A196" s="34"/>
      <c r="B196" s="34"/>
      <c r="C196" s="34"/>
      <c r="D196" s="34"/>
    </row>
    <row r="197" spans="1:4" ht="15.75" customHeight="1" x14ac:dyDescent="0.2">
      <c r="A197" s="34"/>
      <c r="B197" s="34"/>
      <c r="C197" s="34"/>
      <c r="D197" s="34"/>
    </row>
    <row r="198" spans="1:4" ht="15.75" customHeight="1" x14ac:dyDescent="0.2">
      <c r="A198" s="34"/>
      <c r="B198" s="34"/>
      <c r="C198" s="34"/>
      <c r="D198" s="34"/>
    </row>
    <row r="199" spans="1:4" ht="15.75" customHeight="1" x14ac:dyDescent="0.2">
      <c r="A199" s="34"/>
      <c r="B199" s="34"/>
      <c r="C199" s="34"/>
      <c r="D199" s="34"/>
    </row>
    <row r="200" spans="1:4" ht="15.75" customHeight="1" x14ac:dyDescent="0.2">
      <c r="A200" s="34"/>
      <c r="B200" s="34"/>
      <c r="C200" s="34"/>
      <c r="D200" s="34"/>
    </row>
    <row r="201" spans="1:4" ht="15.75" customHeight="1" x14ac:dyDescent="0.2">
      <c r="A201" s="34"/>
      <c r="B201" s="34"/>
      <c r="C201" s="34"/>
      <c r="D201" s="34"/>
    </row>
    <row r="202" spans="1:4" ht="15.75" customHeight="1" x14ac:dyDescent="0.2">
      <c r="A202" s="34"/>
      <c r="B202" s="34"/>
      <c r="C202" s="34"/>
      <c r="D202" s="34"/>
    </row>
    <row r="203" spans="1:4" ht="15.75" customHeight="1" x14ac:dyDescent="0.2">
      <c r="A203" s="34"/>
      <c r="B203" s="34"/>
      <c r="C203" s="34"/>
      <c r="D203" s="34"/>
    </row>
    <row r="204" spans="1:4" ht="15.75" customHeight="1" x14ac:dyDescent="0.2">
      <c r="A204" s="34"/>
      <c r="B204" s="34"/>
      <c r="C204" s="34"/>
      <c r="D204" s="34"/>
    </row>
    <row r="205" spans="1:4" ht="15.75" customHeight="1" x14ac:dyDescent="0.2">
      <c r="A205" s="34"/>
      <c r="B205" s="34"/>
      <c r="C205" s="34"/>
      <c r="D205" s="34"/>
    </row>
    <row r="206" spans="1:4" ht="15.75" customHeight="1" x14ac:dyDescent="0.2">
      <c r="A206" s="34"/>
      <c r="B206" s="34"/>
      <c r="C206" s="34"/>
      <c r="D206" s="34"/>
    </row>
    <row r="207" spans="1:4" ht="15.75" customHeight="1" x14ac:dyDescent="0.2">
      <c r="A207" s="34"/>
      <c r="B207" s="34"/>
      <c r="C207" s="34"/>
      <c r="D207" s="34"/>
    </row>
    <row r="208" spans="1:4" ht="15.75" customHeight="1" x14ac:dyDescent="0.2">
      <c r="A208" s="34"/>
      <c r="B208" s="34"/>
      <c r="C208" s="34"/>
      <c r="D208" s="34"/>
    </row>
    <row r="209" spans="1:4" ht="15.75" customHeight="1" x14ac:dyDescent="0.2">
      <c r="A209" s="34"/>
      <c r="B209" s="34"/>
      <c r="C209" s="34"/>
      <c r="D209" s="34"/>
    </row>
    <row r="210" spans="1:4" ht="15.75" customHeight="1" x14ac:dyDescent="0.2">
      <c r="A210" s="34"/>
      <c r="B210" s="34"/>
      <c r="C210" s="34"/>
      <c r="D210" s="34"/>
    </row>
    <row r="211" spans="1:4" ht="15.75" customHeight="1" x14ac:dyDescent="0.2">
      <c r="A211" s="34"/>
      <c r="B211" s="34"/>
      <c r="C211" s="34"/>
      <c r="D211" s="34"/>
    </row>
    <row r="212" spans="1:4" ht="15.75" customHeight="1" x14ac:dyDescent="0.2">
      <c r="A212" s="34"/>
      <c r="B212" s="34"/>
      <c r="C212" s="34"/>
      <c r="D212" s="34"/>
    </row>
    <row r="213" spans="1:4" ht="15.75" customHeight="1" x14ac:dyDescent="0.2">
      <c r="A213" s="34"/>
      <c r="B213" s="34"/>
      <c r="C213" s="34"/>
      <c r="D213" s="34"/>
    </row>
    <row r="214" spans="1:4" ht="15.75" customHeight="1" x14ac:dyDescent="0.2">
      <c r="A214" s="34"/>
      <c r="B214" s="34"/>
      <c r="C214" s="34"/>
      <c r="D214" s="34"/>
    </row>
    <row r="215" spans="1:4" ht="15.75" customHeight="1" x14ac:dyDescent="0.2">
      <c r="A215" s="34"/>
      <c r="B215" s="34"/>
      <c r="C215" s="34"/>
      <c r="D215" s="34"/>
    </row>
    <row r="216" spans="1:4" ht="15.75" customHeight="1" x14ac:dyDescent="0.2">
      <c r="A216" s="34"/>
      <c r="B216" s="34"/>
      <c r="C216" s="34"/>
      <c r="D216" s="34"/>
    </row>
    <row r="217" spans="1:4" ht="15.75" customHeight="1" x14ac:dyDescent="0.2">
      <c r="A217" s="34"/>
      <c r="B217" s="34"/>
      <c r="C217" s="34"/>
      <c r="D217" s="34"/>
    </row>
    <row r="218" spans="1:4" ht="15.75" customHeight="1" x14ac:dyDescent="0.2">
      <c r="A218" s="34"/>
      <c r="B218" s="34"/>
      <c r="C218" s="34"/>
      <c r="D218" s="34"/>
    </row>
    <row r="219" spans="1:4" ht="15.75" customHeight="1" x14ac:dyDescent="0.2">
      <c r="A219" s="34"/>
      <c r="B219" s="34"/>
      <c r="C219" s="34"/>
      <c r="D219" s="34"/>
    </row>
    <row r="220" spans="1:4" ht="15.75" customHeight="1" x14ac:dyDescent="0.2">
      <c r="A220" s="34"/>
      <c r="B220" s="34"/>
      <c r="C220" s="34"/>
      <c r="D220" s="34"/>
    </row>
    <row r="221" spans="1:4" ht="15.75" customHeight="1" x14ac:dyDescent="0.2">
      <c r="A221" s="34"/>
      <c r="B221" s="34"/>
      <c r="C221" s="34"/>
      <c r="D221" s="34"/>
    </row>
    <row r="222" spans="1:4" ht="15.75" customHeight="1" x14ac:dyDescent="0.2">
      <c r="A222" s="34"/>
      <c r="B222" s="34"/>
      <c r="C222" s="34"/>
      <c r="D222" s="34"/>
    </row>
    <row r="223" spans="1:4" ht="15.75" customHeight="1" x14ac:dyDescent="0.2">
      <c r="A223" s="34"/>
      <c r="B223" s="34"/>
      <c r="C223" s="34"/>
      <c r="D223" s="34"/>
    </row>
    <row r="224" spans="1:4" ht="15.75" customHeight="1" x14ac:dyDescent="0.2">
      <c r="A224" s="34"/>
      <c r="B224" s="34"/>
      <c r="C224" s="34"/>
      <c r="D224" s="34"/>
    </row>
    <row r="225" spans="1:4" ht="15.75" customHeight="1" x14ac:dyDescent="0.2">
      <c r="A225" s="34"/>
      <c r="B225" s="34"/>
      <c r="C225" s="34"/>
      <c r="D225" s="34"/>
    </row>
    <row r="226" spans="1:4" ht="15.75" customHeight="1" x14ac:dyDescent="0.2">
      <c r="A226" s="34"/>
      <c r="B226" s="34"/>
      <c r="C226" s="34"/>
      <c r="D226" s="34"/>
    </row>
    <row r="227" spans="1:4" ht="15.75" customHeight="1" x14ac:dyDescent="0.2">
      <c r="A227" s="34"/>
      <c r="B227" s="34"/>
      <c r="C227" s="34"/>
      <c r="D227" s="34"/>
    </row>
    <row r="228" spans="1:4" ht="15.75" customHeight="1" x14ac:dyDescent="0.2">
      <c r="A228" s="34"/>
      <c r="B228" s="34"/>
      <c r="C228" s="34"/>
      <c r="D228" s="34"/>
    </row>
    <row r="229" spans="1:4" ht="15.75" customHeight="1" x14ac:dyDescent="0.2">
      <c r="A229" s="34"/>
      <c r="B229" s="34"/>
      <c r="C229" s="34"/>
      <c r="D229" s="34"/>
    </row>
    <row r="230" spans="1:4" ht="15.75" customHeight="1" x14ac:dyDescent="0.2">
      <c r="A230" s="34"/>
      <c r="B230" s="34"/>
      <c r="C230" s="34"/>
      <c r="D230" s="34"/>
    </row>
    <row r="231" spans="1:4" ht="15.75" customHeight="1" x14ac:dyDescent="0.2">
      <c r="A231" s="34"/>
      <c r="B231" s="34"/>
      <c r="C231" s="34"/>
      <c r="D231" s="34"/>
    </row>
    <row r="232" spans="1:4" ht="15.75" customHeight="1" x14ac:dyDescent="0.2">
      <c r="A232" s="34"/>
      <c r="B232" s="34"/>
      <c r="C232" s="34"/>
      <c r="D232" s="34"/>
    </row>
    <row r="233" spans="1:4" ht="15.75" customHeight="1" x14ac:dyDescent="0.2">
      <c r="A233" s="34"/>
      <c r="B233" s="34"/>
      <c r="C233" s="34"/>
      <c r="D233" s="34"/>
    </row>
    <row r="234" spans="1:4" ht="15.75" customHeight="1" x14ac:dyDescent="0.2">
      <c r="A234" s="34"/>
      <c r="B234" s="34"/>
      <c r="C234" s="34"/>
      <c r="D234" s="34"/>
    </row>
    <row r="235" spans="1:4" ht="15.75" customHeight="1" x14ac:dyDescent="0.2">
      <c r="A235" s="34"/>
      <c r="B235" s="34"/>
      <c r="C235" s="34"/>
      <c r="D235" s="34"/>
    </row>
    <row r="236" spans="1:4" ht="15.75" customHeight="1" x14ac:dyDescent="0.2">
      <c r="A236" s="34"/>
      <c r="B236" s="34"/>
      <c r="C236" s="34"/>
      <c r="D236" s="34"/>
    </row>
    <row r="237" spans="1:4" ht="15.75" customHeight="1" x14ac:dyDescent="0.2">
      <c r="A237" s="34"/>
      <c r="B237" s="34"/>
      <c r="C237" s="34"/>
      <c r="D237" s="34"/>
    </row>
    <row r="238" spans="1:4" ht="15.75" customHeight="1" x14ac:dyDescent="0.2">
      <c r="A238" s="34"/>
      <c r="B238" s="34"/>
      <c r="C238" s="34"/>
      <c r="D238" s="34"/>
    </row>
    <row r="239" spans="1:4" ht="15.75" customHeight="1" x14ac:dyDescent="0.2">
      <c r="A239" s="34"/>
      <c r="B239" s="34"/>
      <c r="C239" s="34"/>
      <c r="D239" s="34"/>
    </row>
    <row r="240" spans="1:4" ht="15.75" customHeight="1" x14ac:dyDescent="0.2">
      <c r="A240" s="34"/>
      <c r="B240" s="34"/>
      <c r="C240" s="34"/>
      <c r="D240" s="34"/>
    </row>
    <row r="241" spans="1:4" ht="15.75" customHeight="1" x14ac:dyDescent="0.2">
      <c r="A241" s="34"/>
      <c r="B241" s="34"/>
      <c r="C241" s="34"/>
      <c r="D241" s="34"/>
    </row>
    <row r="242" spans="1:4" ht="15.75" customHeight="1" x14ac:dyDescent="0.2">
      <c r="A242" s="34"/>
      <c r="B242" s="34"/>
      <c r="C242" s="34"/>
      <c r="D242" s="34"/>
    </row>
    <row r="243" spans="1:4" ht="15.75" customHeight="1" x14ac:dyDescent="0.2">
      <c r="A243" s="34"/>
      <c r="B243" s="34"/>
      <c r="C243" s="34"/>
      <c r="D243" s="34"/>
    </row>
    <row r="244" spans="1:4" ht="15.75" customHeight="1" x14ac:dyDescent="0.2">
      <c r="A244" s="34"/>
      <c r="B244" s="34"/>
      <c r="C244" s="34"/>
      <c r="D244" s="34"/>
    </row>
    <row r="245" spans="1:4" ht="15.75" customHeight="1" x14ac:dyDescent="0.2">
      <c r="A245" s="34"/>
      <c r="B245" s="34"/>
      <c r="C245" s="34"/>
      <c r="D245" s="34"/>
    </row>
    <row r="246" spans="1:4" ht="15.75" customHeight="1" x14ac:dyDescent="0.2">
      <c r="A246" s="34"/>
      <c r="B246" s="34"/>
      <c r="C246" s="34"/>
      <c r="D246" s="34"/>
    </row>
    <row r="247" spans="1:4" ht="15.75" customHeight="1" x14ac:dyDescent="0.2">
      <c r="A247" s="34"/>
      <c r="B247" s="34"/>
      <c r="C247" s="34"/>
      <c r="D247" s="34"/>
    </row>
    <row r="248" spans="1:4" ht="15.75" customHeight="1" x14ac:dyDescent="0.2">
      <c r="A248" s="34"/>
      <c r="B248" s="34"/>
      <c r="C248" s="34"/>
      <c r="D248" s="34"/>
    </row>
    <row r="249" spans="1:4" ht="15.75" customHeight="1" x14ac:dyDescent="0.2">
      <c r="A249" s="34"/>
      <c r="B249" s="34"/>
      <c r="C249" s="34"/>
      <c r="D249" s="34"/>
    </row>
    <row r="250" spans="1:4" ht="15.75" customHeight="1" x14ac:dyDescent="0.2">
      <c r="A250" s="34"/>
      <c r="B250" s="34"/>
      <c r="C250" s="34"/>
      <c r="D250" s="34"/>
    </row>
    <row r="251" spans="1:4" ht="15.75" customHeight="1" x14ac:dyDescent="0.2">
      <c r="A251" s="34"/>
      <c r="B251" s="34"/>
      <c r="C251" s="34"/>
      <c r="D251" s="34"/>
    </row>
    <row r="252" spans="1:4" ht="15.75" customHeight="1" x14ac:dyDescent="0.2">
      <c r="A252" s="34"/>
      <c r="B252" s="34"/>
      <c r="C252" s="34"/>
      <c r="D252" s="34"/>
    </row>
    <row r="253" spans="1:4" ht="15.75" customHeight="1" x14ac:dyDescent="0.2">
      <c r="A253" s="34"/>
      <c r="B253" s="34"/>
      <c r="C253" s="34"/>
      <c r="D253" s="34"/>
    </row>
    <row r="254" spans="1:4" ht="15.75" customHeight="1" x14ac:dyDescent="0.2">
      <c r="A254" s="34"/>
      <c r="B254" s="34"/>
      <c r="C254" s="34"/>
      <c r="D254" s="34"/>
    </row>
    <row r="255" spans="1:4" ht="15.75" customHeight="1" x14ac:dyDescent="0.2">
      <c r="A255" s="34"/>
      <c r="B255" s="34"/>
      <c r="C255" s="34"/>
      <c r="D255" s="34"/>
    </row>
    <row r="256" spans="1:4" ht="15.75" customHeight="1" x14ac:dyDescent="0.2">
      <c r="A256" s="34"/>
      <c r="B256" s="34"/>
      <c r="C256" s="34"/>
      <c r="D256" s="34"/>
    </row>
    <row r="257" spans="1:4" ht="15.75" customHeight="1" x14ac:dyDescent="0.2">
      <c r="A257" s="34"/>
      <c r="B257" s="34"/>
      <c r="C257" s="34"/>
      <c r="D257" s="34"/>
    </row>
    <row r="258" spans="1:4" ht="15.75" customHeight="1" x14ac:dyDescent="0.2">
      <c r="A258" s="34"/>
      <c r="B258" s="34"/>
      <c r="C258" s="34"/>
      <c r="D258" s="34"/>
    </row>
    <row r="259" spans="1:4" ht="15.75" customHeight="1" x14ac:dyDescent="0.2">
      <c r="A259" s="34"/>
      <c r="B259" s="34"/>
      <c r="C259" s="34"/>
      <c r="D259" s="34"/>
    </row>
    <row r="260" spans="1:4" ht="15.75" customHeight="1" x14ac:dyDescent="0.2">
      <c r="A260" s="34"/>
      <c r="B260" s="34"/>
      <c r="C260" s="34"/>
      <c r="D260" s="34"/>
    </row>
    <row r="261" spans="1:4" ht="15.75" customHeight="1" x14ac:dyDescent="0.2">
      <c r="A261" s="34"/>
      <c r="B261" s="34"/>
      <c r="C261" s="34"/>
      <c r="D261" s="34"/>
    </row>
    <row r="262" spans="1:4" ht="15.75" customHeight="1" x14ac:dyDescent="0.2">
      <c r="A262" s="34"/>
      <c r="B262" s="34"/>
      <c r="C262" s="34"/>
      <c r="D262" s="34"/>
    </row>
    <row r="263" spans="1:4" ht="15.75" customHeight="1" x14ac:dyDescent="0.2">
      <c r="A263" s="34"/>
      <c r="B263" s="34"/>
      <c r="C263" s="34"/>
      <c r="D263" s="34"/>
    </row>
    <row r="264" spans="1:4" ht="15.75" customHeight="1" x14ac:dyDescent="0.2">
      <c r="A264" s="34"/>
      <c r="B264" s="34"/>
      <c r="C264" s="34"/>
      <c r="D264" s="34"/>
    </row>
    <row r="265" spans="1:4" ht="15.75" customHeight="1" x14ac:dyDescent="0.2">
      <c r="A265" s="34"/>
      <c r="B265" s="34"/>
      <c r="C265" s="34"/>
      <c r="D265" s="34"/>
    </row>
    <row r="266" spans="1:4" ht="15.75" customHeight="1" x14ac:dyDescent="0.2">
      <c r="A266" s="34"/>
      <c r="B266" s="34"/>
      <c r="C266" s="34"/>
      <c r="D266" s="34"/>
    </row>
    <row r="267" spans="1:4" ht="15.75" customHeight="1" x14ac:dyDescent="0.2">
      <c r="A267" s="34"/>
      <c r="B267" s="34"/>
      <c r="C267" s="34"/>
      <c r="D267" s="34"/>
    </row>
    <row r="268" spans="1:4" ht="15.75" customHeight="1" x14ac:dyDescent="0.2">
      <c r="A268" s="34"/>
      <c r="B268" s="34"/>
      <c r="C268" s="34"/>
      <c r="D268" s="34"/>
    </row>
    <row r="269" spans="1:4" ht="15.75" customHeight="1" x14ac:dyDescent="0.2">
      <c r="A269" s="34"/>
      <c r="B269" s="34"/>
      <c r="C269" s="34"/>
      <c r="D269" s="34"/>
    </row>
    <row r="270" spans="1:4" ht="15.75" customHeight="1" x14ac:dyDescent="0.2">
      <c r="A270" s="34"/>
      <c r="B270" s="34"/>
      <c r="C270" s="34"/>
      <c r="D270" s="34"/>
    </row>
    <row r="271" spans="1:4" ht="15.75" customHeight="1" x14ac:dyDescent="0.2">
      <c r="A271" s="36"/>
      <c r="B271" s="34"/>
      <c r="C271" s="34"/>
      <c r="D271" s="34"/>
    </row>
    <row r="272" spans="1:4" ht="15.75" customHeight="1" x14ac:dyDescent="0.2">
      <c r="A272" s="36"/>
      <c r="B272" s="34"/>
      <c r="C272" s="34"/>
      <c r="D272" s="34"/>
    </row>
    <row r="273" spans="1:4" ht="15.75" customHeight="1" x14ac:dyDescent="0.2">
      <c r="A273" s="36"/>
      <c r="B273" s="34"/>
      <c r="C273" s="34"/>
      <c r="D273" s="34"/>
    </row>
    <row r="274" spans="1:4" ht="15.75" customHeight="1" x14ac:dyDescent="0.2">
      <c r="A274" s="36"/>
      <c r="B274" s="34"/>
      <c r="C274" s="34"/>
      <c r="D274" s="34"/>
    </row>
    <row r="275" spans="1:4" ht="15.75" customHeight="1" x14ac:dyDescent="0.2">
      <c r="A275" s="36"/>
      <c r="B275" s="34"/>
      <c r="C275" s="34"/>
      <c r="D275" s="34"/>
    </row>
    <row r="276" spans="1:4" ht="15.75" customHeight="1" x14ac:dyDescent="0.2">
      <c r="A276" s="36"/>
      <c r="B276" s="34"/>
      <c r="C276" s="34"/>
      <c r="D276" s="34"/>
    </row>
    <row r="277" spans="1:4" ht="15.75" customHeight="1" x14ac:dyDescent="0.2">
      <c r="A277" s="36"/>
      <c r="B277" s="34"/>
      <c r="C277" s="34"/>
      <c r="D277" s="34"/>
    </row>
    <row r="278" spans="1:4" ht="15.75" customHeight="1" x14ac:dyDescent="0.2">
      <c r="A278" s="36"/>
      <c r="B278" s="34"/>
      <c r="C278" s="34"/>
      <c r="D278" s="34"/>
    </row>
    <row r="279" spans="1:4" ht="15.75" customHeight="1" x14ac:dyDescent="0.2">
      <c r="A279" s="36"/>
      <c r="B279" s="34"/>
      <c r="C279" s="34"/>
      <c r="D279" s="34"/>
    </row>
    <row r="280" spans="1:4" ht="15.75" customHeight="1" x14ac:dyDescent="0.2">
      <c r="A280" s="36"/>
      <c r="B280" s="34"/>
      <c r="C280" s="34"/>
      <c r="D280" s="34"/>
    </row>
    <row r="281" spans="1:4" ht="15.75" customHeight="1" x14ac:dyDescent="0.2">
      <c r="A281" s="36"/>
      <c r="B281" s="34"/>
      <c r="C281" s="34"/>
      <c r="D281" s="34"/>
    </row>
    <row r="282" spans="1:4" ht="15.75" customHeight="1" x14ac:dyDescent="0.2">
      <c r="A282" s="36"/>
      <c r="B282" s="34"/>
      <c r="C282" s="34"/>
      <c r="D282" s="34"/>
    </row>
    <row r="283" spans="1:4" ht="15.75" customHeight="1" x14ac:dyDescent="0.2">
      <c r="A283" s="36"/>
      <c r="B283" s="34"/>
      <c r="C283" s="34"/>
      <c r="D283" s="34"/>
    </row>
    <row r="284" spans="1:4" ht="15.75" customHeight="1" x14ac:dyDescent="0.2">
      <c r="A284" s="36"/>
      <c r="B284" s="34"/>
      <c r="C284" s="34"/>
      <c r="D284" s="34"/>
    </row>
    <row r="285" spans="1:4" ht="15.75" customHeight="1" x14ac:dyDescent="0.2">
      <c r="A285" s="36"/>
      <c r="B285" s="34"/>
      <c r="C285" s="34"/>
      <c r="D285" s="34"/>
    </row>
    <row r="286" spans="1:4" ht="15.75" customHeight="1" x14ac:dyDescent="0.2">
      <c r="A286" s="36"/>
      <c r="B286" s="34"/>
      <c r="C286" s="34"/>
      <c r="D286" s="34"/>
    </row>
    <row r="287" spans="1:4" ht="15.75" customHeight="1" x14ac:dyDescent="0.2">
      <c r="A287" s="36"/>
      <c r="B287" s="34"/>
      <c r="C287" s="34"/>
      <c r="D287" s="34"/>
    </row>
    <row r="288" spans="1:4" ht="15.75" customHeight="1" x14ac:dyDescent="0.2">
      <c r="A288" s="36"/>
      <c r="B288" s="34"/>
      <c r="C288" s="34"/>
      <c r="D288" s="34"/>
    </row>
    <row r="289" spans="1:4" ht="15.75" customHeight="1" x14ac:dyDescent="0.2">
      <c r="A289" s="36"/>
      <c r="B289" s="34"/>
      <c r="C289" s="34"/>
      <c r="D289" s="34"/>
    </row>
    <row r="290" spans="1:4" ht="15.75" customHeight="1" x14ac:dyDescent="0.2">
      <c r="A290" s="36"/>
      <c r="B290" s="34"/>
      <c r="C290" s="34"/>
      <c r="D290" s="34"/>
    </row>
    <row r="291" spans="1:4" ht="15.75" customHeight="1" x14ac:dyDescent="0.2">
      <c r="A291" s="36"/>
      <c r="B291" s="34"/>
      <c r="C291" s="34"/>
      <c r="D291" s="34"/>
    </row>
    <row r="292" spans="1:4" ht="15.75" customHeight="1" x14ac:dyDescent="0.2">
      <c r="A292" s="36"/>
      <c r="B292" s="34"/>
      <c r="C292" s="34"/>
      <c r="D292" s="34"/>
    </row>
    <row r="293" spans="1:4" ht="15.75" customHeight="1" x14ac:dyDescent="0.2">
      <c r="A293" s="36"/>
      <c r="B293" s="34"/>
      <c r="C293" s="34"/>
      <c r="D293" s="34"/>
    </row>
    <row r="294" spans="1:4" ht="15.75" customHeight="1" x14ac:dyDescent="0.2">
      <c r="A294" s="36"/>
      <c r="B294" s="34"/>
      <c r="C294" s="34"/>
      <c r="D294" s="34"/>
    </row>
    <row r="295" spans="1:4" ht="15.75" customHeight="1" x14ac:dyDescent="0.2">
      <c r="A295" s="36"/>
      <c r="B295" s="34"/>
      <c r="C295" s="34"/>
      <c r="D295" s="34"/>
    </row>
    <row r="296" spans="1:4" ht="15.75" customHeight="1" x14ac:dyDescent="0.2">
      <c r="A296" s="36"/>
      <c r="B296" s="34"/>
      <c r="C296" s="34"/>
      <c r="D296" s="34"/>
    </row>
    <row r="297" spans="1:4" ht="15.75" customHeight="1" x14ac:dyDescent="0.2">
      <c r="A297" s="36"/>
      <c r="B297" s="34"/>
      <c r="C297" s="34"/>
      <c r="D297" s="34"/>
    </row>
    <row r="298" spans="1:4" ht="15.75" customHeight="1" x14ac:dyDescent="0.2">
      <c r="A298" s="36"/>
      <c r="B298" s="34"/>
      <c r="C298" s="34"/>
      <c r="D298" s="34"/>
    </row>
    <row r="299" spans="1:4" ht="15.75" customHeight="1" x14ac:dyDescent="0.2">
      <c r="A299" s="36"/>
      <c r="B299" s="34"/>
      <c r="C299" s="34"/>
      <c r="D299" s="34"/>
    </row>
    <row r="300" spans="1:4" ht="15.75" customHeight="1" x14ac:dyDescent="0.2">
      <c r="A300" s="36"/>
      <c r="B300" s="34"/>
      <c r="C300" s="34"/>
      <c r="D300" s="34"/>
    </row>
    <row r="301" spans="1:4" ht="15.75" customHeight="1" x14ac:dyDescent="0.2">
      <c r="A301" s="36"/>
      <c r="B301" s="34"/>
      <c r="C301" s="34"/>
      <c r="D301" s="34"/>
    </row>
    <row r="302" spans="1:4" ht="15.75" customHeight="1" x14ac:dyDescent="0.2">
      <c r="A302" s="36"/>
      <c r="B302" s="34"/>
      <c r="C302" s="34"/>
      <c r="D302" s="34"/>
    </row>
    <row r="303" spans="1:4" ht="15.75" customHeight="1" x14ac:dyDescent="0.2">
      <c r="A303" s="36"/>
      <c r="B303" s="34"/>
      <c r="C303" s="34"/>
      <c r="D303" s="34"/>
    </row>
    <row r="304" spans="1:4" ht="15.75" customHeight="1" x14ac:dyDescent="0.2">
      <c r="A304" s="36"/>
      <c r="B304" s="34"/>
      <c r="C304" s="34"/>
      <c r="D304" s="34"/>
    </row>
    <row r="305" spans="1:4" ht="15.75" customHeight="1" x14ac:dyDescent="0.2">
      <c r="A305" s="36"/>
      <c r="B305" s="34"/>
      <c r="C305" s="34"/>
      <c r="D305" s="34"/>
    </row>
    <row r="306" spans="1:4" ht="15.75" customHeight="1" x14ac:dyDescent="0.2">
      <c r="A306" s="36"/>
      <c r="B306" s="34"/>
      <c r="C306" s="34"/>
      <c r="D306" s="34"/>
    </row>
    <row r="307" spans="1:4" ht="15.75" customHeight="1" x14ac:dyDescent="0.2">
      <c r="A307" s="36"/>
      <c r="B307" s="34"/>
      <c r="C307" s="34"/>
      <c r="D307" s="34"/>
    </row>
    <row r="308" spans="1:4" ht="15.75" customHeight="1" x14ac:dyDescent="0.2">
      <c r="A308" s="36"/>
      <c r="B308" s="34"/>
      <c r="C308" s="34"/>
      <c r="D308" s="34"/>
    </row>
    <row r="309" spans="1:4" ht="15.75" customHeight="1" x14ac:dyDescent="0.2">
      <c r="A309" s="36"/>
      <c r="B309" s="34"/>
      <c r="C309" s="34"/>
      <c r="D309" s="34"/>
    </row>
    <row r="310" spans="1:4" ht="15.75" customHeight="1" x14ac:dyDescent="0.2">
      <c r="A310" s="36"/>
      <c r="B310" s="34"/>
      <c r="C310" s="34"/>
      <c r="D310" s="34"/>
    </row>
    <row r="311" spans="1:4" ht="15.75" customHeight="1" x14ac:dyDescent="0.2">
      <c r="A311" s="36"/>
      <c r="B311" s="34"/>
      <c r="C311" s="34"/>
      <c r="D311" s="34"/>
    </row>
    <row r="312" spans="1:4" ht="15.75" customHeight="1" x14ac:dyDescent="0.2">
      <c r="A312" s="36"/>
      <c r="B312" s="34"/>
      <c r="C312" s="34"/>
      <c r="D312" s="34"/>
    </row>
    <row r="313" spans="1:4" ht="15.75" customHeight="1" x14ac:dyDescent="0.2">
      <c r="A313" s="36"/>
      <c r="B313" s="34"/>
      <c r="C313" s="34"/>
      <c r="D313" s="34"/>
    </row>
    <row r="314" spans="1:4" ht="15.75" customHeight="1" x14ac:dyDescent="0.2">
      <c r="A314" s="36"/>
      <c r="B314" s="34"/>
      <c r="C314" s="34"/>
      <c r="D314" s="34"/>
    </row>
    <row r="315" spans="1:4" ht="15.75" customHeight="1" x14ac:dyDescent="0.2">
      <c r="A315" s="36"/>
      <c r="B315" s="34"/>
      <c r="C315" s="34"/>
      <c r="D315" s="34"/>
    </row>
    <row r="316" spans="1:4" ht="15.75" customHeight="1" x14ac:dyDescent="0.2">
      <c r="A316" s="36"/>
      <c r="B316" s="34"/>
      <c r="C316" s="34"/>
      <c r="D316" s="34"/>
    </row>
    <row r="317" spans="1:4" ht="15.75" customHeight="1" x14ac:dyDescent="0.2">
      <c r="A317" s="36"/>
      <c r="B317" s="34"/>
      <c r="C317" s="34"/>
      <c r="D317" s="34"/>
    </row>
    <row r="318" spans="1:4" ht="15.75" customHeight="1" x14ac:dyDescent="0.2">
      <c r="A318" s="36"/>
      <c r="B318" s="34"/>
      <c r="C318" s="34"/>
      <c r="D318" s="34"/>
    </row>
    <row r="319" spans="1:4" ht="15.75" customHeight="1" x14ac:dyDescent="0.2">
      <c r="A319" s="36"/>
      <c r="B319" s="34"/>
      <c r="C319" s="34"/>
      <c r="D319" s="34"/>
    </row>
    <row r="320" spans="1:4" ht="15.75" customHeight="1" x14ac:dyDescent="0.2">
      <c r="A320" s="36"/>
      <c r="B320" s="34"/>
      <c r="C320" s="34"/>
      <c r="D320" s="34"/>
    </row>
    <row r="321" spans="1:4" ht="15.75" customHeight="1" x14ac:dyDescent="0.2">
      <c r="A321" s="36"/>
      <c r="B321" s="34"/>
      <c r="C321" s="34"/>
      <c r="D321" s="34"/>
    </row>
    <row r="322" spans="1:4" ht="15.75" customHeight="1" x14ac:dyDescent="0.2">
      <c r="A322" s="36"/>
      <c r="B322" s="34"/>
      <c r="C322" s="34"/>
      <c r="D322" s="34"/>
    </row>
    <row r="323" spans="1:4" ht="15.75" customHeight="1" x14ac:dyDescent="0.2">
      <c r="A323" s="36"/>
      <c r="B323" s="34"/>
      <c r="C323" s="34"/>
      <c r="D323" s="34"/>
    </row>
    <row r="324" spans="1:4" ht="15.75" customHeight="1" x14ac:dyDescent="0.2">
      <c r="A324" s="36"/>
      <c r="B324" s="34"/>
      <c r="C324" s="34"/>
      <c r="D324" s="34"/>
    </row>
    <row r="325" spans="1:4" ht="15.75" customHeight="1" x14ac:dyDescent="0.2">
      <c r="A325" s="36"/>
      <c r="B325" s="34"/>
      <c r="C325" s="34"/>
      <c r="D325" s="34"/>
    </row>
    <row r="326" spans="1:4" ht="15.75" customHeight="1" x14ac:dyDescent="0.2">
      <c r="A326" s="36"/>
      <c r="B326" s="34"/>
      <c r="C326" s="34"/>
      <c r="D326" s="34"/>
    </row>
    <row r="327" spans="1:4" ht="15.75" customHeight="1" x14ac:dyDescent="0.2">
      <c r="A327" s="36"/>
      <c r="B327" s="34"/>
      <c r="C327" s="34"/>
      <c r="D327" s="34"/>
    </row>
    <row r="328" spans="1:4" ht="15.75" customHeight="1" x14ac:dyDescent="0.2">
      <c r="A328" s="36"/>
      <c r="B328" s="34"/>
      <c r="C328" s="34"/>
      <c r="D328" s="34"/>
    </row>
    <row r="329" spans="1:4" ht="15.75" customHeight="1" x14ac:dyDescent="0.2">
      <c r="A329" s="36"/>
      <c r="B329" s="34"/>
      <c r="C329" s="34"/>
      <c r="D329" s="34"/>
    </row>
    <row r="330" spans="1:4" ht="15.75" customHeight="1" x14ac:dyDescent="0.2">
      <c r="A330" s="36"/>
      <c r="B330" s="34"/>
      <c r="C330" s="34"/>
      <c r="D330" s="34"/>
    </row>
    <row r="331" spans="1:4" ht="15.75" customHeight="1" x14ac:dyDescent="0.2">
      <c r="A331" s="36"/>
      <c r="B331" s="34"/>
      <c r="C331" s="34"/>
      <c r="D331" s="34"/>
    </row>
    <row r="332" spans="1:4" ht="15.75" customHeight="1" x14ac:dyDescent="0.2">
      <c r="A332" s="36"/>
      <c r="B332" s="34"/>
      <c r="C332" s="34"/>
      <c r="D332" s="34"/>
    </row>
    <row r="333" spans="1:4" ht="15.75" customHeight="1" x14ac:dyDescent="0.2">
      <c r="A333" s="36"/>
      <c r="B333" s="34"/>
      <c r="C333" s="34"/>
      <c r="D333" s="34"/>
    </row>
    <row r="334" spans="1:4" ht="15.75" customHeight="1" x14ac:dyDescent="0.2">
      <c r="A334" s="36"/>
      <c r="B334" s="34"/>
      <c r="C334" s="34"/>
      <c r="D334" s="34"/>
    </row>
    <row r="335" spans="1:4" ht="15.75" customHeight="1" x14ac:dyDescent="0.2">
      <c r="A335" s="36"/>
      <c r="B335" s="34"/>
      <c r="C335" s="34"/>
      <c r="D335" s="34"/>
    </row>
    <row r="336" spans="1:4" ht="15.75" customHeight="1" x14ac:dyDescent="0.2">
      <c r="A336" s="36"/>
      <c r="B336" s="34"/>
      <c r="C336" s="34"/>
      <c r="D336" s="34"/>
    </row>
    <row r="337" spans="1:4" ht="15.75" customHeight="1" x14ac:dyDescent="0.2">
      <c r="A337" s="36"/>
      <c r="B337" s="34"/>
      <c r="C337" s="34"/>
      <c r="D337" s="34"/>
    </row>
    <row r="338" spans="1:4" ht="15.75" customHeight="1" x14ac:dyDescent="0.2">
      <c r="A338" s="36"/>
      <c r="B338" s="34"/>
      <c r="C338" s="34"/>
      <c r="D338" s="34"/>
    </row>
    <row r="339" spans="1:4" ht="15.75" customHeight="1" x14ac:dyDescent="0.2">
      <c r="A339" s="36"/>
      <c r="B339" s="34"/>
      <c r="C339" s="34"/>
      <c r="D339" s="34"/>
    </row>
    <row r="340" spans="1:4" ht="15.75" customHeight="1" x14ac:dyDescent="0.2">
      <c r="A340" s="36"/>
      <c r="B340" s="34"/>
      <c r="C340" s="34"/>
      <c r="D340" s="34"/>
    </row>
    <row r="341" spans="1:4" ht="15.75" customHeight="1" x14ac:dyDescent="0.2">
      <c r="A341" s="36"/>
      <c r="B341" s="34"/>
      <c r="C341" s="34"/>
      <c r="D341" s="34"/>
    </row>
    <row r="342" spans="1:4" ht="15.75" customHeight="1" x14ac:dyDescent="0.2">
      <c r="A342" s="36"/>
      <c r="B342" s="34"/>
      <c r="C342" s="34"/>
      <c r="D342" s="34"/>
    </row>
    <row r="343" spans="1:4" ht="15.75" customHeight="1" x14ac:dyDescent="0.2">
      <c r="A343" s="36"/>
      <c r="B343" s="34"/>
      <c r="C343" s="34"/>
      <c r="D343" s="34"/>
    </row>
    <row r="344" spans="1:4" ht="15.75" customHeight="1" x14ac:dyDescent="0.2">
      <c r="A344" s="36"/>
      <c r="B344" s="34"/>
      <c r="C344" s="34"/>
      <c r="D344" s="34"/>
    </row>
    <row r="345" spans="1:4" ht="15.75" customHeight="1" x14ac:dyDescent="0.2">
      <c r="A345" s="36"/>
      <c r="B345" s="34"/>
      <c r="C345" s="34"/>
      <c r="D345" s="34"/>
    </row>
    <row r="346" spans="1:4" ht="15.75" customHeight="1" x14ac:dyDescent="0.2">
      <c r="A346" s="36"/>
      <c r="B346" s="34"/>
      <c r="C346" s="34"/>
      <c r="D346" s="34"/>
    </row>
    <row r="347" spans="1:4" ht="15.75" customHeight="1" x14ac:dyDescent="0.2">
      <c r="A347" s="36"/>
      <c r="B347" s="34"/>
      <c r="C347" s="34"/>
      <c r="D347" s="34"/>
    </row>
    <row r="348" spans="1:4" ht="15.75" customHeight="1" x14ac:dyDescent="0.2">
      <c r="A348" s="36"/>
      <c r="B348" s="34"/>
      <c r="C348" s="34"/>
      <c r="D348" s="34"/>
    </row>
    <row r="349" spans="1:4" ht="15.75" customHeight="1" x14ac:dyDescent="0.2">
      <c r="A349" s="36"/>
      <c r="B349" s="34"/>
      <c r="C349" s="34"/>
      <c r="D349" s="34"/>
    </row>
    <row r="350" spans="1:4" ht="15.75" customHeight="1" x14ac:dyDescent="0.2">
      <c r="A350" s="36"/>
      <c r="B350" s="34"/>
      <c r="C350" s="34"/>
      <c r="D350" s="34"/>
    </row>
    <row r="351" spans="1:4" ht="15.75" customHeight="1" x14ac:dyDescent="0.2">
      <c r="A351" s="36"/>
      <c r="B351" s="34"/>
      <c r="C351" s="34"/>
      <c r="D351" s="34"/>
    </row>
    <row r="352" spans="1:4" ht="15.75" customHeight="1" x14ac:dyDescent="0.2">
      <c r="A352" s="36"/>
      <c r="B352" s="34"/>
      <c r="C352" s="34"/>
      <c r="D352" s="34"/>
    </row>
    <row r="353" spans="1:4" ht="15.75" customHeight="1" x14ac:dyDescent="0.2">
      <c r="A353" s="36"/>
      <c r="B353" s="34"/>
      <c r="C353" s="34"/>
      <c r="D353" s="34"/>
    </row>
    <row r="354" spans="1:4" ht="15.75" customHeight="1" x14ac:dyDescent="0.2">
      <c r="A354" s="36"/>
      <c r="B354" s="34"/>
      <c r="C354" s="34"/>
      <c r="D354" s="34"/>
    </row>
    <row r="355" spans="1:4" ht="15.75" customHeight="1" x14ac:dyDescent="0.2">
      <c r="A355" s="36"/>
      <c r="B355" s="34"/>
      <c r="C355" s="34"/>
      <c r="D355" s="34"/>
    </row>
    <row r="356" spans="1:4" ht="15.75" customHeight="1" x14ac:dyDescent="0.2">
      <c r="A356" s="36"/>
      <c r="B356" s="34"/>
      <c r="C356" s="34"/>
      <c r="D356" s="34"/>
    </row>
    <row r="357" spans="1:4" ht="15.75" customHeight="1" x14ac:dyDescent="0.2">
      <c r="A357" s="36"/>
      <c r="B357" s="34"/>
      <c r="C357" s="34"/>
      <c r="D357" s="34"/>
    </row>
    <row r="358" spans="1:4" ht="15.75" customHeight="1" x14ac:dyDescent="0.2">
      <c r="A358" s="36"/>
      <c r="B358" s="34"/>
      <c r="C358" s="34"/>
      <c r="D358" s="34"/>
    </row>
    <row r="359" spans="1:4" ht="15.75" customHeight="1" x14ac:dyDescent="0.2">
      <c r="A359" s="36"/>
      <c r="B359" s="34"/>
      <c r="C359" s="34"/>
      <c r="D359" s="34"/>
    </row>
    <row r="360" spans="1:4" ht="15.75" customHeight="1" x14ac:dyDescent="0.2">
      <c r="A360" s="36"/>
      <c r="B360" s="34"/>
      <c r="C360" s="34"/>
      <c r="D360" s="34"/>
    </row>
    <row r="361" spans="1:4" ht="15.75" customHeight="1" x14ac:dyDescent="0.2">
      <c r="A361" s="36"/>
      <c r="B361" s="34"/>
      <c r="C361" s="34"/>
      <c r="D361" s="34"/>
    </row>
    <row r="362" spans="1:4" ht="15.75" customHeight="1" x14ac:dyDescent="0.2">
      <c r="A362" s="36"/>
      <c r="B362" s="34"/>
      <c r="C362" s="34"/>
      <c r="D362" s="34"/>
    </row>
    <row r="363" spans="1:4" ht="15.75" customHeight="1" x14ac:dyDescent="0.2">
      <c r="A363" s="36"/>
      <c r="B363" s="34"/>
      <c r="C363" s="34"/>
      <c r="D363" s="34"/>
    </row>
    <row r="364" spans="1:4" ht="15.75" customHeight="1" x14ac:dyDescent="0.2">
      <c r="A364" s="36"/>
      <c r="B364" s="34"/>
      <c r="C364" s="34"/>
      <c r="D364" s="34"/>
    </row>
    <row r="365" spans="1:4" ht="15.75" customHeight="1" x14ac:dyDescent="0.2">
      <c r="A365" s="36"/>
      <c r="B365" s="34"/>
      <c r="C365" s="34"/>
      <c r="D365" s="34"/>
    </row>
    <row r="366" spans="1:4" ht="15.75" customHeight="1" x14ac:dyDescent="0.2">
      <c r="A366" s="36"/>
      <c r="B366" s="34"/>
      <c r="C366" s="34"/>
      <c r="D366" s="34"/>
    </row>
    <row r="367" spans="1:4" ht="15.75" customHeight="1" x14ac:dyDescent="0.2">
      <c r="A367" s="36"/>
      <c r="B367" s="34"/>
      <c r="C367" s="34"/>
      <c r="D367" s="34"/>
    </row>
    <row r="368" spans="1:4" ht="15.75" customHeight="1" x14ac:dyDescent="0.2">
      <c r="A368" s="36"/>
      <c r="B368" s="34"/>
      <c r="C368" s="34"/>
      <c r="D368" s="34"/>
    </row>
    <row r="369" spans="1:4" ht="15.75" customHeight="1" x14ac:dyDescent="0.2">
      <c r="A369" s="36"/>
      <c r="B369" s="34"/>
      <c r="C369" s="34"/>
      <c r="D369" s="34"/>
    </row>
    <row r="370" spans="1:4" ht="15.75" customHeight="1" x14ac:dyDescent="0.2">
      <c r="A370" s="36"/>
      <c r="B370" s="34"/>
      <c r="C370" s="34"/>
      <c r="D370" s="34"/>
    </row>
    <row r="371" spans="1:4" ht="15.75" customHeight="1" x14ac:dyDescent="0.2">
      <c r="A371" s="36"/>
      <c r="B371" s="34"/>
      <c r="C371" s="34"/>
      <c r="D371" s="34"/>
    </row>
    <row r="372" spans="1:4" ht="15.75" customHeight="1" x14ac:dyDescent="0.2">
      <c r="A372" s="36"/>
      <c r="B372" s="34"/>
      <c r="C372" s="34"/>
      <c r="D372" s="34"/>
    </row>
    <row r="373" spans="1:4" ht="15.75" customHeight="1" x14ac:dyDescent="0.2">
      <c r="A373" s="36"/>
      <c r="B373" s="34"/>
      <c r="C373" s="34"/>
      <c r="D373" s="34"/>
    </row>
    <row r="374" spans="1:4" ht="15.75" customHeight="1" x14ac:dyDescent="0.2">
      <c r="A374" s="36"/>
      <c r="B374" s="34"/>
      <c r="C374" s="34"/>
      <c r="D374" s="34"/>
    </row>
    <row r="375" spans="1:4" ht="15.75" customHeight="1" x14ac:dyDescent="0.2">
      <c r="A375" s="36"/>
      <c r="B375" s="34"/>
      <c r="C375" s="34"/>
      <c r="D375" s="34"/>
    </row>
    <row r="376" spans="1:4" ht="15.75" customHeight="1" x14ac:dyDescent="0.2">
      <c r="A376" s="36"/>
      <c r="B376" s="34"/>
      <c r="C376" s="34"/>
      <c r="D376" s="34"/>
    </row>
    <row r="377" spans="1:4" ht="15.75" customHeight="1" x14ac:dyDescent="0.2">
      <c r="A377" s="36"/>
      <c r="B377" s="34"/>
      <c r="C377" s="34"/>
      <c r="D377" s="34"/>
    </row>
    <row r="378" spans="1:4" ht="15.75" customHeight="1" x14ac:dyDescent="0.2">
      <c r="A378" s="36"/>
      <c r="B378" s="34"/>
      <c r="C378" s="34"/>
      <c r="D378" s="34"/>
    </row>
    <row r="379" spans="1:4" ht="15.75" customHeight="1" x14ac:dyDescent="0.2">
      <c r="A379" s="36"/>
      <c r="B379" s="34"/>
      <c r="C379" s="34"/>
      <c r="D379" s="34"/>
    </row>
    <row r="380" spans="1:4" ht="15.75" customHeight="1" x14ac:dyDescent="0.2">
      <c r="A380" s="36"/>
      <c r="B380" s="34"/>
      <c r="C380" s="34"/>
      <c r="D380" s="34"/>
    </row>
    <row r="381" spans="1:4" ht="15.75" customHeight="1" x14ac:dyDescent="0.2">
      <c r="A381" s="36"/>
      <c r="B381" s="34"/>
      <c r="C381" s="34"/>
      <c r="D381" s="34"/>
    </row>
    <row r="382" spans="1:4" ht="15.75" customHeight="1" x14ac:dyDescent="0.2">
      <c r="A382" s="36"/>
      <c r="B382" s="34"/>
      <c r="C382" s="34"/>
      <c r="D382" s="34"/>
    </row>
    <row r="383" spans="1:4" ht="15.75" customHeight="1" x14ac:dyDescent="0.2">
      <c r="A383" s="36"/>
      <c r="B383" s="34"/>
      <c r="C383" s="34"/>
      <c r="D383" s="34"/>
    </row>
    <row r="384" spans="1:4" ht="15.75" customHeight="1" x14ac:dyDescent="0.2">
      <c r="A384" s="36"/>
      <c r="B384" s="34"/>
      <c r="C384" s="34"/>
      <c r="D384" s="34"/>
    </row>
    <row r="385" spans="1:4" ht="15.75" customHeight="1" x14ac:dyDescent="0.2">
      <c r="A385" s="36"/>
      <c r="B385" s="34"/>
      <c r="C385" s="34"/>
      <c r="D385" s="34"/>
    </row>
    <row r="386" spans="1:4" ht="15.75" customHeight="1" x14ac:dyDescent="0.2">
      <c r="A386" s="36"/>
      <c r="B386" s="34"/>
      <c r="C386" s="34"/>
      <c r="D386" s="34"/>
    </row>
    <row r="387" spans="1:4" ht="15.75" customHeight="1" x14ac:dyDescent="0.2">
      <c r="A387" s="36"/>
      <c r="B387" s="34"/>
      <c r="C387" s="34"/>
      <c r="D387" s="34"/>
    </row>
    <row r="388" spans="1:4" ht="15.75" customHeight="1" x14ac:dyDescent="0.2">
      <c r="A388" s="36"/>
      <c r="B388" s="34"/>
      <c r="C388" s="34"/>
      <c r="D388" s="34"/>
    </row>
    <row r="389" spans="1:4" ht="15.75" customHeight="1" x14ac:dyDescent="0.2">
      <c r="A389" s="36"/>
      <c r="B389" s="34"/>
      <c r="C389" s="34"/>
      <c r="D389" s="34"/>
    </row>
    <row r="390" spans="1:4" ht="15.75" customHeight="1" x14ac:dyDescent="0.2">
      <c r="A390" s="36"/>
      <c r="B390" s="34"/>
      <c r="C390" s="34"/>
      <c r="D390" s="34"/>
    </row>
    <row r="391" spans="1:4" ht="15.75" customHeight="1" x14ac:dyDescent="0.2">
      <c r="A391" s="36"/>
      <c r="B391" s="34"/>
      <c r="C391" s="34"/>
      <c r="D391" s="34"/>
    </row>
    <row r="392" spans="1:4" ht="15.75" customHeight="1" x14ac:dyDescent="0.2">
      <c r="A392" s="36"/>
      <c r="B392" s="34"/>
      <c r="C392" s="34"/>
      <c r="D392" s="34"/>
    </row>
    <row r="393" spans="1:4" ht="15.75" customHeight="1" x14ac:dyDescent="0.2">
      <c r="A393" s="36"/>
      <c r="B393" s="34"/>
      <c r="C393" s="34"/>
      <c r="D393" s="34"/>
    </row>
    <row r="394" spans="1:4" ht="15.75" customHeight="1" x14ac:dyDescent="0.2">
      <c r="A394" s="36"/>
      <c r="B394" s="34"/>
      <c r="C394" s="34"/>
      <c r="D394" s="34"/>
    </row>
    <row r="395" spans="1:4" ht="15.75" customHeight="1" x14ac:dyDescent="0.2">
      <c r="A395" s="36"/>
      <c r="B395" s="34"/>
      <c r="C395" s="34"/>
      <c r="D395" s="34"/>
    </row>
    <row r="396" spans="1:4" ht="15.75" customHeight="1" x14ac:dyDescent="0.2">
      <c r="A396" s="36"/>
      <c r="B396" s="34"/>
      <c r="C396" s="34"/>
      <c r="D396" s="34"/>
    </row>
    <row r="397" spans="1:4" ht="15.75" customHeight="1" x14ac:dyDescent="0.2">
      <c r="A397" s="36"/>
      <c r="B397" s="34"/>
      <c r="C397" s="34"/>
      <c r="D397" s="34"/>
    </row>
    <row r="398" spans="1:4" ht="15.75" customHeight="1" x14ac:dyDescent="0.2">
      <c r="A398" s="36"/>
      <c r="B398" s="34"/>
      <c r="C398" s="34"/>
      <c r="D398" s="34"/>
    </row>
    <row r="399" spans="1:4" ht="15.75" customHeight="1" x14ac:dyDescent="0.2">
      <c r="A399" s="36"/>
      <c r="B399" s="34"/>
      <c r="C399" s="34"/>
      <c r="D399" s="34"/>
    </row>
    <row r="400" spans="1:4" ht="15.75" customHeight="1" x14ac:dyDescent="0.2">
      <c r="A400" s="36"/>
      <c r="B400" s="34"/>
      <c r="C400" s="34"/>
      <c r="D400" s="34"/>
    </row>
    <row r="401" spans="1:4" ht="15.75" customHeight="1" x14ac:dyDescent="0.2">
      <c r="A401" s="36"/>
      <c r="B401" s="34"/>
      <c r="C401" s="34"/>
      <c r="D401" s="34"/>
    </row>
    <row r="402" spans="1:4" ht="15.75" customHeight="1" x14ac:dyDescent="0.2">
      <c r="A402" s="36"/>
      <c r="B402" s="34"/>
      <c r="C402" s="34"/>
      <c r="D402" s="34"/>
    </row>
    <row r="403" spans="1:4" ht="15.75" customHeight="1" x14ac:dyDescent="0.2">
      <c r="A403" s="36"/>
      <c r="B403" s="34"/>
      <c r="C403" s="34"/>
      <c r="D403" s="34"/>
    </row>
    <row r="404" spans="1:4" ht="15.75" customHeight="1" x14ac:dyDescent="0.2">
      <c r="A404" s="36"/>
      <c r="B404" s="34"/>
      <c r="C404" s="34"/>
      <c r="D404" s="34"/>
    </row>
    <row r="405" spans="1:4" ht="15.75" customHeight="1" x14ac:dyDescent="0.2">
      <c r="A405" s="36"/>
      <c r="B405" s="34"/>
      <c r="C405" s="34"/>
      <c r="D405" s="34"/>
    </row>
    <row r="406" spans="1:4" ht="15.75" customHeight="1" x14ac:dyDescent="0.2">
      <c r="A406" s="36"/>
      <c r="B406" s="34"/>
      <c r="C406" s="34"/>
      <c r="D406" s="34"/>
    </row>
    <row r="407" spans="1:4" ht="15.75" customHeight="1" x14ac:dyDescent="0.2">
      <c r="A407" s="36"/>
      <c r="B407" s="34"/>
      <c r="C407" s="34"/>
      <c r="D407" s="34"/>
    </row>
    <row r="408" spans="1:4" ht="15.75" customHeight="1" x14ac:dyDescent="0.2">
      <c r="A408" s="36"/>
      <c r="B408" s="34"/>
      <c r="C408" s="34"/>
      <c r="D408" s="34"/>
    </row>
    <row r="409" spans="1:4" ht="15.75" customHeight="1" x14ac:dyDescent="0.2">
      <c r="A409" s="36"/>
      <c r="B409" s="34"/>
      <c r="C409" s="34"/>
      <c r="D409" s="34"/>
    </row>
    <row r="410" spans="1:4" ht="15.75" customHeight="1" x14ac:dyDescent="0.2">
      <c r="A410" s="36"/>
      <c r="B410" s="34"/>
      <c r="C410" s="34"/>
      <c r="D410" s="34"/>
    </row>
    <row r="411" spans="1:4" ht="15.75" customHeight="1" x14ac:dyDescent="0.2">
      <c r="A411" s="36"/>
      <c r="B411" s="34"/>
      <c r="C411" s="34"/>
      <c r="D411" s="34"/>
    </row>
    <row r="412" spans="1:4" ht="15.75" customHeight="1" x14ac:dyDescent="0.2">
      <c r="A412" s="36"/>
      <c r="B412" s="34"/>
      <c r="C412" s="34"/>
      <c r="D412" s="34"/>
    </row>
    <row r="413" spans="1:4" ht="15.75" customHeight="1" x14ac:dyDescent="0.2">
      <c r="A413" s="36"/>
      <c r="B413" s="34"/>
      <c r="C413" s="34"/>
      <c r="D413" s="34"/>
    </row>
    <row r="414" spans="1:4" ht="15.75" customHeight="1" x14ac:dyDescent="0.2">
      <c r="A414" s="36"/>
      <c r="B414" s="34"/>
      <c r="C414" s="34"/>
      <c r="D414" s="34"/>
    </row>
    <row r="415" spans="1:4" ht="15.75" customHeight="1" x14ac:dyDescent="0.2">
      <c r="A415" s="36"/>
      <c r="B415" s="34"/>
      <c r="C415" s="34"/>
      <c r="D415" s="34"/>
    </row>
    <row r="416" spans="1:4" ht="15.75" customHeight="1" x14ac:dyDescent="0.2">
      <c r="A416" s="36"/>
      <c r="B416" s="34"/>
      <c r="C416" s="34"/>
      <c r="D416" s="34"/>
    </row>
    <row r="417" spans="1:4" ht="15.75" customHeight="1" x14ac:dyDescent="0.2">
      <c r="A417" s="36"/>
      <c r="B417" s="34"/>
      <c r="C417" s="34"/>
      <c r="D417" s="34"/>
    </row>
    <row r="418" spans="1:4" ht="15.75" customHeight="1" x14ac:dyDescent="0.2">
      <c r="A418" s="36"/>
      <c r="B418" s="34"/>
      <c r="C418" s="34"/>
      <c r="D418" s="34"/>
    </row>
    <row r="419" spans="1:4" ht="15.75" customHeight="1" x14ac:dyDescent="0.2">
      <c r="A419" s="36"/>
      <c r="B419" s="34"/>
      <c r="C419" s="34"/>
      <c r="D419" s="34"/>
    </row>
    <row r="420" spans="1:4" ht="15.75" customHeight="1" x14ac:dyDescent="0.2">
      <c r="A420" s="36"/>
      <c r="B420" s="34"/>
      <c r="C420" s="34"/>
      <c r="D420" s="34"/>
    </row>
    <row r="421" spans="1:4" ht="15.75" customHeight="1" x14ac:dyDescent="0.2">
      <c r="A421" s="36"/>
      <c r="B421" s="34"/>
      <c r="C421" s="34"/>
      <c r="D421" s="34"/>
    </row>
    <row r="422" spans="1:4" ht="15.75" customHeight="1" x14ac:dyDescent="0.2">
      <c r="A422" s="36"/>
      <c r="B422" s="34"/>
      <c r="C422" s="34"/>
      <c r="D422" s="34"/>
    </row>
    <row r="423" spans="1:4" ht="15.75" customHeight="1" x14ac:dyDescent="0.2">
      <c r="A423" s="36"/>
      <c r="B423" s="34"/>
      <c r="C423" s="34"/>
      <c r="D423" s="34"/>
    </row>
    <row r="424" spans="1:4" ht="15.75" customHeight="1" x14ac:dyDescent="0.2">
      <c r="A424" s="36"/>
      <c r="B424" s="34"/>
      <c r="C424" s="34"/>
      <c r="D424" s="34"/>
    </row>
    <row r="425" spans="1:4" ht="15.75" customHeight="1" x14ac:dyDescent="0.2">
      <c r="A425" s="36"/>
      <c r="B425" s="34"/>
      <c r="C425" s="34"/>
      <c r="D425" s="34"/>
    </row>
    <row r="426" spans="1:4" ht="15.75" customHeight="1" x14ac:dyDescent="0.2">
      <c r="A426" s="36"/>
      <c r="B426" s="34"/>
      <c r="C426" s="34"/>
      <c r="D426" s="34"/>
    </row>
    <row r="427" spans="1:4" ht="15.75" customHeight="1" x14ac:dyDescent="0.2">
      <c r="A427" s="36"/>
      <c r="B427" s="34"/>
      <c r="C427" s="34"/>
      <c r="D427" s="34"/>
    </row>
    <row r="428" spans="1:4" ht="15.75" customHeight="1" x14ac:dyDescent="0.2">
      <c r="A428" s="36"/>
      <c r="B428" s="34"/>
      <c r="C428" s="34"/>
      <c r="D428" s="34"/>
    </row>
    <row r="429" spans="1:4" ht="15.75" customHeight="1" x14ac:dyDescent="0.2">
      <c r="A429" s="36"/>
      <c r="B429" s="34"/>
      <c r="C429" s="34"/>
      <c r="D429" s="34"/>
    </row>
    <row r="430" spans="1:4" ht="15.75" customHeight="1" x14ac:dyDescent="0.2">
      <c r="A430" s="36"/>
      <c r="B430" s="34"/>
      <c r="C430" s="34"/>
      <c r="D430" s="34"/>
    </row>
    <row r="431" spans="1:4" ht="15.75" customHeight="1" x14ac:dyDescent="0.2">
      <c r="A431" s="36"/>
      <c r="B431" s="34"/>
      <c r="C431" s="34"/>
      <c r="D431" s="34"/>
    </row>
    <row r="432" spans="1:4" ht="15.75" customHeight="1" x14ac:dyDescent="0.2">
      <c r="A432" s="36"/>
      <c r="B432" s="34"/>
      <c r="C432" s="34"/>
      <c r="D432" s="34"/>
    </row>
    <row r="433" spans="1:4" ht="15.75" customHeight="1" x14ac:dyDescent="0.2">
      <c r="A433" s="36"/>
      <c r="B433" s="34"/>
      <c r="C433" s="34"/>
      <c r="D433" s="34"/>
    </row>
    <row r="434" spans="1:4" ht="15.75" customHeight="1" x14ac:dyDescent="0.2">
      <c r="A434" s="36"/>
      <c r="B434" s="34"/>
      <c r="C434" s="34"/>
      <c r="D434" s="34"/>
    </row>
    <row r="435" spans="1:4" ht="15.75" customHeight="1" x14ac:dyDescent="0.2">
      <c r="A435" s="36"/>
      <c r="B435" s="34"/>
      <c r="C435" s="34"/>
      <c r="D435" s="34"/>
    </row>
    <row r="436" spans="1:4" ht="15.75" customHeight="1" x14ac:dyDescent="0.2">
      <c r="A436" s="36"/>
      <c r="B436" s="34"/>
      <c r="C436" s="34"/>
      <c r="D436" s="34"/>
    </row>
    <row r="437" spans="1:4" ht="15.75" customHeight="1" x14ac:dyDescent="0.2">
      <c r="A437" s="36"/>
      <c r="B437" s="34"/>
      <c r="C437" s="34"/>
      <c r="D437" s="34"/>
    </row>
    <row r="438" spans="1:4" ht="15.75" customHeight="1" x14ac:dyDescent="0.2">
      <c r="A438" s="36"/>
      <c r="B438" s="34"/>
      <c r="C438" s="34"/>
      <c r="D438" s="34"/>
    </row>
    <row r="439" spans="1:4" ht="15.75" customHeight="1" x14ac:dyDescent="0.2">
      <c r="A439" s="36"/>
      <c r="B439" s="34"/>
      <c r="C439" s="34"/>
      <c r="D439" s="34"/>
    </row>
    <row r="440" spans="1:4" ht="15.75" customHeight="1" x14ac:dyDescent="0.2">
      <c r="A440" s="36"/>
      <c r="B440" s="34"/>
      <c r="C440" s="34"/>
      <c r="D440" s="34"/>
    </row>
    <row r="441" spans="1:4" ht="15.75" customHeight="1" x14ac:dyDescent="0.2">
      <c r="A441" s="36"/>
      <c r="B441" s="34"/>
      <c r="C441" s="34"/>
      <c r="D441" s="34"/>
    </row>
    <row r="442" spans="1:4" ht="15.75" customHeight="1" x14ac:dyDescent="0.2">
      <c r="A442" s="36"/>
      <c r="B442" s="34"/>
      <c r="C442" s="34"/>
      <c r="D442" s="34"/>
    </row>
    <row r="443" spans="1:4" ht="15.75" customHeight="1" x14ac:dyDescent="0.2">
      <c r="A443" s="36"/>
      <c r="B443" s="34"/>
      <c r="C443" s="34"/>
      <c r="D443" s="34"/>
    </row>
    <row r="444" spans="1:4" ht="15.75" customHeight="1" x14ac:dyDescent="0.2">
      <c r="A444" s="36"/>
      <c r="B444" s="34"/>
      <c r="C444" s="34"/>
      <c r="D444" s="34"/>
    </row>
    <row r="445" spans="1:4" ht="15.75" customHeight="1" x14ac:dyDescent="0.2">
      <c r="A445" s="36"/>
      <c r="B445" s="34"/>
      <c r="C445" s="34"/>
      <c r="D445" s="34"/>
    </row>
    <row r="446" spans="1:4" ht="15.75" customHeight="1" x14ac:dyDescent="0.2">
      <c r="A446" s="36"/>
      <c r="B446" s="34"/>
      <c r="C446" s="34"/>
      <c r="D446" s="34"/>
    </row>
    <row r="447" spans="1:4" ht="15.75" customHeight="1" x14ac:dyDescent="0.2">
      <c r="A447" s="36"/>
      <c r="B447" s="34"/>
      <c r="C447" s="34"/>
      <c r="D447" s="34"/>
    </row>
    <row r="448" spans="1:4" ht="15.75" customHeight="1" x14ac:dyDescent="0.2">
      <c r="A448" s="36"/>
      <c r="B448" s="34"/>
      <c r="C448" s="34"/>
      <c r="D448" s="34"/>
    </row>
    <row r="449" spans="1:4" ht="15.75" customHeight="1" x14ac:dyDescent="0.2">
      <c r="A449" s="36"/>
      <c r="B449" s="34"/>
      <c r="C449" s="34"/>
      <c r="D449" s="34"/>
    </row>
    <row r="450" spans="1:4" ht="15.75" customHeight="1" x14ac:dyDescent="0.2">
      <c r="A450" s="36"/>
      <c r="B450" s="34"/>
      <c r="C450" s="34"/>
      <c r="D450" s="34"/>
    </row>
    <row r="451" spans="1:4" ht="15.75" customHeight="1" x14ac:dyDescent="0.2">
      <c r="A451" s="36"/>
      <c r="B451" s="34"/>
      <c r="C451" s="34"/>
      <c r="D451" s="34"/>
    </row>
    <row r="452" spans="1:4" ht="15.75" customHeight="1" x14ac:dyDescent="0.2">
      <c r="A452" s="36"/>
      <c r="B452" s="34"/>
      <c r="C452" s="34"/>
      <c r="D452" s="34"/>
    </row>
    <row r="453" spans="1:4" ht="15.75" customHeight="1" x14ac:dyDescent="0.2">
      <c r="A453" s="36"/>
      <c r="B453" s="34"/>
      <c r="C453" s="34"/>
      <c r="D453" s="34"/>
    </row>
    <row r="454" spans="1:4" ht="15.75" customHeight="1" x14ac:dyDescent="0.2">
      <c r="A454" s="36"/>
      <c r="B454" s="34"/>
      <c r="C454" s="34"/>
      <c r="D454" s="34"/>
    </row>
    <row r="455" spans="1:4" ht="15.75" customHeight="1" x14ac:dyDescent="0.2">
      <c r="A455" s="36"/>
      <c r="B455" s="34"/>
      <c r="C455" s="34"/>
      <c r="D455" s="34"/>
    </row>
    <row r="456" spans="1:4" ht="15.75" customHeight="1" x14ac:dyDescent="0.2">
      <c r="A456" s="36"/>
      <c r="B456" s="34"/>
      <c r="C456" s="34"/>
      <c r="D456" s="34"/>
    </row>
    <row r="457" spans="1:4" ht="15.75" customHeight="1" x14ac:dyDescent="0.2">
      <c r="A457" s="36"/>
      <c r="B457" s="34"/>
      <c r="C457" s="34"/>
      <c r="D457" s="34"/>
    </row>
    <row r="458" spans="1:4" ht="15.75" customHeight="1" x14ac:dyDescent="0.2">
      <c r="A458" s="36"/>
      <c r="B458" s="34"/>
      <c r="C458" s="34"/>
      <c r="D458" s="34"/>
    </row>
    <row r="459" spans="1:4" ht="15.75" customHeight="1" x14ac:dyDescent="0.2">
      <c r="A459" s="36"/>
      <c r="B459" s="34"/>
      <c r="C459" s="34"/>
      <c r="D459" s="34"/>
    </row>
    <row r="460" spans="1:4" ht="15.75" customHeight="1" x14ac:dyDescent="0.2">
      <c r="A460" s="36"/>
      <c r="B460" s="34"/>
      <c r="C460" s="34"/>
      <c r="D460" s="34"/>
    </row>
    <row r="461" spans="1:4" ht="15.75" customHeight="1" x14ac:dyDescent="0.2">
      <c r="A461" s="36"/>
      <c r="B461" s="34"/>
      <c r="C461" s="34"/>
      <c r="D461" s="34"/>
    </row>
    <row r="462" spans="1:4" ht="15.75" customHeight="1" x14ac:dyDescent="0.2">
      <c r="A462" s="36"/>
      <c r="B462" s="34"/>
      <c r="C462" s="34"/>
      <c r="D462" s="34"/>
    </row>
    <row r="463" spans="1:4" ht="15.75" customHeight="1" x14ac:dyDescent="0.2">
      <c r="A463" s="36"/>
      <c r="B463" s="34"/>
      <c r="C463" s="34"/>
      <c r="D463" s="34"/>
    </row>
    <row r="464" spans="1:4" ht="15.75" customHeight="1" x14ac:dyDescent="0.2">
      <c r="A464" s="36"/>
      <c r="B464" s="34"/>
      <c r="C464" s="34"/>
      <c r="D464" s="34"/>
    </row>
    <row r="465" spans="1:4" ht="15.75" customHeight="1" x14ac:dyDescent="0.2">
      <c r="A465" s="36"/>
      <c r="B465" s="34"/>
      <c r="C465" s="34"/>
      <c r="D465" s="34"/>
    </row>
    <row r="466" spans="1:4" ht="15.75" customHeight="1" x14ac:dyDescent="0.2">
      <c r="A466" s="36"/>
      <c r="B466" s="34"/>
      <c r="C466" s="34"/>
      <c r="D466" s="34"/>
    </row>
    <row r="467" spans="1:4" ht="15.75" customHeight="1" x14ac:dyDescent="0.2">
      <c r="A467" s="36"/>
      <c r="B467" s="34"/>
      <c r="C467" s="34"/>
      <c r="D467" s="34"/>
    </row>
    <row r="468" spans="1:4" ht="15.75" customHeight="1" x14ac:dyDescent="0.2">
      <c r="A468" s="36"/>
      <c r="B468" s="34"/>
      <c r="C468" s="34"/>
      <c r="D468" s="34"/>
    </row>
    <row r="469" spans="1:4" ht="15.75" customHeight="1" x14ac:dyDescent="0.2">
      <c r="A469" s="36"/>
      <c r="B469" s="34"/>
      <c r="C469" s="34"/>
      <c r="D469" s="34"/>
    </row>
    <row r="470" spans="1:4" ht="15.75" customHeight="1" x14ac:dyDescent="0.2">
      <c r="A470" s="36"/>
      <c r="B470" s="34"/>
      <c r="C470" s="34"/>
      <c r="D470" s="34"/>
    </row>
    <row r="471" spans="1:4" ht="15.75" customHeight="1" x14ac:dyDescent="0.2">
      <c r="A471" s="36"/>
      <c r="B471" s="34"/>
      <c r="C471" s="34"/>
      <c r="D471" s="34"/>
    </row>
    <row r="472" spans="1:4" ht="15.75" customHeight="1" x14ac:dyDescent="0.2">
      <c r="A472" s="36"/>
      <c r="B472" s="34"/>
      <c r="C472" s="34"/>
      <c r="D472" s="34"/>
    </row>
    <row r="473" spans="1:4" ht="15.75" customHeight="1" x14ac:dyDescent="0.2">
      <c r="A473" s="36"/>
      <c r="B473" s="34"/>
      <c r="C473" s="34"/>
      <c r="D473" s="34"/>
    </row>
    <row r="474" spans="1:4" ht="15.75" customHeight="1" x14ac:dyDescent="0.2">
      <c r="A474" s="36"/>
      <c r="B474" s="34"/>
      <c r="C474" s="34"/>
      <c r="D474" s="34"/>
    </row>
    <row r="475" spans="1:4" ht="15.75" customHeight="1" x14ac:dyDescent="0.2">
      <c r="A475" s="36"/>
      <c r="B475" s="34"/>
      <c r="C475" s="34"/>
      <c r="D475" s="34"/>
    </row>
    <row r="476" spans="1:4" ht="15.75" customHeight="1" x14ac:dyDescent="0.2">
      <c r="A476" s="36"/>
      <c r="B476" s="34"/>
      <c r="C476" s="34"/>
      <c r="D476" s="34"/>
    </row>
    <row r="477" spans="1:4" ht="15.75" customHeight="1" x14ac:dyDescent="0.2">
      <c r="A477" s="36"/>
      <c r="B477" s="34"/>
      <c r="C477" s="34"/>
      <c r="D477" s="34"/>
    </row>
    <row r="478" spans="1:4" ht="15.75" customHeight="1" x14ac:dyDescent="0.2">
      <c r="A478" s="36"/>
      <c r="B478" s="34"/>
      <c r="C478" s="34"/>
      <c r="D478" s="34"/>
    </row>
    <row r="479" spans="1:4" ht="15.75" customHeight="1" x14ac:dyDescent="0.2">
      <c r="A479" s="36"/>
      <c r="B479" s="34"/>
      <c r="C479" s="34"/>
      <c r="D479" s="34"/>
    </row>
    <row r="480" spans="1:4" ht="15.75" customHeight="1" x14ac:dyDescent="0.2">
      <c r="A480" s="36"/>
      <c r="B480" s="34"/>
      <c r="C480" s="34"/>
      <c r="D480" s="34"/>
    </row>
    <row r="481" spans="1:4" ht="15.75" customHeight="1" x14ac:dyDescent="0.2">
      <c r="A481" s="36"/>
      <c r="B481" s="34"/>
      <c r="C481" s="34"/>
      <c r="D481" s="34"/>
    </row>
    <row r="482" spans="1:4" ht="15.75" customHeight="1" x14ac:dyDescent="0.2">
      <c r="A482" s="36"/>
      <c r="B482" s="34"/>
      <c r="C482" s="34"/>
      <c r="D482" s="34"/>
    </row>
    <row r="483" spans="1:4" ht="15.75" customHeight="1" x14ac:dyDescent="0.2">
      <c r="A483" s="36"/>
      <c r="B483" s="34"/>
      <c r="C483" s="34"/>
      <c r="D483" s="34"/>
    </row>
    <row r="484" spans="1:4" ht="15.75" customHeight="1" x14ac:dyDescent="0.2">
      <c r="A484" s="36"/>
      <c r="B484" s="34"/>
      <c r="C484" s="34"/>
      <c r="D484" s="34"/>
    </row>
    <row r="485" spans="1:4" ht="15.75" customHeight="1" x14ac:dyDescent="0.2">
      <c r="A485" s="36"/>
      <c r="B485" s="34"/>
      <c r="C485" s="34"/>
      <c r="D485" s="34"/>
    </row>
    <row r="486" spans="1:4" ht="15.75" customHeight="1" x14ac:dyDescent="0.2">
      <c r="A486" s="36"/>
      <c r="B486" s="34"/>
      <c r="C486" s="34"/>
      <c r="D486" s="34"/>
    </row>
    <row r="487" spans="1:4" ht="15.75" customHeight="1" x14ac:dyDescent="0.2">
      <c r="A487" s="36"/>
      <c r="B487" s="34"/>
      <c r="C487" s="34"/>
      <c r="D487" s="34"/>
    </row>
    <row r="488" spans="1:4" ht="15.75" customHeight="1" x14ac:dyDescent="0.2">
      <c r="A488" s="36"/>
      <c r="B488" s="34"/>
      <c r="C488" s="34"/>
      <c r="D488" s="34"/>
    </row>
    <row r="489" spans="1:4" ht="15.75" customHeight="1" x14ac:dyDescent="0.2">
      <c r="A489" s="36"/>
      <c r="B489" s="34"/>
      <c r="C489" s="34"/>
      <c r="D489" s="34"/>
    </row>
    <row r="490" spans="1:4" ht="15.75" customHeight="1" x14ac:dyDescent="0.2">
      <c r="A490" s="36"/>
      <c r="B490" s="34"/>
      <c r="C490" s="34"/>
      <c r="D490" s="34"/>
    </row>
    <row r="491" spans="1:4" ht="15.75" customHeight="1" x14ac:dyDescent="0.2">
      <c r="A491" s="36"/>
      <c r="B491" s="34"/>
      <c r="C491" s="34"/>
      <c r="D491" s="34"/>
    </row>
    <row r="492" spans="1:4" ht="15.75" customHeight="1" x14ac:dyDescent="0.2">
      <c r="A492" s="36"/>
      <c r="B492" s="34"/>
      <c r="C492" s="34"/>
      <c r="D492" s="34"/>
    </row>
    <row r="493" spans="1:4" ht="15.75" customHeight="1" x14ac:dyDescent="0.2">
      <c r="A493" s="36"/>
      <c r="B493" s="34"/>
      <c r="C493" s="34"/>
      <c r="D493" s="34"/>
    </row>
    <row r="494" spans="1:4" ht="15.75" customHeight="1" x14ac:dyDescent="0.2">
      <c r="A494" s="36"/>
      <c r="B494" s="34"/>
      <c r="C494" s="34"/>
      <c r="D494" s="34"/>
    </row>
    <row r="495" spans="1:4" ht="15.75" customHeight="1" x14ac:dyDescent="0.2">
      <c r="A495" s="36"/>
      <c r="B495" s="34"/>
      <c r="C495" s="34"/>
      <c r="D495" s="34"/>
    </row>
    <row r="496" spans="1:4" ht="15.75" customHeight="1" x14ac:dyDescent="0.2">
      <c r="A496" s="36"/>
      <c r="B496" s="34"/>
      <c r="C496" s="34"/>
      <c r="D496" s="34"/>
    </row>
    <row r="497" spans="1:4" ht="15.75" customHeight="1" x14ac:dyDescent="0.2">
      <c r="A497" s="36"/>
      <c r="B497" s="34"/>
      <c r="C497" s="34"/>
      <c r="D497" s="34"/>
    </row>
    <row r="498" spans="1:4" ht="15.75" customHeight="1" x14ac:dyDescent="0.2">
      <c r="A498" s="36"/>
      <c r="B498" s="34"/>
      <c r="C498" s="34"/>
      <c r="D498" s="34"/>
    </row>
    <row r="499" spans="1:4" ht="15.75" customHeight="1" x14ac:dyDescent="0.2">
      <c r="A499" s="36"/>
      <c r="B499" s="34"/>
      <c r="C499" s="34"/>
      <c r="D499" s="34"/>
    </row>
    <row r="500" spans="1:4" ht="15.75" customHeight="1" x14ac:dyDescent="0.2">
      <c r="A500" s="36"/>
      <c r="B500" s="34"/>
      <c r="C500" s="34"/>
      <c r="D500" s="34"/>
    </row>
    <row r="501" spans="1:4" ht="15.75" customHeight="1" x14ac:dyDescent="0.2">
      <c r="A501" s="36"/>
      <c r="B501" s="34"/>
      <c r="C501" s="34"/>
      <c r="D501" s="34"/>
    </row>
    <row r="502" spans="1:4" ht="15.75" customHeight="1" x14ac:dyDescent="0.2">
      <c r="A502" s="36"/>
      <c r="B502" s="34"/>
      <c r="C502" s="34"/>
      <c r="D502" s="34"/>
    </row>
    <row r="503" spans="1:4" ht="15.75" customHeight="1" x14ac:dyDescent="0.2">
      <c r="A503" s="36"/>
      <c r="B503" s="34"/>
      <c r="C503" s="34"/>
      <c r="D503" s="34"/>
    </row>
    <row r="504" spans="1:4" ht="15.75" customHeight="1" x14ac:dyDescent="0.2">
      <c r="A504" s="36"/>
      <c r="B504" s="34"/>
      <c r="C504" s="34"/>
      <c r="D504" s="34"/>
    </row>
    <row r="505" spans="1:4" ht="15.75" customHeight="1" x14ac:dyDescent="0.2">
      <c r="A505" s="36"/>
      <c r="B505" s="34"/>
      <c r="C505" s="34"/>
      <c r="D505" s="34"/>
    </row>
    <row r="506" spans="1:4" ht="15.75" customHeight="1" x14ac:dyDescent="0.2">
      <c r="A506" s="36"/>
      <c r="B506" s="34"/>
      <c r="C506" s="34"/>
      <c r="D506" s="34"/>
    </row>
    <row r="507" spans="1:4" ht="15.75" customHeight="1" x14ac:dyDescent="0.2">
      <c r="A507" s="36"/>
      <c r="B507" s="34"/>
      <c r="C507" s="34"/>
      <c r="D507" s="34"/>
    </row>
    <row r="508" spans="1:4" ht="15.75" customHeight="1" x14ac:dyDescent="0.2">
      <c r="A508" s="36"/>
      <c r="B508" s="34"/>
      <c r="C508" s="34"/>
      <c r="D508" s="34"/>
    </row>
    <row r="509" spans="1:4" ht="15.75" customHeight="1" x14ac:dyDescent="0.2">
      <c r="A509" s="36"/>
      <c r="B509" s="34"/>
      <c r="C509" s="34"/>
      <c r="D509" s="34"/>
    </row>
    <row r="510" spans="1:4" ht="15.75" customHeight="1" x14ac:dyDescent="0.2">
      <c r="A510" s="36"/>
      <c r="B510" s="34"/>
      <c r="C510" s="34"/>
      <c r="D510" s="34"/>
    </row>
    <row r="511" spans="1:4" ht="15.75" customHeight="1" x14ac:dyDescent="0.2">
      <c r="A511" s="36"/>
      <c r="B511" s="34"/>
      <c r="C511" s="34"/>
      <c r="D511" s="34"/>
    </row>
    <row r="512" spans="1:4" ht="15.75" customHeight="1" x14ac:dyDescent="0.2">
      <c r="A512" s="36"/>
      <c r="B512" s="34"/>
      <c r="C512" s="34"/>
      <c r="D512" s="34"/>
    </row>
    <row r="513" spans="1:4" ht="15.75" customHeight="1" x14ac:dyDescent="0.2">
      <c r="A513" s="36"/>
      <c r="B513" s="34"/>
      <c r="C513" s="34"/>
      <c r="D513" s="34"/>
    </row>
    <row r="514" spans="1:4" ht="15.75" customHeight="1" x14ac:dyDescent="0.2">
      <c r="A514" s="36"/>
      <c r="B514" s="34"/>
      <c r="C514" s="34"/>
      <c r="D514" s="34"/>
    </row>
    <row r="515" spans="1:4" ht="15.75" customHeight="1" x14ac:dyDescent="0.2">
      <c r="A515" s="36"/>
      <c r="B515" s="34"/>
      <c r="C515" s="34"/>
      <c r="D515" s="34"/>
    </row>
    <row r="516" spans="1:4" ht="15.75" customHeight="1" x14ac:dyDescent="0.2">
      <c r="A516" s="36"/>
      <c r="B516" s="34"/>
      <c r="C516" s="34"/>
      <c r="D516" s="34"/>
    </row>
    <row r="517" spans="1:4" ht="15.75" customHeight="1" x14ac:dyDescent="0.2">
      <c r="A517" s="36"/>
      <c r="B517" s="34"/>
      <c r="C517" s="34"/>
      <c r="D517" s="34"/>
    </row>
    <row r="518" spans="1:4" ht="15.75" customHeight="1" x14ac:dyDescent="0.2">
      <c r="A518" s="36"/>
      <c r="B518" s="34"/>
      <c r="C518" s="34"/>
      <c r="D518" s="34"/>
    </row>
    <row r="519" spans="1:4" ht="15.75" customHeight="1" x14ac:dyDescent="0.2">
      <c r="A519" s="36"/>
      <c r="B519" s="34"/>
      <c r="C519" s="34"/>
      <c r="D519" s="34"/>
    </row>
    <row r="520" spans="1:4" ht="15.75" customHeight="1" x14ac:dyDescent="0.2">
      <c r="A520" s="36"/>
      <c r="B520" s="34"/>
      <c r="C520" s="34"/>
      <c r="D520" s="34"/>
    </row>
    <row r="521" spans="1:4" ht="15.75" customHeight="1" x14ac:dyDescent="0.2">
      <c r="A521" s="36"/>
      <c r="B521" s="34"/>
      <c r="C521" s="34"/>
      <c r="D521" s="34"/>
    </row>
    <row r="522" spans="1:4" ht="15.75" customHeight="1" x14ac:dyDescent="0.2">
      <c r="A522" s="36"/>
      <c r="B522" s="34"/>
      <c r="C522" s="34"/>
      <c r="D522" s="34"/>
    </row>
    <row r="523" spans="1:4" ht="15.75" customHeight="1" x14ac:dyDescent="0.2">
      <c r="A523" s="36"/>
      <c r="B523" s="34"/>
      <c r="C523" s="34"/>
      <c r="D523" s="34"/>
    </row>
    <row r="524" spans="1:4" ht="15.75" customHeight="1" x14ac:dyDescent="0.2">
      <c r="A524" s="36"/>
      <c r="B524" s="34"/>
      <c r="C524" s="34"/>
      <c r="D524" s="34"/>
    </row>
    <row r="525" spans="1:4" ht="15.75" customHeight="1" x14ac:dyDescent="0.2">
      <c r="A525" s="36"/>
      <c r="B525" s="34"/>
      <c r="C525" s="34"/>
      <c r="D525" s="34"/>
    </row>
    <row r="526" spans="1:4" ht="15.75" customHeight="1" x14ac:dyDescent="0.2">
      <c r="A526" s="36"/>
      <c r="B526" s="34"/>
      <c r="C526" s="34"/>
      <c r="D526" s="34"/>
    </row>
    <row r="527" spans="1:4" ht="15.75" customHeight="1" x14ac:dyDescent="0.2">
      <c r="A527" s="36"/>
      <c r="B527" s="34"/>
      <c r="C527" s="34"/>
      <c r="D527" s="34"/>
    </row>
    <row r="528" spans="1:4" ht="15.75" customHeight="1" x14ac:dyDescent="0.2">
      <c r="A528" s="36"/>
      <c r="B528" s="34"/>
      <c r="C528" s="34"/>
      <c r="D528" s="34"/>
    </row>
    <row r="529" spans="1:4" ht="15.75" customHeight="1" x14ac:dyDescent="0.2">
      <c r="A529" s="36"/>
      <c r="B529" s="34"/>
      <c r="C529" s="34"/>
      <c r="D529" s="34"/>
    </row>
    <row r="530" spans="1:4" ht="15.75" customHeight="1" x14ac:dyDescent="0.2">
      <c r="A530" s="36"/>
      <c r="B530" s="34"/>
      <c r="C530" s="34"/>
      <c r="D530" s="34"/>
    </row>
    <row r="531" spans="1:4" ht="15.75" customHeight="1" x14ac:dyDescent="0.2">
      <c r="A531" s="36"/>
      <c r="B531" s="34"/>
      <c r="C531" s="34"/>
      <c r="D531" s="34"/>
    </row>
    <row r="532" spans="1:4" ht="15.75" customHeight="1" x14ac:dyDescent="0.2">
      <c r="A532" s="36"/>
      <c r="B532" s="34"/>
      <c r="C532" s="34"/>
      <c r="D532" s="34"/>
    </row>
    <row r="533" spans="1:4" ht="15.75" customHeight="1" x14ac:dyDescent="0.2">
      <c r="A533" s="36"/>
      <c r="B533" s="34"/>
      <c r="C533" s="34"/>
      <c r="D533" s="34"/>
    </row>
    <row r="534" spans="1:4" ht="15.75" customHeight="1" x14ac:dyDescent="0.2">
      <c r="A534" s="36"/>
      <c r="B534" s="34"/>
      <c r="C534" s="34"/>
      <c r="D534" s="34"/>
    </row>
    <row r="535" spans="1:4" ht="15.75" customHeight="1" x14ac:dyDescent="0.2">
      <c r="A535" s="36"/>
      <c r="B535" s="34"/>
      <c r="C535" s="34"/>
      <c r="D535" s="34"/>
    </row>
    <row r="536" spans="1:4" ht="15.75" customHeight="1" x14ac:dyDescent="0.2">
      <c r="A536" s="36"/>
      <c r="B536" s="34"/>
      <c r="C536" s="34"/>
      <c r="D536" s="34"/>
    </row>
    <row r="537" spans="1:4" ht="15.75" customHeight="1" x14ac:dyDescent="0.2">
      <c r="A537" s="36"/>
      <c r="B537" s="34"/>
      <c r="C537" s="34"/>
      <c r="D537" s="34"/>
    </row>
    <row r="538" spans="1:4" ht="15.75" customHeight="1" x14ac:dyDescent="0.2">
      <c r="A538" s="36"/>
      <c r="B538" s="34"/>
      <c r="C538" s="34"/>
      <c r="D538" s="34"/>
    </row>
    <row r="539" spans="1:4" ht="15.75" customHeight="1" x14ac:dyDescent="0.2">
      <c r="A539" s="36"/>
      <c r="B539" s="34"/>
      <c r="C539" s="34"/>
      <c r="D539" s="34"/>
    </row>
    <row r="540" spans="1:4" ht="15.75" customHeight="1" x14ac:dyDescent="0.2">
      <c r="A540" s="36"/>
      <c r="B540" s="34"/>
      <c r="C540" s="34"/>
      <c r="D540" s="34"/>
    </row>
    <row r="541" spans="1:4" ht="15.75" customHeight="1" x14ac:dyDescent="0.2">
      <c r="A541" s="36"/>
      <c r="B541" s="34"/>
      <c r="C541" s="34"/>
      <c r="D541" s="34"/>
    </row>
    <row r="542" spans="1:4" ht="15.75" customHeight="1" x14ac:dyDescent="0.2">
      <c r="A542" s="36"/>
      <c r="B542" s="34"/>
      <c r="C542" s="34"/>
      <c r="D542" s="34"/>
    </row>
    <row r="543" spans="1:4" ht="15.75" customHeight="1" x14ac:dyDescent="0.2">
      <c r="A543" s="36"/>
      <c r="B543" s="34"/>
      <c r="C543" s="34"/>
      <c r="D543" s="34"/>
    </row>
    <row r="544" spans="1:4" ht="15.75" customHeight="1" x14ac:dyDescent="0.2">
      <c r="A544" s="36"/>
      <c r="B544" s="34"/>
      <c r="C544" s="34"/>
      <c r="D544" s="34"/>
    </row>
    <row r="545" spans="1:4" ht="15.75" customHeight="1" x14ac:dyDescent="0.2">
      <c r="A545" s="36"/>
      <c r="B545" s="34"/>
      <c r="C545" s="34"/>
      <c r="D545" s="34"/>
    </row>
    <row r="546" spans="1:4" ht="15.75" customHeight="1" x14ac:dyDescent="0.2">
      <c r="A546" s="36"/>
      <c r="B546" s="34"/>
      <c r="C546" s="34"/>
      <c r="D546" s="34"/>
    </row>
    <row r="547" spans="1:4" ht="15.75" customHeight="1" x14ac:dyDescent="0.2">
      <c r="A547" s="36"/>
      <c r="B547" s="34"/>
      <c r="C547" s="34"/>
      <c r="D547" s="34"/>
    </row>
    <row r="548" spans="1:4" ht="15.75" customHeight="1" x14ac:dyDescent="0.2">
      <c r="A548" s="36"/>
      <c r="B548" s="34"/>
      <c r="C548" s="34"/>
      <c r="D548" s="34"/>
    </row>
    <row r="549" spans="1:4" ht="15.75" customHeight="1" x14ac:dyDescent="0.2">
      <c r="A549" s="36"/>
      <c r="B549" s="34"/>
      <c r="C549" s="34"/>
      <c r="D549" s="34"/>
    </row>
    <row r="550" spans="1:4" ht="15.75" customHeight="1" x14ac:dyDescent="0.2">
      <c r="A550" s="36"/>
      <c r="B550" s="34"/>
      <c r="C550" s="34"/>
      <c r="D550" s="34"/>
    </row>
    <row r="551" spans="1:4" ht="15.75" customHeight="1" x14ac:dyDescent="0.2">
      <c r="A551" s="36"/>
      <c r="B551" s="34"/>
      <c r="C551" s="34"/>
      <c r="D551" s="34"/>
    </row>
    <row r="552" spans="1:4" ht="15.75" customHeight="1" x14ac:dyDescent="0.2">
      <c r="A552" s="36"/>
      <c r="B552" s="34"/>
      <c r="C552" s="34"/>
      <c r="D552" s="34"/>
    </row>
    <row r="553" spans="1:4" ht="15.75" customHeight="1" x14ac:dyDescent="0.2">
      <c r="A553" s="36"/>
      <c r="B553" s="34"/>
      <c r="C553" s="34"/>
      <c r="D553" s="34"/>
    </row>
    <row r="554" spans="1:4" ht="15.75" customHeight="1" x14ac:dyDescent="0.2">
      <c r="A554" s="36"/>
      <c r="B554" s="34"/>
      <c r="C554" s="34"/>
      <c r="D554" s="34"/>
    </row>
    <row r="555" spans="1:4" ht="15.75" customHeight="1" x14ac:dyDescent="0.2">
      <c r="A555" s="36"/>
      <c r="B555" s="34"/>
      <c r="C555" s="34"/>
      <c r="D555" s="34"/>
    </row>
    <row r="556" spans="1:4" ht="15.75" customHeight="1" x14ac:dyDescent="0.2">
      <c r="A556" s="36"/>
      <c r="B556" s="34"/>
      <c r="C556" s="34"/>
      <c r="D556" s="34"/>
    </row>
    <row r="557" spans="1:4" ht="15.75" customHeight="1" x14ac:dyDescent="0.2">
      <c r="A557" s="36"/>
      <c r="B557" s="34"/>
      <c r="C557" s="34"/>
      <c r="D557" s="34"/>
    </row>
    <row r="558" spans="1:4" ht="15.75" customHeight="1" x14ac:dyDescent="0.2">
      <c r="A558" s="36"/>
      <c r="B558" s="34"/>
      <c r="C558" s="34"/>
      <c r="D558" s="34"/>
    </row>
    <row r="559" spans="1:4" ht="15.75" customHeight="1" x14ac:dyDescent="0.2">
      <c r="A559" s="36"/>
      <c r="B559" s="34"/>
      <c r="C559" s="34"/>
      <c r="D559" s="34"/>
    </row>
    <row r="560" spans="1:4" ht="15.75" customHeight="1" x14ac:dyDescent="0.2">
      <c r="A560" s="36"/>
      <c r="B560" s="34"/>
      <c r="C560" s="34"/>
      <c r="D560" s="34"/>
    </row>
    <row r="561" spans="1:4" ht="15.75" customHeight="1" x14ac:dyDescent="0.2">
      <c r="A561" s="36"/>
      <c r="B561" s="34"/>
      <c r="C561" s="34"/>
      <c r="D561" s="34"/>
    </row>
    <row r="562" spans="1:4" ht="15.75" customHeight="1" x14ac:dyDescent="0.2">
      <c r="A562" s="36"/>
      <c r="B562" s="34"/>
      <c r="C562" s="34"/>
      <c r="D562" s="34"/>
    </row>
    <row r="563" spans="1:4" ht="15.75" customHeight="1" x14ac:dyDescent="0.2">
      <c r="A563" s="36"/>
      <c r="B563" s="34"/>
      <c r="C563" s="34"/>
      <c r="D563" s="34"/>
    </row>
    <row r="564" spans="1:4" ht="15.75" customHeight="1" x14ac:dyDescent="0.2">
      <c r="A564" s="36"/>
      <c r="B564" s="34"/>
      <c r="C564" s="34"/>
      <c r="D564" s="34"/>
    </row>
    <row r="565" spans="1:4" ht="15.75" customHeight="1" x14ac:dyDescent="0.2">
      <c r="A565" s="36"/>
      <c r="B565" s="34"/>
      <c r="C565" s="34"/>
      <c r="D565" s="34"/>
    </row>
    <row r="566" spans="1:4" ht="15.75" customHeight="1" x14ac:dyDescent="0.2">
      <c r="A566" s="36"/>
      <c r="B566" s="34"/>
      <c r="C566" s="34"/>
      <c r="D566" s="34"/>
    </row>
    <row r="567" spans="1:4" ht="15.75" customHeight="1" x14ac:dyDescent="0.2">
      <c r="A567" s="36"/>
      <c r="B567" s="34"/>
      <c r="C567" s="34"/>
      <c r="D567" s="34"/>
    </row>
    <row r="568" spans="1:4" ht="15.75" customHeight="1" x14ac:dyDescent="0.2">
      <c r="A568" s="36"/>
      <c r="B568" s="34"/>
      <c r="C568" s="34"/>
      <c r="D568" s="34"/>
    </row>
    <row r="569" spans="1:4" ht="15.75" customHeight="1" x14ac:dyDescent="0.2">
      <c r="A569" s="36"/>
      <c r="B569" s="34"/>
      <c r="C569" s="34"/>
      <c r="D569" s="34"/>
    </row>
    <row r="570" spans="1:4" ht="15.75" customHeight="1" x14ac:dyDescent="0.2">
      <c r="A570" s="36"/>
      <c r="B570" s="34"/>
      <c r="C570" s="34"/>
      <c r="D570" s="34"/>
    </row>
    <row r="571" spans="1:4" ht="15.75" customHeight="1" x14ac:dyDescent="0.2">
      <c r="A571" s="36"/>
      <c r="B571" s="34"/>
      <c r="C571" s="34"/>
      <c r="D571" s="34"/>
    </row>
    <row r="572" spans="1:4" ht="15.75" customHeight="1" x14ac:dyDescent="0.2">
      <c r="A572" s="36"/>
      <c r="B572" s="34"/>
      <c r="C572" s="34"/>
      <c r="D572" s="34"/>
    </row>
    <row r="573" spans="1:4" ht="15.75" customHeight="1" x14ac:dyDescent="0.2">
      <c r="A573" s="36"/>
      <c r="B573" s="34"/>
      <c r="C573" s="34"/>
      <c r="D573" s="34"/>
    </row>
    <row r="574" spans="1:4" ht="15.75" customHeight="1" x14ac:dyDescent="0.2">
      <c r="A574" s="36"/>
      <c r="B574" s="34"/>
      <c r="C574" s="34"/>
      <c r="D574" s="34"/>
    </row>
    <row r="575" spans="1:4" ht="15.75" customHeight="1" x14ac:dyDescent="0.2">
      <c r="A575" s="36"/>
      <c r="B575" s="34"/>
      <c r="C575" s="34"/>
      <c r="D575" s="34"/>
    </row>
    <row r="576" spans="1:4" ht="15.75" customHeight="1" x14ac:dyDescent="0.2">
      <c r="A576" s="36"/>
      <c r="B576" s="34"/>
      <c r="C576" s="34"/>
      <c r="D576" s="34"/>
    </row>
    <row r="577" spans="1:4" ht="15.75" customHeight="1" x14ac:dyDescent="0.2">
      <c r="A577" s="36"/>
      <c r="B577" s="34"/>
      <c r="C577" s="34"/>
      <c r="D577" s="34"/>
    </row>
    <row r="578" spans="1:4" ht="15.75" customHeight="1" x14ac:dyDescent="0.2">
      <c r="A578" s="36"/>
      <c r="B578" s="34"/>
      <c r="C578" s="34"/>
      <c r="D578" s="34"/>
    </row>
    <row r="579" spans="1:4" ht="15.75" customHeight="1" x14ac:dyDescent="0.2">
      <c r="A579" s="36"/>
      <c r="B579" s="34"/>
      <c r="C579" s="34"/>
      <c r="D579" s="34"/>
    </row>
    <row r="580" spans="1:4" ht="15.75" customHeight="1" x14ac:dyDescent="0.2">
      <c r="A580" s="36"/>
      <c r="B580" s="34"/>
      <c r="C580" s="34"/>
      <c r="D580" s="34"/>
    </row>
    <row r="581" spans="1:4" ht="15.75" customHeight="1" x14ac:dyDescent="0.2">
      <c r="A581" s="36"/>
      <c r="B581" s="34"/>
      <c r="C581" s="34"/>
      <c r="D581" s="34"/>
    </row>
    <row r="582" spans="1:4" ht="15.75" customHeight="1" x14ac:dyDescent="0.2">
      <c r="A582" s="36"/>
      <c r="B582" s="34"/>
      <c r="C582" s="34"/>
      <c r="D582" s="34"/>
    </row>
    <row r="583" spans="1:4" ht="15.75" customHeight="1" x14ac:dyDescent="0.2">
      <c r="A583" s="36"/>
      <c r="B583" s="34"/>
      <c r="C583" s="34"/>
      <c r="D583" s="34"/>
    </row>
    <row r="584" spans="1:4" ht="15.75" customHeight="1" x14ac:dyDescent="0.2">
      <c r="A584" s="36"/>
      <c r="B584" s="34"/>
      <c r="C584" s="34"/>
      <c r="D584" s="34"/>
    </row>
    <row r="585" spans="1:4" ht="15.75" customHeight="1" x14ac:dyDescent="0.2">
      <c r="A585" s="36"/>
      <c r="B585" s="34"/>
      <c r="C585" s="34"/>
      <c r="D585" s="34"/>
    </row>
    <row r="586" spans="1:4" ht="15.75" customHeight="1" x14ac:dyDescent="0.2">
      <c r="A586" s="36"/>
      <c r="B586" s="34"/>
      <c r="C586" s="34"/>
      <c r="D586" s="34"/>
    </row>
    <row r="587" spans="1:4" ht="15.75" customHeight="1" x14ac:dyDescent="0.2">
      <c r="A587" s="36"/>
      <c r="B587" s="34"/>
      <c r="C587" s="34"/>
      <c r="D587" s="34"/>
    </row>
    <row r="588" spans="1:4" ht="15.75" customHeight="1" x14ac:dyDescent="0.2">
      <c r="A588" s="36"/>
      <c r="B588" s="34"/>
      <c r="C588" s="34"/>
      <c r="D588" s="34"/>
    </row>
    <row r="589" spans="1:4" ht="15.75" customHeight="1" x14ac:dyDescent="0.2">
      <c r="A589" s="36"/>
      <c r="B589" s="34"/>
      <c r="C589" s="34"/>
      <c r="D589" s="34"/>
    </row>
    <row r="590" spans="1:4" ht="15.75" customHeight="1" x14ac:dyDescent="0.2">
      <c r="A590" s="36"/>
      <c r="B590" s="34"/>
      <c r="C590" s="34"/>
      <c r="D590" s="34"/>
    </row>
    <row r="591" spans="1:4" ht="15.75" customHeight="1" x14ac:dyDescent="0.2">
      <c r="A591" s="36"/>
      <c r="B591" s="34"/>
      <c r="C591" s="34"/>
      <c r="D591" s="34"/>
    </row>
    <row r="592" spans="1:4" ht="15.75" customHeight="1" x14ac:dyDescent="0.2">
      <c r="A592" s="36"/>
      <c r="B592" s="34"/>
      <c r="C592" s="34"/>
      <c r="D592" s="34"/>
    </row>
    <row r="593" spans="1:4" ht="15.75" customHeight="1" x14ac:dyDescent="0.2">
      <c r="A593" s="36"/>
      <c r="B593" s="34"/>
      <c r="C593" s="34"/>
      <c r="D593" s="34"/>
    </row>
    <row r="594" spans="1:4" ht="15.75" customHeight="1" x14ac:dyDescent="0.2">
      <c r="A594" s="36"/>
      <c r="B594" s="34"/>
      <c r="C594" s="34"/>
      <c r="D594" s="34"/>
    </row>
    <row r="595" spans="1:4" ht="15.75" customHeight="1" x14ac:dyDescent="0.2">
      <c r="A595" s="36"/>
      <c r="B595" s="34"/>
      <c r="C595" s="34"/>
      <c r="D595" s="34"/>
    </row>
    <row r="596" spans="1:4" ht="15.75" customHeight="1" x14ac:dyDescent="0.2">
      <c r="A596" s="36"/>
      <c r="B596" s="34"/>
      <c r="C596" s="34"/>
      <c r="D596" s="34"/>
    </row>
    <row r="597" spans="1:4" ht="15.75" customHeight="1" x14ac:dyDescent="0.2">
      <c r="A597" s="36"/>
      <c r="B597" s="34"/>
      <c r="C597" s="34"/>
      <c r="D597" s="34"/>
    </row>
    <row r="598" spans="1:4" ht="15.75" customHeight="1" x14ac:dyDescent="0.2">
      <c r="A598" s="36"/>
      <c r="B598" s="34"/>
      <c r="C598" s="34"/>
      <c r="D598" s="34"/>
    </row>
    <row r="599" spans="1:4" ht="15.75" customHeight="1" x14ac:dyDescent="0.2">
      <c r="A599" s="36"/>
      <c r="B599" s="34"/>
      <c r="C599" s="34"/>
      <c r="D599" s="34"/>
    </row>
    <row r="600" spans="1:4" ht="15.75" customHeight="1" x14ac:dyDescent="0.2">
      <c r="A600" s="36"/>
      <c r="B600" s="34"/>
      <c r="C600" s="34"/>
      <c r="D600" s="34"/>
    </row>
    <row r="601" spans="1:4" ht="15.75" customHeight="1" x14ac:dyDescent="0.2">
      <c r="A601" s="36"/>
      <c r="B601" s="34"/>
      <c r="C601" s="34"/>
      <c r="D601" s="34"/>
    </row>
    <row r="602" spans="1:4" ht="15.75" customHeight="1" x14ac:dyDescent="0.2">
      <c r="A602" s="36"/>
      <c r="B602" s="34"/>
      <c r="C602" s="34"/>
      <c r="D602" s="34"/>
    </row>
    <row r="603" spans="1:4" ht="15.75" customHeight="1" x14ac:dyDescent="0.2">
      <c r="A603" s="36"/>
      <c r="B603" s="34"/>
      <c r="C603" s="34"/>
      <c r="D603" s="34"/>
    </row>
    <row r="604" spans="1:4" ht="15.75" customHeight="1" x14ac:dyDescent="0.2">
      <c r="A604" s="36"/>
      <c r="B604" s="34"/>
      <c r="C604" s="34"/>
      <c r="D604" s="34"/>
    </row>
    <row r="605" spans="1:4" ht="15.75" customHeight="1" x14ac:dyDescent="0.2">
      <c r="A605" s="36"/>
      <c r="B605" s="34"/>
      <c r="C605" s="34"/>
      <c r="D605" s="34"/>
    </row>
    <row r="606" spans="1:4" ht="15.75" customHeight="1" x14ac:dyDescent="0.2">
      <c r="A606" s="36"/>
      <c r="B606" s="34"/>
      <c r="C606" s="34"/>
      <c r="D606" s="34"/>
    </row>
    <row r="607" spans="1:4" ht="15.75" customHeight="1" x14ac:dyDescent="0.2">
      <c r="A607" s="36"/>
      <c r="B607" s="34"/>
      <c r="C607" s="34"/>
      <c r="D607" s="34"/>
    </row>
    <row r="608" spans="1:4" ht="15.75" customHeight="1" x14ac:dyDescent="0.2">
      <c r="A608" s="36"/>
      <c r="B608" s="34"/>
      <c r="C608" s="34"/>
      <c r="D608" s="34"/>
    </row>
    <row r="609" spans="1:4" ht="15.75" customHeight="1" x14ac:dyDescent="0.2">
      <c r="A609" s="36"/>
      <c r="B609" s="34"/>
      <c r="C609" s="34"/>
      <c r="D609" s="34"/>
    </row>
    <row r="610" spans="1:4" ht="15.75" customHeight="1" x14ac:dyDescent="0.2">
      <c r="A610" s="36"/>
      <c r="B610" s="34"/>
      <c r="C610" s="34"/>
      <c r="D610" s="34"/>
    </row>
    <row r="611" spans="1:4" ht="15.75" customHeight="1" x14ac:dyDescent="0.2">
      <c r="A611" s="36"/>
      <c r="B611" s="34"/>
      <c r="C611" s="34"/>
      <c r="D611" s="34"/>
    </row>
    <row r="612" spans="1:4" ht="15.75" customHeight="1" x14ac:dyDescent="0.2">
      <c r="A612" s="36"/>
      <c r="B612" s="34"/>
      <c r="C612" s="34"/>
      <c r="D612" s="34"/>
    </row>
    <row r="613" spans="1:4" ht="15.75" customHeight="1" x14ac:dyDescent="0.2">
      <c r="A613" s="36"/>
      <c r="B613" s="34"/>
      <c r="C613" s="34"/>
      <c r="D613" s="34"/>
    </row>
    <row r="614" spans="1:4" ht="15.75" customHeight="1" x14ac:dyDescent="0.2">
      <c r="A614" s="36"/>
      <c r="B614" s="34"/>
      <c r="C614" s="34"/>
      <c r="D614" s="34"/>
    </row>
    <row r="615" spans="1:4" ht="15.75" customHeight="1" x14ac:dyDescent="0.2">
      <c r="A615" s="36"/>
      <c r="B615" s="34"/>
      <c r="C615" s="34"/>
      <c r="D615" s="34"/>
    </row>
    <row r="616" spans="1:4" ht="15.75" customHeight="1" x14ac:dyDescent="0.2">
      <c r="A616" s="36"/>
      <c r="B616" s="34"/>
      <c r="C616" s="34"/>
      <c r="D616" s="34"/>
    </row>
    <row r="617" spans="1:4" ht="15.75" customHeight="1" x14ac:dyDescent="0.2">
      <c r="A617" s="36"/>
      <c r="B617" s="34"/>
      <c r="C617" s="34"/>
      <c r="D617" s="34"/>
    </row>
    <row r="618" spans="1:4" ht="15.75" customHeight="1" x14ac:dyDescent="0.2">
      <c r="A618" s="36"/>
      <c r="B618" s="34"/>
      <c r="C618" s="34"/>
      <c r="D618" s="34"/>
    </row>
    <row r="619" spans="1:4" ht="15.75" customHeight="1" x14ac:dyDescent="0.2">
      <c r="A619" s="36"/>
      <c r="B619" s="34"/>
      <c r="C619" s="34"/>
      <c r="D619" s="34"/>
    </row>
    <row r="620" spans="1:4" ht="15.75" customHeight="1" x14ac:dyDescent="0.2">
      <c r="A620" s="36"/>
      <c r="B620" s="34"/>
      <c r="C620" s="34"/>
      <c r="D620" s="34"/>
    </row>
    <row r="621" spans="1:4" ht="15.75" customHeight="1" x14ac:dyDescent="0.2">
      <c r="A621" s="36"/>
      <c r="B621" s="34"/>
      <c r="C621" s="34"/>
      <c r="D621" s="34"/>
    </row>
    <row r="622" spans="1:4" ht="15.75" customHeight="1" x14ac:dyDescent="0.2">
      <c r="A622" s="36"/>
      <c r="B622" s="34"/>
      <c r="C622" s="34"/>
      <c r="D622" s="34"/>
    </row>
    <row r="623" spans="1:4" ht="15.75" customHeight="1" x14ac:dyDescent="0.2">
      <c r="A623" s="36"/>
      <c r="B623" s="34"/>
      <c r="C623" s="34"/>
      <c r="D623" s="34"/>
    </row>
    <row r="624" spans="1:4" ht="15.75" customHeight="1" x14ac:dyDescent="0.2">
      <c r="A624" s="36"/>
      <c r="B624" s="34"/>
      <c r="C624" s="34"/>
      <c r="D624" s="34"/>
    </row>
    <row r="625" spans="1:4" ht="15.75" customHeight="1" x14ac:dyDescent="0.2">
      <c r="A625" s="36"/>
      <c r="B625" s="34"/>
      <c r="C625" s="34"/>
      <c r="D625" s="34"/>
    </row>
    <row r="626" spans="1:4" ht="15.75" customHeight="1" x14ac:dyDescent="0.2">
      <c r="A626" s="36"/>
      <c r="B626" s="34"/>
      <c r="C626" s="34"/>
      <c r="D626" s="34"/>
    </row>
    <row r="627" spans="1:4" ht="15.75" customHeight="1" x14ac:dyDescent="0.2">
      <c r="A627" s="36"/>
      <c r="B627" s="34"/>
      <c r="C627" s="34"/>
      <c r="D627" s="34"/>
    </row>
    <row r="628" spans="1:4" ht="15.75" customHeight="1" x14ac:dyDescent="0.2">
      <c r="A628" s="36"/>
      <c r="B628" s="34"/>
      <c r="C628" s="34"/>
      <c r="D628" s="34"/>
    </row>
    <row r="629" spans="1:4" ht="15.75" customHeight="1" x14ac:dyDescent="0.2">
      <c r="A629" s="36"/>
      <c r="B629" s="34"/>
      <c r="C629" s="34"/>
      <c r="D629" s="34"/>
    </row>
    <row r="630" spans="1:4" ht="15.75" customHeight="1" x14ac:dyDescent="0.2">
      <c r="A630" s="36"/>
      <c r="B630" s="34"/>
      <c r="C630" s="34"/>
      <c r="D630" s="34"/>
    </row>
    <row r="631" spans="1:4" ht="15.75" customHeight="1" x14ac:dyDescent="0.2">
      <c r="A631" s="36"/>
      <c r="B631" s="34"/>
      <c r="C631" s="34"/>
      <c r="D631" s="34"/>
    </row>
    <row r="632" spans="1:4" ht="15.75" customHeight="1" x14ac:dyDescent="0.2">
      <c r="A632" s="36"/>
      <c r="B632" s="34"/>
      <c r="C632" s="34"/>
      <c r="D632" s="34"/>
    </row>
    <row r="633" spans="1:4" ht="15.75" customHeight="1" x14ac:dyDescent="0.2">
      <c r="A633" s="36"/>
      <c r="B633" s="34"/>
      <c r="C633" s="34"/>
      <c r="D633" s="34"/>
    </row>
    <row r="634" spans="1:4" ht="15.75" customHeight="1" x14ac:dyDescent="0.2">
      <c r="A634" s="36"/>
      <c r="B634" s="34"/>
      <c r="C634" s="34"/>
      <c r="D634" s="34"/>
    </row>
    <row r="635" spans="1:4" ht="15.75" customHeight="1" x14ac:dyDescent="0.2">
      <c r="A635" s="36"/>
      <c r="B635" s="34"/>
      <c r="C635" s="34"/>
      <c r="D635" s="34"/>
    </row>
    <row r="636" spans="1:4" ht="15.75" customHeight="1" x14ac:dyDescent="0.2">
      <c r="A636" s="36"/>
      <c r="B636" s="34"/>
      <c r="C636" s="34"/>
      <c r="D636" s="34"/>
    </row>
    <row r="637" spans="1:4" ht="15.75" customHeight="1" x14ac:dyDescent="0.2">
      <c r="A637" s="36"/>
      <c r="B637" s="34"/>
      <c r="C637" s="34"/>
      <c r="D637" s="34"/>
    </row>
    <row r="638" spans="1:4" ht="15.75" customHeight="1" x14ac:dyDescent="0.2">
      <c r="A638" s="36"/>
      <c r="B638" s="34"/>
      <c r="C638" s="34"/>
      <c r="D638" s="34"/>
    </row>
    <row r="639" spans="1:4" ht="15.75" customHeight="1" x14ac:dyDescent="0.2">
      <c r="A639" s="36"/>
      <c r="B639" s="34"/>
      <c r="C639" s="34"/>
      <c r="D639" s="34"/>
    </row>
    <row r="640" spans="1:4" ht="15.75" customHeight="1" x14ac:dyDescent="0.2">
      <c r="A640" s="36"/>
      <c r="B640" s="34"/>
      <c r="C640" s="34"/>
      <c r="D640" s="34"/>
    </row>
    <row r="641" spans="1:4" ht="15.75" customHeight="1" x14ac:dyDescent="0.2">
      <c r="A641" s="36"/>
      <c r="B641" s="34"/>
      <c r="C641" s="34"/>
      <c r="D641" s="34"/>
    </row>
    <row r="642" spans="1:4" ht="15.75" customHeight="1" x14ac:dyDescent="0.2">
      <c r="A642" s="36"/>
      <c r="B642" s="34"/>
      <c r="C642" s="34"/>
      <c r="D642" s="34"/>
    </row>
    <row r="643" spans="1:4" ht="15.75" customHeight="1" x14ac:dyDescent="0.2">
      <c r="A643" s="36"/>
      <c r="B643" s="34"/>
      <c r="C643" s="34"/>
      <c r="D643" s="34"/>
    </row>
    <row r="644" spans="1:4" ht="15.75" customHeight="1" x14ac:dyDescent="0.2">
      <c r="A644" s="36"/>
      <c r="B644" s="34"/>
      <c r="C644" s="34"/>
      <c r="D644" s="34"/>
    </row>
    <row r="645" spans="1:4" ht="15.75" customHeight="1" x14ac:dyDescent="0.2">
      <c r="A645" s="36"/>
      <c r="B645" s="34"/>
      <c r="C645" s="34"/>
      <c r="D645" s="34"/>
    </row>
    <row r="646" spans="1:4" ht="15.75" customHeight="1" x14ac:dyDescent="0.2">
      <c r="A646" s="36"/>
      <c r="B646" s="34"/>
      <c r="C646" s="34"/>
      <c r="D646" s="34"/>
    </row>
    <row r="647" spans="1:4" ht="15.75" customHeight="1" x14ac:dyDescent="0.2">
      <c r="A647" s="36"/>
      <c r="B647" s="34"/>
      <c r="C647" s="34"/>
      <c r="D647" s="34"/>
    </row>
    <row r="648" spans="1:4" ht="15.75" customHeight="1" x14ac:dyDescent="0.2">
      <c r="A648" s="36"/>
      <c r="B648" s="34"/>
      <c r="C648" s="34"/>
      <c r="D648" s="34"/>
    </row>
    <row r="649" spans="1:4" ht="15.75" customHeight="1" x14ac:dyDescent="0.2">
      <c r="A649" s="36"/>
      <c r="B649" s="34"/>
      <c r="C649" s="34"/>
      <c r="D649" s="34"/>
    </row>
    <row r="650" spans="1:4" ht="15.75" customHeight="1" x14ac:dyDescent="0.2">
      <c r="A650" s="36"/>
      <c r="B650" s="34"/>
      <c r="C650" s="34"/>
      <c r="D650" s="34"/>
    </row>
    <row r="651" spans="1:4" ht="15.75" customHeight="1" x14ac:dyDescent="0.2">
      <c r="A651" s="36"/>
      <c r="B651" s="34"/>
      <c r="C651" s="34"/>
      <c r="D651" s="34"/>
    </row>
    <row r="652" spans="1:4" ht="15.75" customHeight="1" x14ac:dyDescent="0.2">
      <c r="A652" s="36"/>
      <c r="B652" s="34"/>
      <c r="C652" s="34"/>
      <c r="D652" s="34"/>
    </row>
    <row r="653" spans="1:4" ht="15.75" customHeight="1" x14ac:dyDescent="0.2">
      <c r="A653" s="36"/>
      <c r="B653" s="34"/>
      <c r="C653" s="34"/>
      <c r="D653" s="34"/>
    </row>
    <row r="654" spans="1:4" ht="15.75" customHeight="1" x14ac:dyDescent="0.2">
      <c r="A654" s="36"/>
      <c r="B654" s="34"/>
      <c r="C654" s="34"/>
      <c r="D654" s="34"/>
    </row>
    <row r="655" spans="1:4" ht="15.75" customHeight="1" x14ac:dyDescent="0.2">
      <c r="A655" s="36"/>
      <c r="B655" s="34"/>
      <c r="C655" s="34"/>
      <c r="D655" s="34"/>
    </row>
    <row r="656" spans="1:4" ht="15.75" customHeight="1" x14ac:dyDescent="0.2">
      <c r="A656" s="36"/>
      <c r="B656" s="34"/>
      <c r="C656" s="34"/>
      <c r="D656" s="34"/>
    </row>
    <row r="657" spans="1:4" ht="15.75" customHeight="1" x14ac:dyDescent="0.2">
      <c r="A657" s="36"/>
      <c r="B657" s="34"/>
      <c r="C657" s="34"/>
      <c r="D657" s="34"/>
    </row>
    <row r="658" spans="1:4" ht="15.75" customHeight="1" x14ac:dyDescent="0.2">
      <c r="A658" s="36"/>
      <c r="B658" s="34"/>
      <c r="C658" s="34"/>
      <c r="D658" s="34"/>
    </row>
    <row r="659" spans="1:4" ht="15.75" customHeight="1" x14ac:dyDescent="0.2">
      <c r="A659" s="36"/>
      <c r="B659" s="34"/>
      <c r="C659" s="34"/>
      <c r="D659" s="34"/>
    </row>
    <row r="660" spans="1:4" ht="15.75" customHeight="1" x14ac:dyDescent="0.2">
      <c r="A660" s="36"/>
      <c r="B660" s="34"/>
      <c r="C660" s="34"/>
      <c r="D660" s="34"/>
    </row>
    <row r="661" spans="1:4" ht="15.75" customHeight="1" x14ac:dyDescent="0.2">
      <c r="A661" s="36"/>
      <c r="B661" s="34"/>
      <c r="C661" s="34"/>
      <c r="D661" s="34"/>
    </row>
    <row r="662" spans="1:4" ht="15.75" customHeight="1" x14ac:dyDescent="0.2">
      <c r="A662" s="36"/>
      <c r="B662" s="34"/>
      <c r="C662" s="34"/>
      <c r="D662" s="34"/>
    </row>
    <row r="663" spans="1:4" ht="15.75" customHeight="1" x14ac:dyDescent="0.2">
      <c r="A663" s="36"/>
      <c r="B663" s="34"/>
      <c r="C663" s="34"/>
      <c r="D663" s="34"/>
    </row>
    <row r="664" spans="1:4" ht="15.75" customHeight="1" x14ac:dyDescent="0.2">
      <c r="A664" s="36"/>
      <c r="B664" s="34"/>
      <c r="C664" s="34"/>
      <c r="D664" s="34"/>
    </row>
    <row r="665" spans="1:4" ht="15.75" customHeight="1" x14ac:dyDescent="0.2">
      <c r="A665" s="36"/>
      <c r="B665" s="34"/>
      <c r="C665" s="34"/>
      <c r="D665" s="34"/>
    </row>
    <row r="666" spans="1:4" ht="15.75" customHeight="1" x14ac:dyDescent="0.2">
      <c r="A666" s="36"/>
      <c r="B666" s="34"/>
      <c r="C666" s="34"/>
      <c r="D666" s="34"/>
    </row>
    <row r="667" spans="1:4" ht="15.75" customHeight="1" x14ac:dyDescent="0.2">
      <c r="A667" s="36"/>
      <c r="B667" s="34"/>
      <c r="C667" s="34"/>
      <c r="D667" s="34"/>
    </row>
    <row r="668" spans="1:4" ht="15.75" customHeight="1" x14ac:dyDescent="0.2">
      <c r="A668" s="36"/>
      <c r="B668" s="34"/>
      <c r="C668" s="34"/>
      <c r="D668" s="34"/>
    </row>
    <row r="669" spans="1:4" ht="15.75" customHeight="1" x14ac:dyDescent="0.2">
      <c r="A669" s="36"/>
      <c r="B669" s="34"/>
      <c r="C669" s="34"/>
      <c r="D669" s="34"/>
    </row>
    <row r="670" spans="1:4" ht="15.75" customHeight="1" x14ac:dyDescent="0.2">
      <c r="A670" s="36"/>
      <c r="B670" s="34"/>
      <c r="C670" s="34"/>
      <c r="D670" s="34"/>
    </row>
    <row r="671" spans="1:4" ht="15.75" customHeight="1" x14ac:dyDescent="0.2">
      <c r="A671" s="36"/>
      <c r="B671" s="34"/>
      <c r="C671" s="34"/>
      <c r="D671" s="34"/>
    </row>
    <row r="672" spans="1:4" ht="15.75" customHeight="1" x14ac:dyDescent="0.2">
      <c r="A672" s="36"/>
      <c r="B672" s="34"/>
      <c r="C672" s="34"/>
      <c r="D672" s="34"/>
    </row>
    <row r="673" spans="1:4" ht="15.75" customHeight="1" x14ac:dyDescent="0.2">
      <c r="A673" s="36"/>
      <c r="B673" s="34"/>
      <c r="C673" s="34"/>
      <c r="D673" s="34"/>
    </row>
    <row r="674" spans="1:4" ht="15.75" customHeight="1" x14ac:dyDescent="0.2">
      <c r="A674" s="36"/>
      <c r="B674" s="34"/>
      <c r="C674" s="34"/>
      <c r="D674" s="34"/>
    </row>
    <row r="675" spans="1:4" ht="15.75" customHeight="1" x14ac:dyDescent="0.2">
      <c r="A675" s="36"/>
      <c r="B675" s="34"/>
      <c r="C675" s="34"/>
      <c r="D675" s="34"/>
    </row>
    <row r="676" spans="1:4" ht="15.75" customHeight="1" x14ac:dyDescent="0.2">
      <c r="A676" s="36"/>
      <c r="B676" s="34"/>
      <c r="C676" s="34"/>
      <c r="D676" s="34"/>
    </row>
    <row r="677" spans="1:4" ht="15.75" customHeight="1" x14ac:dyDescent="0.2">
      <c r="A677" s="36"/>
      <c r="B677" s="34"/>
      <c r="C677" s="34"/>
      <c r="D677" s="34"/>
    </row>
    <row r="678" spans="1:4" ht="15.75" customHeight="1" x14ac:dyDescent="0.2">
      <c r="A678" s="36"/>
      <c r="B678" s="34"/>
      <c r="C678" s="34"/>
      <c r="D678" s="34"/>
    </row>
    <row r="679" spans="1:4" ht="15.75" customHeight="1" x14ac:dyDescent="0.2">
      <c r="A679" s="36"/>
      <c r="B679" s="34"/>
      <c r="C679" s="34"/>
      <c r="D679" s="34"/>
    </row>
    <row r="680" spans="1:4" ht="15.75" customHeight="1" x14ac:dyDescent="0.2">
      <c r="A680" s="36"/>
      <c r="B680" s="34"/>
      <c r="C680" s="34"/>
      <c r="D680" s="34"/>
    </row>
    <row r="681" spans="1:4" ht="15.75" customHeight="1" x14ac:dyDescent="0.2">
      <c r="A681" s="36"/>
      <c r="B681" s="34"/>
      <c r="C681" s="34"/>
      <c r="D681" s="34"/>
    </row>
    <row r="682" spans="1:4" ht="15.75" customHeight="1" x14ac:dyDescent="0.2">
      <c r="A682" s="36"/>
      <c r="B682" s="34"/>
      <c r="C682" s="34"/>
      <c r="D682" s="34"/>
    </row>
    <row r="683" spans="1:4" ht="15.75" customHeight="1" x14ac:dyDescent="0.2">
      <c r="A683" s="36"/>
      <c r="B683" s="34"/>
      <c r="C683" s="34"/>
      <c r="D683" s="34"/>
    </row>
    <row r="684" spans="1:4" ht="15.75" customHeight="1" x14ac:dyDescent="0.2">
      <c r="A684" s="36"/>
      <c r="B684" s="34"/>
      <c r="C684" s="34"/>
      <c r="D684" s="34"/>
    </row>
    <row r="685" spans="1:4" ht="15.75" customHeight="1" x14ac:dyDescent="0.2">
      <c r="A685" s="36"/>
      <c r="B685" s="34"/>
      <c r="C685" s="34"/>
      <c r="D685" s="34"/>
    </row>
    <row r="686" spans="1:4" ht="15.75" customHeight="1" x14ac:dyDescent="0.2">
      <c r="A686" s="36"/>
      <c r="B686" s="34"/>
      <c r="C686" s="34"/>
      <c r="D686" s="34"/>
    </row>
    <row r="687" spans="1:4" ht="15.75" customHeight="1" x14ac:dyDescent="0.2">
      <c r="A687" s="36"/>
      <c r="B687" s="34"/>
      <c r="C687" s="34"/>
      <c r="D687" s="34"/>
    </row>
    <row r="688" spans="1:4" ht="15.75" customHeight="1" x14ac:dyDescent="0.2">
      <c r="A688" s="36"/>
      <c r="B688" s="34"/>
      <c r="C688" s="34"/>
      <c r="D688" s="34"/>
    </row>
    <row r="689" spans="1:4" ht="15.75" customHeight="1" x14ac:dyDescent="0.2">
      <c r="A689" s="36"/>
      <c r="B689" s="34"/>
      <c r="C689" s="34"/>
      <c r="D689" s="34"/>
    </row>
    <row r="690" spans="1:4" ht="15.75" customHeight="1" x14ac:dyDescent="0.2">
      <c r="A690" s="36"/>
      <c r="B690" s="34"/>
      <c r="C690" s="34"/>
      <c r="D690" s="34"/>
    </row>
    <row r="691" spans="1:4" ht="15.75" customHeight="1" x14ac:dyDescent="0.2">
      <c r="A691" s="36"/>
      <c r="B691" s="34"/>
      <c r="C691" s="34"/>
      <c r="D691" s="34"/>
    </row>
    <row r="692" spans="1:4" ht="15.75" customHeight="1" x14ac:dyDescent="0.2">
      <c r="A692" s="36"/>
      <c r="B692" s="34"/>
      <c r="C692" s="34"/>
      <c r="D692" s="34"/>
    </row>
    <row r="693" spans="1:4" ht="15.75" customHeight="1" x14ac:dyDescent="0.2">
      <c r="A693" s="36"/>
      <c r="B693" s="34"/>
      <c r="C693" s="34"/>
      <c r="D693" s="34"/>
    </row>
    <row r="694" spans="1:4" ht="15.75" customHeight="1" x14ac:dyDescent="0.2">
      <c r="A694" s="36"/>
      <c r="B694" s="34"/>
      <c r="C694" s="34"/>
      <c r="D694" s="34"/>
    </row>
    <row r="695" spans="1:4" ht="15.75" customHeight="1" x14ac:dyDescent="0.2">
      <c r="A695" s="36"/>
      <c r="B695" s="34"/>
      <c r="C695" s="34"/>
      <c r="D695" s="34"/>
    </row>
    <row r="696" spans="1:4" ht="15.75" customHeight="1" x14ac:dyDescent="0.2">
      <c r="A696" s="36"/>
      <c r="B696" s="34"/>
      <c r="C696" s="34"/>
      <c r="D696" s="34"/>
    </row>
    <row r="697" spans="1:4" ht="15.75" customHeight="1" x14ac:dyDescent="0.2">
      <c r="A697" s="36"/>
      <c r="B697" s="34"/>
      <c r="C697" s="34"/>
      <c r="D697" s="34"/>
    </row>
    <row r="698" spans="1:4" ht="15.75" customHeight="1" x14ac:dyDescent="0.2">
      <c r="A698" s="36"/>
      <c r="B698" s="34"/>
      <c r="C698" s="34"/>
      <c r="D698" s="34"/>
    </row>
    <row r="699" spans="1:4" ht="15.75" customHeight="1" x14ac:dyDescent="0.2">
      <c r="A699" s="36"/>
      <c r="B699" s="34"/>
      <c r="C699" s="34"/>
      <c r="D699" s="34"/>
    </row>
    <row r="700" spans="1:4" ht="15.75" customHeight="1" x14ac:dyDescent="0.2">
      <c r="A700" s="36"/>
      <c r="B700" s="34"/>
      <c r="C700" s="34"/>
      <c r="D700" s="34"/>
    </row>
    <row r="701" spans="1:4" ht="15.75" customHeight="1" x14ac:dyDescent="0.2">
      <c r="A701" s="36"/>
      <c r="B701" s="34"/>
      <c r="C701" s="34"/>
      <c r="D701" s="34"/>
    </row>
    <row r="702" spans="1:4" ht="15.75" customHeight="1" x14ac:dyDescent="0.2">
      <c r="A702" s="36"/>
      <c r="B702" s="34"/>
      <c r="C702" s="34"/>
      <c r="D702" s="34"/>
    </row>
    <row r="703" spans="1:4" ht="15.75" customHeight="1" x14ac:dyDescent="0.2">
      <c r="A703" s="36"/>
      <c r="B703" s="34"/>
      <c r="C703" s="34"/>
      <c r="D703" s="34"/>
    </row>
    <row r="704" spans="1:4" ht="15.75" customHeight="1" x14ac:dyDescent="0.2">
      <c r="A704" s="36"/>
      <c r="B704" s="34"/>
      <c r="C704" s="34"/>
      <c r="D704" s="34"/>
    </row>
    <row r="705" spans="1:4" ht="15.75" customHeight="1" x14ac:dyDescent="0.2">
      <c r="A705" s="36"/>
      <c r="B705" s="34"/>
      <c r="C705" s="34"/>
      <c r="D705" s="34"/>
    </row>
    <row r="706" spans="1:4" ht="15.75" customHeight="1" x14ac:dyDescent="0.2">
      <c r="A706" s="36"/>
      <c r="B706" s="34"/>
      <c r="C706" s="34"/>
      <c r="D706" s="34"/>
    </row>
    <row r="707" spans="1:4" ht="15.75" customHeight="1" x14ac:dyDescent="0.2">
      <c r="A707" s="36"/>
      <c r="B707" s="34"/>
      <c r="C707" s="34"/>
      <c r="D707" s="34"/>
    </row>
    <row r="708" spans="1:4" ht="15.75" customHeight="1" x14ac:dyDescent="0.2">
      <c r="A708" s="36"/>
      <c r="B708" s="34"/>
      <c r="C708" s="34"/>
      <c r="D708" s="34"/>
    </row>
    <row r="709" spans="1:4" ht="15.75" customHeight="1" x14ac:dyDescent="0.2">
      <c r="A709" s="36"/>
      <c r="B709" s="34"/>
      <c r="C709" s="34"/>
      <c r="D709" s="34"/>
    </row>
    <row r="710" spans="1:4" ht="15.75" customHeight="1" x14ac:dyDescent="0.2">
      <c r="A710" s="36"/>
      <c r="B710" s="34"/>
      <c r="C710" s="34"/>
      <c r="D710" s="34"/>
    </row>
    <row r="711" spans="1:4" ht="15.75" customHeight="1" x14ac:dyDescent="0.2">
      <c r="A711" s="36"/>
      <c r="B711" s="34"/>
      <c r="C711" s="34"/>
      <c r="D711" s="34"/>
    </row>
    <row r="712" spans="1:4" ht="15.75" customHeight="1" x14ac:dyDescent="0.2">
      <c r="A712" s="36"/>
      <c r="B712" s="34"/>
      <c r="C712" s="34"/>
      <c r="D712" s="34"/>
    </row>
    <row r="713" spans="1:4" ht="15.75" customHeight="1" x14ac:dyDescent="0.2">
      <c r="A713" s="36"/>
      <c r="B713" s="34"/>
      <c r="C713" s="34"/>
      <c r="D713" s="34"/>
    </row>
    <row r="714" spans="1:4" ht="15.75" customHeight="1" x14ac:dyDescent="0.2">
      <c r="A714" s="36"/>
      <c r="B714" s="34"/>
      <c r="C714" s="34"/>
      <c r="D714" s="34"/>
    </row>
    <row r="715" spans="1:4" ht="15.75" customHeight="1" x14ac:dyDescent="0.2">
      <c r="A715" s="36"/>
      <c r="B715" s="34"/>
      <c r="C715" s="34"/>
      <c r="D715" s="34"/>
    </row>
    <row r="716" spans="1:4" ht="15.75" customHeight="1" x14ac:dyDescent="0.2">
      <c r="A716" s="36"/>
      <c r="B716" s="34"/>
      <c r="C716" s="34"/>
      <c r="D716" s="34"/>
    </row>
    <row r="717" spans="1:4" ht="15.75" customHeight="1" x14ac:dyDescent="0.2">
      <c r="A717" s="36"/>
      <c r="B717" s="34"/>
      <c r="C717" s="34"/>
      <c r="D717" s="34"/>
    </row>
    <row r="718" spans="1:4" ht="15.75" customHeight="1" x14ac:dyDescent="0.2">
      <c r="A718" s="36"/>
      <c r="B718" s="34"/>
      <c r="C718" s="34"/>
      <c r="D718" s="34"/>
    </row>
    <row r="719" spans="1:4" ht="15.75" customHeight="1" x14ac:dyDescent="0.2">
      <c r="A719" s="36"/>
      <c r="B719" s="34"/>
      <c r="C719" s="34"/>
      <c r="D719" s="34"/>
    </row>
    <row r="720" spans="1:4" ht="15.75" customHeight="1" x14ac:dyDescent="0.2">
      <c r="A720" s="36"/>
      <c r="B720" s="34"/>
      <c r="C720" s="34"/>
      <c r="D720" s="34"/>
    </row>
    <row r="721" spans="1:4" ht="15.75" customHeight="1" x14ac:dyDescent="0.2">
      <c r="A721" s="36"/>
      <c r="B721" s="34"/>
      <c r="C721" s="34"/>
      <c r="D721" s="34"/>
    </row>
    <row r="722" spans="1:4" ht="15.75" customHeight="1" x14ac:dyDescent="0.2">
      <c r="A722" s="36"/>
      <c r="B722" s="34"/>
      <c r="C722" s="34"/>
      <c r="D722" s="34"/>
    </row>
    <row r="723" spans="1:4" ht="15.75" customHeight="1" x14ac:dyDescent="0.2">
      <c r="A723" s="36"/>
      <c r="B723" s="34"/>
      <c r="C723" s="34"/>
      <c r="D723" s="34"/>
    </row>
    <row r="724" spans="1:4" ht="15.75" customHeight="1" x14ac:dyDescent="0.2">
      <c r="A724" s="36"/>
      <c r="B724" s="34"/>
      <c r="C724" s="34"/>
      <c r="D724" s="34"/>
    </row>
    <row r="725" spans="1:4" ht="15.75" customHeight="1" x14ac:dyDescent="0.2">
      <c r="A725" s="36"/>
      <c r="B725" s="34"/>
      <c r="C725" s="34"/>
      <c r="D725" s="34"/>
    </row>
    <row r="726" spans="1:4" ht="15.75" customHeight="1" x14ac:dyDescent="0.2">
      <c r="A726" s="36"/>
      <c r="B726" s="34"/>
      <c r="C726" s="34"/>
      <c r="D726" s="34"/>
    </row>
    <row r="727" spans="1:4" ht="15.75" customHeight="1" x14ac:dyDescent="0.2">
      <c r="A727" s="36"/>
      <c r="B727" s="34"/>
      <c r="C727" s="34"/>
      <c r="D727" s="34"/>
    </row>
    <row r="728" spans="1:4" ht="15.75" customHeight="1" x14ac:dyDescent="0.2">
      <c r="A728" s="36"/>
      <c r="B728" s="34"/>
      <c r="C728" s="34"/>
      <c r="D728" s="34"/>
    </row>
    <row r="729" spans="1:4" ht="15.75" customHeight="1" x14ac:dyDescent="0.2">
      <c r="A729" s="36"/>
      <c r="B729" s="34"/>
      <c r="C729" s="34"/>
      <c r="D729" s="34"/>
    </row>
    <row r="730" spans="1:4" ht="15.75" customHeight="1" x14ac:dyDescent="0.2">
      <c r="A730" s="36"/>
      <c r="B730" s="34"/>
      <c r="C730" s="34"/>
      <c r="D730" s="34"/>
    </row>
    <row r="731" spans="1:4" ht="15.75" customHeight="1" x14ac:dyDescent="0.2">
      <c r="A731" s="36"/>
      <c r="B731" s="34"/>
      <c r="C731" s="34"/>
      <c r="D731" s="34"/>
    </row>
    <row r="732" spans="1:4" ht="15.75" customHeight="1" x14ac:dyDescent="0.2">
      <c r="A732" s="36"/>
      <c r="B732" s="34"/>
      <c r="C732" s="34"/>
      <c r="D732" s="34"/>
    </row>
    <row r="733" spans="1:4" ht="15.75" customHeight="1" x14ac:dyDescent="0.2">
      <c r="A733" s="36"/>
      <c r="B733" s="34"/>
      <c r="C733" s="34"/>
      <c r="D733" s="34"/>
    </row>
    <row r="734" spans="1:4" ht="15.75" customHeight="1" x14ac:dyDescent="0.2">
      <c r="A734" s="36"/>
      <c r="B734" s="34"/>
      <c r="C734" s="34"/>
      <c r="D734" s="34"/>
    </row>
    <row r="735" spans="1:4" ht="15.75" customHeight="1" x14ac:dyDescent="0.2">
      <c r="A735" s="36"/>
      <c r="B735" s="34"/>
      <c r="C735" s="34"/>
      <c r="D735" s="34"/>
    </row>
    <row r="736" spans="1:4" ht="15.75" customHeight="1" x14ac:dyDescent="0.2">
      <c r="A736" s="36"/>
      <c r="B736" s="34"/>
      <c r="C736" s="34"/>
      <c r="D736" s="34"/>
    </row>
    <row r="737" spans="1:4" ht="15.75" customHeight="1" x14ac:dyDescent="0.2">
      <c r="A737" s="36"/>
      <c r="B737" s="34"/>
      <c r="C737" s="34"/>
      <c r="D737" s="34"/>
    </row>
    <row r="738" spans="1:4" ht="15.75" customHeight="1" x14ac:dyDescent="0.2">
      <c r="A738" s="36"/>
      <c r="B738" s="34"/>
      <c r="C738" s="34"/>
      <c r="D738" s="34"/>
    </row>
    <row r="739" spans="1:4" ht="15.75" customHeight="1" x14ac:dyDescent="0.2">
      <c r="A739" s="36"/>
      <c r="B739" s="34"/>
      <c r="C739" s="34"/>
      <c r="D739" s="34"/>
    </row>
    <row r="740" spans="1:4" ht="15.75" customHeight="1" x14ac:dyDescent="0.2">
      <c r="A740" s="36"/>
      <c r="B740" s="34"/>
      <c r="C740" s="34"/>
      <c r="D740" s="34"/>
    </row>
    <row r="741" spans="1:4" ht="15.75" customHeight="1" x14ac:dyDescent="0.2">
      <c r="A741" s="36"/>
      <c r="B741" s="34"/>
      <c r="C741" s="34"/>
      <c r="D741" s="34"/>
    </row>
    <row r="742" spans="1:4" ht="15.75" customHeight="1" x14ac:dyDescent="0.2">
      <c r="A742" s="36"/>
      <c r="B742" s="34"/>
      <c r="C742" s="34"/>
      <c r="D742" s="34"/>
    </row>
    <row r="743" spans="1:4" ht="15.75" customHeight="1" x14ac:dyDescent="0.2">
      <c r="A743" s="36"/>
      <c r="B743" s="34"/>
      <c r="C743" s="34"/>
      <c r="D743" s="34"/>
    </row>
    <row r="744" spans="1:4" ht="15.75" customHeight="1" x14ac:dyDescent="0.2">
      <c r="A744" s="36"/>
      <c r="B744" s="34"/>
      <c r="C744" s="34"/>
      <c r="D744" s="34"/>
    </row>
    <row r="745" spans="1:4" ht="15.75" customHeight="1" x14ac:dyDescent="0.2">
      <c r="A745" s="36"/>
      <c r="B745" s="34"/>
      <c r="C745" s="34"/>
      <c r="D745" s="34"/>
    </row>
    <row r="746" spans="1:4" ht="15.75" customHeight="1" x14ac:dyDescent="0.2">
      <c r="A746" s="36"/>
      <c r="B746" s="34"/>
      <c r="C746" s="34"/>
      <c r="D746" s="34"/>
    </row>
    <row r="747" spans="1:4" ht="15.75" customHeight="1" x14ac:dyDescent="0.2">
      <c r="A747" s="36"/>
      <c r="B747" s="34"/>
      <c r="C747" s="34"/>
      <c r="D747" s="34"/>
    </row>
    <row r="748" spans="1:4" ht="15.75" customHeight="1" x14ac:dyDescent="0.2">
      <c r="A748" s="36"/>
      <c r="B748" s="34"/>
      <c r="C748" s="34"/>
      <c r="D748" s="34"/>
    </row>
    <row r="749" spans="1:4" ht="15.75" customHeight="1" x14ac:dyDescent="0.2">
      <c r="A749" s="36"/>
      <c r="B749" s="34"/>
      <c r="C749" s="34"/>
      <c r="D749" s="34"/>
    </row>
    <row r="750" spans="1:4" ht="15.75" customHeight="1" x14ac:dyDescent="0.2">
      <c r="A750" s="36"/>
      <c r="B750" s="34"/>
      <c r="C750" s="34"/>
      <c r="D750" s="34"/>
    </row>
    <row r="751" spans="1:4" ht="15.75" customHeight="1" x14ac:dyDescent="0.2">
      <c r="A751" s="36"/>
      <c r="B751" s="34"/>
      <c r="C751" s="34"/>
      <c r="D751" s="34"/>
    </row>
    <row r="752" spans="1:4" ht="15.75" customHeight="1" x14ac:dyDescent="0.2">
      <c r="A752" s="36"/>
      <c r="B752" s="34"/>
      <c r="C752" s="34"/>
      <c r="D752" s="34"/>
    </row>
    <row r="753" spans="1:4" ht="15.75" customHeight="1" x14ac:dyDescent="0.2">
      <c r="A753" s="36"/>
      <c r="B753" s="34"/>
      <c r="C753" s="34"/>
      <c r="D753" s="34"/>
    </row>
    <row r="754" spans="1:4" ht="15.75" customHeight="1" x14ac:dyDescent="0.2">
      <c r="A754" s="36"/>
      <c r="B754" s="34"/>
      <c r="C754" s="34"/>
      <c r="D754" s="34"/>
    </row>
    <row r="755" spans="1:4" ht="15.75" customHeight="1" x14ac:dyDescent="0.2">
      <c r="A755" s="36"/>
      <c r="B755" s="34"/>
      <c r="C755" s="34"/>
      <c r="D755" s="34"/>
    </row>
    <row r="756" spans="1:4" ht="15.75" customHeight="1" x14ac:dyDescent="0.2">
      <c r="A756" s="36"/>
      <c r="B756" s="34"/>
      <c r="C756" s="34"/>
      <c r="D756" s="34"/>
    </row>
    <row r="757" spans="1:4" ht="15.75" customHeight="1" x14ac:dyDescent="0.2">
      <c r="A757" s="36"/>
      <c r="B757" s="34"/>
      <c r="C757" s="34"/>
      <c r="D757" s="34"/>
    </row>
    <row r="758" spans="1:4" ht="15.75" customHeight="1" x14ac:dyDescent="0.2">
      <c r="A758" s="36"/>
      <c r="B758" s="34"/>
      <c r="C758" s="34"/>
      <c r="D758" s="34"/>
    </row>
    <row r="759" spans="1:4" ht="15.75" customHeight="1" x14ac:dyDescent="0.2">
      <c r="A759" s="36"/>
      <c r="B759" s="34"/>
      <c r="C759" s="34"/>
      <c r="D759" s="34"/>
    </row>
    <row r="760" spans="1:4" ht="15.75" customHeight="1" x14ac:dyDescent="0.2">
      <c r="A760" s="36"/>
      <c r="B760" s="34"/>
      <c r="C760" s="34"/>
      <c r="D760" s="34"/>
    </row>
    <row r="761" spans="1:4" ht="15.75" customHeight="1" x14ac:dyDescent="0.2">
      <c r="A761" s="36"/>
      <c r="B761" s="34"/>
      <c r="C761" s="34"/>
      <c r="D761" s="34"/>
    </row>
    <row r="762" spans="1:4" ht="15.75" customHeight="1" x14ac:dyDescent="0.2">
      <c r="A762" s="36"/>
      <c r="B762" s="34"/>
      <c r="C762" s="34"/>
      <c r="D762" s="34"/>
    </row>
    <row r="763" spans="1:4" ht="15.75" customHeight="1" x14ac:dyDescent="0.2">
      <c r="A763" s="36"/>
      <c r="B763" s="34"/>
      <c r="C763" s="34"/>
      <c r="D763" s="34"/>
    </row>
    <row r="764" spans="1:4" ht="15.75" customHeight="1" x14ac:dyDescent="0.2">
      <c r="A764" s="36"/>
      <c r="B764" s="34"/>
      <c r="C764" s="34"/>
      <c r="D764" s="34"/>
    </row>
    <row r="765" spans="1:4" ht="15.75" customHeight="1" x14ac:dyDescent="0.2">
      <c r="A765" s="36"/>
      <c r="B765" s="34"/>
      <c r="C765" s="34"/>
      <c r="D765" s="34"/>
    </row>
    <row r="766" spans="1:4" ht="15.75" customHeight="1" x14ac:dyDescent="0.2">
      <c r="A766" s="36"/>
      <c r="B766" s="34"/>
      <c r="C766" s="34"/>
      <c r="D766" s="34"/>
    </row>
    <row r="767" spans="1:4" ht="15.75" customHeight="1" x14ac:dyDescent="0.2">
      <c r="A767" s="36"/>
      <c r="B767" s="34"/>
      <c r="C767" s="34"/>
      <c r="D767" s="34"/>
    </row>
    <row r="768" spans="1:4" ht="15.75" customHeight="1" x14ac:dyDescent="0.2">
      <c r="A768" s="36"/>
      <c r="B768" s="34"/>
      <c r="C768" s="34"/>
      <c r="D768" s="34"/>
    </row>
    <row r="769" spans="1:4" ht="15.75" customHeight="1" x14ac:dyDescent="0.2">
      <c r="A769" s="36"/>
      <c r="B769" s="34"/>
      <c r="C769" s="34"/>
      <c r="D769" s="34"/>
    </row>
    <row r="770" spans="1:4" ht="15.75" customHeight="1" x14ac:dyDescent="0.2">
      <c r="A770" s="36"/>
      <c r="B770" s="34"/>
      <c r="C770" s="34"/>
      <c r="D770" s="34"/>
    </row>
    <row r="771" spans="1:4" ht="15.75" customHeight="1" x14ac:dyDescent="0.2">
      <c r="A771" s="36"/>
      <c r="B771" s="34"/>
      <c r="C771" s="34"/>
      <c r="D771" s="34"/>
    </row>
    <row r="772" spans="1:4" ht="15.75" customHeight="1" x14ac:dyDescent="0.2">
      <c r="A772" s="36"/>
      <c r="B772" s="34"/>
      <c r="C772" s="34"/>
      <c r="D772" s="34"/>
    </row>
    <row r="773" spans="1:4" ht="15.75" customHeight="1" x14ac:dyDescent="0.2">
      <c r="A773" s="36"/>
      <c r="B773" s="34"/>
      <c r="C773" s="34"/>
      <c r="D773" s="34"/>
    </row>
    <row r="774" spans="1:4" ht="15.75" customHeight="1" x14ac:dyDescent="0.2">
      <c r="A774" s="36"/>
      <c r="B774" s="34"/>
      <c r="C774" s="34"/>
      <c r="D774" s="34"/>
    </row>
    <row r="775" spans="1:4" ht="15.75" customHeight="1" x14ac:dyDescent="0.2">
      <c r="A775" s="36"/>
      <c r="B775" s="34"/>
      <c r="C775" s="34"/>
      <c r="D775" s="34"/>
    </row>
    <row r="776" spans="1:4" ht="15.75" customHeight="1" x14ac:dyDescent="0.2">
      <c r="A776" s="36"/>
      <c r="B776" s="34"/>
      <c r="C776" s="34"/>
      <c r="D776" s="34"/>
    </row>
    <row r="777" spans="1:4" ht="15.75" customHeight="1" x14ac:dyDescent="0.2">
      <c r="A777" s="36"/>
      <c r="B777" s="34"/>
      <c r="C777" s="34"/>
      <c r="D777" s="34"/>
    </row>
    <row r="778" spans="1:4" ht="15.75" customHeight="1" x14ac:dyDescent="0.2">
      <c r="A778" s="36"/>
      <c r="B778" s="34"/>
      <c r="C778" s="34"/>
      <c r="D778" s="34"/>
    </row>
    <row r="779" spans="1:4" ht="15.75" customHeight="1" x14ac:dyDescent="0.2">
      <c r="A779" s="36"/>
      <c r="B779" s="34"/>
      <c r="C779" s="34"/>
      <c r="D779" s="34"/>
    </row>
    <row r="780" spans="1:4" ht="15.75" customHeight="1" x14ac:dyDescent="0.2">
      <c r="A780" s="36"/>
      <c r="B780" s="34"/>
      <c r="C780" s="34"/>
      <c r="D780" s="34"/>
    </row>
    <row r="781" spans="1:4" ht="15.75" customHeight="1" x14ac:dyDescent="0.2">
      <c r="A781" s="36"/>
      <c r="B781" s="34"/>
      <c r="C781" s="34"/>
      <c r="D781" s="34"/>
    </row>
    <row r="782" spans="1:4" ht="15.75" customHeight="1" x14ac:dyDescent="0.2">
      <c r="A782" s="36"/>
      <c r="B782" s="34"/>
      <c r="C782" s="34"/>
      <c r="D782" s="34"/>
    </row>
    <row r="783" spans="1:4" ht="15.75" customHeight="1" x14ac:dyDescent="0.2">
      <c r="A783" s="36"/>
      <c r="B783" s="34"/>
      <c r="C783" s="34"/>
      <c r="D783" s="34"/>
    </row>
    <row r="784" spans="1:4" ht="15.75" customHeight="1" x14ac:dyDescent="0.2">
      <c r="A784" s="36"/>
      <c r="B784" s="34"/>
      <c r="C784" s="34"/>
      <c r="D784" s="34"/>
    </row>
    <row r="785" spans="1:4" ht="15.75" customHeight="1" x14ac:dyDescent="0.2">
      <c r="A785" s="36"/>
      <c r="B785" s="34"/>
      <c r="C785" s="34"/>
      <c r="D785" s="34"/>
    </row>
    <row r="786" spans="1:4" ht="15.75" customHeight="1" x14ac:dyDescent="0.2">
      <c r="A786" s="36"/>
      <c r="B786" s="34"/>
      <c r="C786" s="34"/>
      <c r="D786" s="34"/>
    </row>
    <row r="787" spans="1:4" ht="15.75" customHeight="1" x14ac:dyDescent="0.2">
      <c r="A787" s="36"/>
      <c r="B787" s="34"/>
      <c r="C787" s="34"/>
      <c r="D787" s="34"/>
    </row>
    <row r="788" spans="1:4" ht="15.75" customHeight="1" x14ac:dyDescent="0.2">
      <c r="A788" s="36"/>
      <c r="B788" s="34"/>
      <c r="C788" s="34"/>
      <c r="D788" s="34"/>
    </row>
    <row r="789" spans="1:4" ht="15.75" customHeight="1" x14ac:dyDescent="0.2">
      <c r="A789" s="36"/>
      <c r="B789" s="34"/>
      <c r="C789" s="34"/>
      <c r="D789" s="34"/>
    </row>
    <row r="790" spans="1:4" ht="15.75" customHeight="1" x14ac:dyDescent="0.2">
      <c r="A790" s="36"/>
      <c r="B790" s="34"/>
      <c r="C790" s="34"/>
      <c r="D790" s="34"/>
    </row>
    <row r="791" spans="1:4" ht="15.75" customHeight="1" x14ac:dyDescent="0.2">
      <c r="A791" s="36"/>
      <c r="B791" s="34"/>
      <c r="C791" s="34"/>
      <c r="D791" s="34"/>
    </row>
    <row r="792" spans="1:4" ht="15.75" customHeight="1" x14ac:dyDescent="0.2">
      <c r="A792" s="36"/>
      <c r="B792" s="34"/>
      <c r="C792" s="34"/>
      <c r="D792" s="34"/>
    </row>
    <row r="793" spans="1:4" ht="15.75" customHeight="1" x14ac:dyDescent="0.2">
      <c r="A793" s="36"/>
      <c r="B793" s="34"/>
      <c r="C793" s="34"/>
      <c r="D793" s="34"/>
    </row>
    <row r="794" spans="1:4" ht="15.75" customHeight="1" x14ac:dyDescent="0.2">
      <c r="A794" s="36"/>
      <c r="B794" s="34"/>
      <c r="C794" s="34"/>
      <c r="D794" s="34"/>
    </row>
    <row r="795" spans="1:4" ht="15.75" customHeight="1" x14ac:dyDescent="0.2">
      <c r="A795" s="36"/>
      <c r="B795" s="34"/>
      <c r="C795" s="34"/>
      <c r="D795" s="34"/>
    </row>
    <row r="796" spans="1:4" ht="15.75" customHeight="1" x14ac:dyDescent="0.2">
      <c r="A796" s="36"/>
      <c r="B796" s="34"/>
      <c r="C796" s="34"/>
      <c r="D796" s="34"/>
    </row>
    <row r="797" spans="1:4" ht="15.75" customHeight="1" x14ac:dyDescent="0.2">
      <c r="A797" s="36"/>
      <c r="B797" s="34"/>
      <c r="C797" s="34"/>
      <c r="D797" s="34"/>
    </row>
    <row r="798" spans="1:4" ht="15.75" customHeight="1" x14ac:dyDescent="0.2">
      <c r="A798" s="36"/>
      <c r="B798" s="34"/>
      <c r="C798" s="34"/>
      <c r="D798" s="34"/>
    </row>
    <row r="799" spans="1:4" ht="15.75" customHeight="1" x14ac:dyDescent="0.2">
      <c r="A799" s="36"/>
      <c r="B799" s="34"/>
      <c r="C799" s="34"/>
      <c r="D799" s="34"/>
    </row>
    <row r="800" spans="1:4" ht="15.75" customHeight="1" x14ac:dyDescent="0.2">
      <c r="A800" s="36"/>
      <c r="B800" s="34"/>
      <c r="C800" s="34"/>
      <c r="D800" s="34"/>
    </row>
    <row r="801" spans="1:4" ht="15.75" customHeight="1" x14ac:dyDescent="0.2">
      <c r="A801" s="36"/>
      <c r="B801" s="34"/>
      <c r="C801" s="34"/>
      <c r="D801" s="34"/>
    </row>
    <row r="802" spans="1:4" ht="15.75" customHeight="1" x14ac:dyDescent="0.2">
      <c r="A802" s="36"/>
      <c r="B802" s="34"/>
      <c r="C802" s="34"/>
      <c r="D802" s="34"/>
    </row>
    <row r="803" spans="1:4" ht="15.75" customHeight="1" x14ac:dyDescent="0.2">
      <c r="A803" s="36"/>
      <c r="B803" s="34"/>
      <c r="C803" s="34"/>
      <c r="D803" s="34"/>
    </row>
    <row r="804" spans="1:4" ht="15.75" customHeight="1" x14ac:dyDescent="0.2">
      <c r="A804" s="36"/>
      <c r="B804" s="34"/>
      <c r="C804" s="34"/>
      <c r="D804" s="34"/>
    </row>
    <row r="805" spans="1:4" ht="15.75" customHeight="1" x14ac:dyDescent="0.2">
      <c r="A805" s="36"/>
      <c r="B805" s="34"/>
      <c r="C805" s="34"/>
      <c r="D805" s="34"/>
    </row>
    <row r="806" spans="1:4" ht="15.75" customHeight="1" x14ac:dyDescent="0.2">
      <c r="A806" s="36"/>
      <c r="B806" s="34"/>
      <c r="C806" s="34"/>
      <c r="D806" s="34"/>
    </row>
    <row r="807" spans="1:4" ht="15.75" customHeight="1" x14ac:dyDescent="0.2">
      <c r="A807" s="36"/>
      <c r="B807" s="34"/>
      <c r="C807" s="34"/>
      <c r="D807" s="34"/>
    </row>
    <row r="808" spans="1:4" ht="15.75" customHeight="1" x14ac:dyDescent="0.2">
      <c r="A808" s="36"/>
      <c r="B808" s="34"/>
      <c r="C808" s="34"/>
      <c r="D808" s="34"/>
    </row>
    <row r="809" spans="1:4" ht="15.75" customHeight="1" x14ac:dyDescent="0.2">
      <c r="A809" s="36"/>
      <c r="B809" s="34"/>
      <c r="C809" s="34"/>
      <c r="D809" s="34"/>
    </row>
    <row r="810" spans="1:4" ht="15.75" customHeight="1" x14ac:dyDescent="0.2">
      <c r="A810" s="36"/>
      <c r="B810" s="34"/>
      <c r="C810" s="34"/>
      <c r="D810" s="34"/>
    </row>
    <row r="811" spans="1:4" ht="15.75" customHeight="1" x14ac:dyDescent="0.2">
      <c r="A811" s="36"/>
      <c r="B811" s="34"/>
      <c r="C811" s="34"/>
      <c r="D811" s="34"/>
    </row>
    <row r="812" spans="1:4" ht="15.75" customHeight="1" x14ac:dyDescent="0.2">
      <c r="A812" s="36"/>
      <c r="B812" s="34"/>
      <c r="C812" s="34"/>
      <c r="D812" s="34"/>
    </row>
    <row r="813" spans="1:4" ht="15.75" customHeight="1" x14ac:dyDescent="0.2">
      <c r="A813" s="36"/>
      <c r="B813" s="34"/>
      <c r="C813" s="34"/>
      <c r="D813" s="34"/>
    </row>
    <row r="814" spans="1:4" ht="15.75" customHeight="1" x14ac:dyDescent="0.2">
      <c r="A814" s="36"/>
      <c r="B814" s="34"/>
      <c r="C814" s="34"/>
      <c r="D814" s="34"/>
    </row>
    <row r="815" spans="1:4" ht="15.75" customHeight="1" x14ac:dyDescent="0.2">
      <c r="A815" s="36"/>
      <c r="B815" s="34"/>
      <c r="C815" s="34"/>
      <c r="D815" s="34"/>
    </row>
    <row r="816" spans="1:4" ht="15.75" customHeight="1" x14ac:dyDescent="0.2">
      <c r="A816" s="36"/>
      <c r="B816" s="34"/>
      <c r="C816" s="34"/>
      <c r="D816" s="34"/>
    </row>
    <row r="817" spans="1:4" ht="15.75" customHeight="1" x14ac:dyDescent="0.2">
      <c r="A817" s="36"/>
      <c r="B817" s="34"/>
      <c r="C817" s="34"/>
      <c r="D817" s="34"/>
    </row>
    <row r="818" spans="1:4" ht="15.75" customHeight="1" x14ac:dyDescent="0.2">
      <c r="A818" s="36"/>
      <c r="B818" s="34"/>
      <c r="C818" s="34"/>
      <c r="D818" s="34"/>
    </row>
    <row r="819" spans="1:4" ht="15.75" customHeight="1" x14ac:dyDescent="0.2">
      <c r="A819" s="36"/>
      <c r="B819" s="34"/>
      <c r="C819" s="34"/>
      <c r="D819" s="34"/>
    </row>
    <row r="820" spans="1:4" ht="15.75" customHeight="1" x14ac:dyDescent="0.2">
      <c r="A820" s="36"/>
      <c r="B820" s="34"/>
      <c r="C820" s="34"/>
      <c r="D820" s="34"/>
    </row>
    <row r="821" spans="1:4" ht="15.75" customHeight="1" x14ac:dyDescent="0.2">
      <c r="A821" s="36"/>
      <c r="B821" s="34"/>
      <c r="C821" s="34"/>
      <c r="D821" s="34"/>
    </row>
    <row r="822" spans="1:4" ht="15.75" customHeight="1" x14ac:dyDescent="0.2">
      <c r="A822" s="36"/>
      <c r="B822" s="34"/>
      <c r="C822" s="34"/>
      <c r="D822" s="34"/>
    </row>
    <row r="823" spans="1:4" ht="15.75" customHeight="1" x14ac:dyDescent="0.2">
      <c r="A823" s="36"/>
      <c r="B823" s="34"/>
      <c r="C823" s="34"/>
      <c r="D823" s="34"/>
    </row>
    <row r="824" spans="1:4" ht="15.75" customHeight="1" x14ac:dyDescent="0.2">
      <c r="A824" s="36"/>
      <c r="B824" s="34"/>
      <c r="C824" s="34"/>
      <c r="D824" s="34"/>
    </row>
    <row r="825" spans="1:4" ht="15.75" customHeight="1" x14ac:dyDescent="0.2">
      <c r="A825" s="36"/>
      <c r="B825" s="34"/>
      <c r="C825" s="34"/>
      <c r="D825" s="34"/>
    </row>
    <row r="826" spans="1:4" ht="15.75" customHeight="1" x14ac:dyDescent="0.2">
      <c r="A826" s="36"/>
      <c r="B826" s="34"/>
      <c r="C826" s="34"/>
      <c r="D826" s="34"/>
    </row>
    <row r="827" spans="1:4" ht="15.75" customHeight="1" x14ac:dyDescent="0.2">
      <c r="A827" s="36"/>
      <c r="B827" s="34"/>
      <c r="C827" s="34"/>
      <c r="D827" s="34"/>
    </row>
    <row r="828" spans="1:4" ht="15.75" customHeight="1" x14ac:dyDescent="0.2">
      <c r="A828" s="36"/>
      <c r="B828" s="34"/>
      <c r="C828" s="34"/>
      <c r="D828" s="34"/>
    </row>
    <row r="829" spans="1:4" ht="15.75" customHeight="1" x14ac:dyDescent="0.2">
      <c r="A829" s="36"/>
      <c r="B829" s="34"/>
      <c r="C829" s="34"/>
      <c r="D829" s="34"/>
    </row>
    <row r="830" spans="1:4" ht="15.75" customHeight="1" x14ac:dyDescent="0.2">
      <c r="A830" s="36"/>
      <c r="B830" s="34"/>
      <c r="C830" s="34"/>
      <c r="D830" s="34"/>
    </row>
    <row r="831" spans="1:4" ht="15.75" customHeight="1" x14ac:dyDescent="0.2">
      <c r="A831" s="36"/>
      <c r="B831" s="34"/>
      <c r="C831" s="34"/>
      <c r="D831" s="34"/>
    </row>
    <row r="832" spans="1:4" ht="15.75" customHeight="1" x14ac:dyDescent="0.2">
      <c r="A832" s="36"/>
      <c r="B832" s="34"/>
      <c r="C832" s="34"/>
      <c r="D832" s="34"/>
    </row>
    <row r="833" spans="1:4" ht="15.75" customHeight="1" x14ac:dyDescent="0.2">
      <c r="A833" s="36"/>
      <c r="B833" s="34"/>
      <c r="C833" s="34"/>
      <c r="D833" s="34"/>
    </row>
    <row r="834" spans="1:4" ht="15.75" customHeight="1" x14ac:dyDescent="0.2">
      <c r="A834" s="36"/>
      <c r="B834" s="34"/>
      <c r="C834" s="34"/>
      <c r="D834" s="34"/>
    </row>
    <row r="835" spans="1:4" ht="15.75" customHeight="1" x14ac:dyDescent="0.2">
      <c r="A835" s="36"/>
      <c r="B835" s="34"/>
      <c r="C835" s="34"/>
      <c r="D835" s="34"/>
    </row>
    <row r="836" spans="1:4" ht="15.75" customHeight="1" x14ac:dyDescent="0.2">
      <c r="A836" s="36"/>
      <c r="B836" s="34"/>
      <c r="C836" s="34"/>
      <c r="D836" s="34"/>
    </row>
    <row r="837" spans="1:4" ht="15.75" customHeight="1" x14ac:dyDescent="0.2">
      <c r="A837" s="36"/>
      <c r="B837" s="34"/>
      <c r="C837" s="34"/>
      <c r="D837" s="34"/>
    </row>
    <row r="838" spans="1:4" ht="15.75" customHeight="1" x14ac:dyDescent="0.2">
      <c r="A838" s="36"/>
      <c r="B838" s="34"/>
      <c r="C838" s="34"/>
      <c r="D838" s="34"/>
    </row>
    <row r="839" spans="1:4" ht="15.75" customHeight="1" x14ac:dyDescent="0.2">
      <c r="A839" s="36"/>
      <c r="B839" s="34"/>
      <c r="C839" s="34"/>
      <c r="D839" s="34"/>
    </row>
    <row r="840" spans="1:4" ht="15.75" customHeight="1" x14ac:dyDescent="0.2">
      <c r="A840" s="36"/>
      <c r="B840" s="34"/>
      <c r="C840" s="34"/>
      <c r="D840" s="34"/>
    </row>
    <row r="841" spans="1:4" ht="15.75" customHeight="1" x14ac:dyDescent="0.2">
      <c r="A841" s="36"/>
      <c r="B841" s="34"/>
      <c r="C841" s="34"/>
      <c r="D841" s="34"/>
    </row>
    <row r="842" spans="1:4" ht="15.75" customHeight="1" x14ac:dyDescent="0.2">
      <c r="A842" s="36"/>
      <c r="B842" s="34"/>
      <c r="C842" s="34"/>
      <c r="D842" s="34"/>
    </row>
    <row r="843" spans="1:4" ht="15.75" customHeight="1" x14ac:dyDescent="0.2">
      <c r="A843" s="36"/>
      <c r="B843" s="34"/>
      <c r="C843" s="34"/>
      <c r="D843" s="34"/>
    </row>
    <row r="844" spans="1:4" ht="15.75" customHeight="1" x14ac:dyDescent="0.2">
      <c r="A844" s="36"/>
      <c r="B844" s="34"/>
      <c r="C844" s="34"/>
      <c r="D844" s="34"/>
    </row>
    <row r="845" spans="1:4" ht="15.75" customHeight="1" x14ac:dyDescent="0.2">
      <c r="A845" s="36"/>
      <c r="B845" s="34"/>
      <c r="C845" s="34"/>
      <c r="D845" s="34"/>
    </row>
    <row r="846" spans="1:4" ht="15.75" customHeight="1" x14ac:dyDescent="0.2">
      <c r="A846" s="36"/>
      <c r="B846" s="34"/>
      <c r="C846" s="34"/>
      <c r="D846" s="34"/>
    </row>
    <row r="847" spans="1:4" ht="15.75" customHeight="1" x14ac:dyDescent="0.2">
      <c r="A847" s="36"/>
      <c r="B847" s="34"/>
      <c r="C847" s="34"/>
      <c r="D847" s="34"/>
    </row>
    <row r="848" spans="1:4" ht="15.75" customHeight="1" x14ac:dyDescent="0.2">
      <c r="A848" s="36"/>
      <c r="B848" s="34"/>
      <c r="C848" s="34"/>
      <c r="D848" s="34"/>
    </row>
    <row r="849" spans="1:4" ht="15.75" customHeight="1" x14ac:dyDescent="0.2">
      <c r="A849" s="36"/>
      <c r="B849" s="34"/>
      <c r="C849" s="34"/>
      <c r="D849" s="34"/>
    </row>
    <row r="850" spans="1:4" ht="15.75" customHeight="1" x14ac:dyDescent="0.2">
      <c r="A850" s="36"/>
      <c r="B850" s="34"/>
      <c r="C850" s="34"/>
      <c r="D850" s="34"/>
    </row>
    <row r="851" spans="1:4" ht="15.75" customHeight="1" x14ac:dyDescent="0.2">
      <c r="A851" s="36"/>
      <c r="B851" s="34"/>
      <c r="C851" s="34"/>
      <c r="D851" s="34"/>
    </row>
    <row r="852" spans="1:4" ht="15.75" customHeight="1" x14ac:dyDescent="0.2">
      <c r="A852" s="36"/>
      <c r="B852" s="34"/>
      <c r="C852" s="34"/>
      <c r="D852" s="34"/>
    </row>
    <row r="853" spans="1:4" ht="15.75" customHeight="1" x14ac:dyDescent="0.2">
      <c r="A853" s="36"/>
      <c r="B853" s="34"/>
      <c r="C853" s="34"/>
      <c r="D853" s="34"/>
    </row>
    <row r="854" spans="1:4" ht="15.75" customHeight="1" x14ac:dyDescent="0.2">
      <c r="A854" s="36"/>
      <c r="B854" s="34"/>
      <c r="C854" s="34"/>
      <c r="D854" s="34"/>
    </row>
    <row r="855" spans="1:4" ht="15.75" customHeight="1" x14ac:dyDescent="0.2">
      <c r="A855" s="36"/>
      <c r="B855" s="34"/>
      <c r="C855" s="34"/>
      <c r="D855" s="34"/>
    </row>
    <row r="856" spans="1:4" ht="15.75" customHeight="1" x14ac:dyDescent="0.2">
      <c r="A856" s="36"/>
      <c r="B856" s="34"/>
      <c r="C856" s="34"/>
      <c r="D856" s="34"/>
    </row>
    <row r="857" spans="1:4" ht="15.75" customHeight="1" x14ac:dyDescent="0.2">
      <c r="A857" s="36"/>
      <c r="B857" s="34"/>
      <c r="C857" s="34"/>
      <c r="D857" s="34"/>
    </row>
    <row r="858" spans="1:4" ht="15.75" customHeight="1" x14ac:dyDescent="0.2">
      <c r="A858" s="36"/>
      <c r="B858" s="34"/>
      <c r="C858" s="34"/>
      <c r="D858" s="34"/>
    </row>
    <row r="859" spans="1:4" ht="15.75" customHeight="1" x14ac:dyDescent="0.2">
      <c r="A859" s="36"/>
      <c r="B859" s="34"/>
      <c r="C859" s="34"/>
      <c r="D859" s="34"/>
    </row>
    <row r="860" spans="1:4" ht="15.75" customHeight="1" x14ac:dyDescent="0.2">
      <c r="A860" s="36"/>
      <c r="B860" s="34"/>
      <c r="C860" s="34"/>
      <c r="D860" s="34"/>
    </row>
    <row r="861" spans="1:4" ht="15.75" customHeight="1" x14ac:dyDescent="0.2">
      <c r="A861" s="36"/>
      <c r="B861" s="34"/>
      <c r="C861" s="34"/>
      <c r="D861" s="34"/>
    </row>
    <row r="862" spans="1:4" ht="15.75" customHeight="1" x14ac:dyDescent="0.2">
      <c r="A862" s="36"/>
      <c r="B862" s="34"/>
      <c r="C862" s="34"/>
      <c r="D862" s="34"/>
    </row>
    <row r="863" spans="1:4" ht="15.75" customHeight="1" x14ac:dyDescent="0.2">
      <c r="A863" s="36"/>
      <c r="B863" s="34"/>
      <c r="C863" s="34"/>
      <c r="D863" s="34"/>
    </row>
    <row r="864" spans="1:4" ht="15.75" customHeight="1" x14ac:dyDescent="0.2">
      <c r="A864" s="36"/>
      <c r="B864" s="34"/>
      <c r="C864" s="34"/>
      <c r="D864" s="34"/>
    </row>
    <row r="865" spans="1:4" ht="15.75" customHeight="1" x14ac:dyDescent="0.2">
      <c r="A865" s="36"/>
      <c r="B865" s="34"/>
      <c r="C865" s="34"/>
      <c r="D865" s="34"/>
    </row>
    <row r="866" spans="1:4" ht="15.75" customHeight="1" x14ac:dyDescent="0.2">
      <c r="A866" s="36"/>
      <c r="B866" s="34"/>
      <c r="C866" s="34"/>
      <c r="D866" s="34"/>
    </row>
    <row r="867" spans="1:4" ht="15.75" customHeight="1" x14ac:dyDescent="0.2">
      <c r="A867" s="36"/>
      <c r="B867" s="34"/>
      <c r="C867" s="34"/>
      <c r="D867" s="34"/>
    </row>
    <row r="868" spans="1:4" ht="15.75" customHeight="1" x14ac:dyDescent="0.2">
      <c r="A868" s="36"/>
      <c r="B868" s="34"/>
      <c r="C868" s="34"/>
      <c r="D868" s="34"/>
    </row>
    <row r="869" spans="1:4" ht="15.75" customHeight="1" x14ac:dyDescent="0.2">
      <c r="A869" s="36"/>
      <c r="B869" s="34"/>
      <c r="C869" s="34"/>
      <c r="D869" s="34"/>
    </row>
    <row r="870" spans="1:4" ht="15.75" customHeight="1" x14ac:dyDescent="0.2">
      <c r="A870" s="36"/>
      <c r="B870" s="34"/>
      <c r="C870" s="34"/>
      <c r="D870" s="34"/>
    </row>
    <row r="871" spans="1:4" ht="15.75" customHeight="1" x14ac:dyDescent="0.2">
      <c r="A871" s="36"/>
      <c r="B871" s="34"/>
      <c r="C871" s="34"/>
      <c r="D871" s="34"/>
    </row>
    <row r="872" spans="1:4" ht="15.75" customHeight="1" x14ac:dyDescent="0.2">
      <c r="A872" s="36"/>
      <c r="B872" s="34"/>
      <c r="C872" s="34"/>
      <c r="D872" s="34"/>
    </row>
    <row r="873" spans="1:4" ht="15.75" customHeight="1" x14ac:dyDescent="0.2">
      <c r="A873" s="36"/>
      <c r="B873" s="34"/>
      <c r="C873" s="34"/>
      <c r="D873" s="34"/>
    </row>
    <row r="874" spans="1:4" ht="15.75" customHeight="1" x14ac:dyDescent="0.2">
      <c r="A874" s="36"/>
      <c r="B874" s="34"/>
      <c r="C874" s="34"/>
      <c r="D874" s="34"/>
    </row>
    <row r="875" spans="1:4" ht="15.75" customHeight="1" x14ac:dyDescent="0.2">
      <c r="A875" s="36"/>
      <c r="B875" s="34"/>
      <c r="C875" s="34"/>
      <c r="D875" s="34"/>
    </row>
    <row r="876" spans="1:4" ht="15.75" customHeight="1" x14ac:dyDescent="0.2">
      <c r="A876" s="36"/>
      <c r="B876" s="34"/>
      <c r="C876" s="34"/>
      <c r="D876" s="34"/>
    </row>
    <row r="877" spans="1:4" ht="15.75" customHeight="1" x14ac:dyDescent="0.2">
      <c r="A877" s="36"/>
      <c r="B877" s="34"/>
      <c r="C877" s="34"/>
      <c r="D877" s="34"/>
    </row>
    <row r="878" spans="1:4" ht="15.75" customHeight="1" x14ac:dyDescent="0.2">
      <c r="A878" s="36"/>
      <c r="B878" s="34"/>
      <c r="C878" s="34"/>
      <c r="D878" s="34"/>
    </row>
    <row r="879" spans="1:4" ht="15.75" customHeight="1" x14ac:dyDescent="0.2">
      <c r="A879" s="36"/>
      <c r="B879" s="34"/>
      <c r="C879" s="34"/>
      <c r="D879" s="34"/>
    </row>
    <row r="880" spans="1:4" ht="15.75" customHeight="1" x14ac:dyDescent="0.2">
      <c r="A880" s="36"/>
      <c r="B880" s="34"/>
      <c r="C880" s="34"/>
      <c r="D880" s="34"/>
    </row>
    <row r="881" spans="1:4" ht="15.75" customHeight="1" x14ac:dyDescent="0.2">
      <c r="A881" s="36"/>
      <c r="B881" s="34"/>
      <c r="C881" s="34"/>
      <c r="D881" s="34"/>
    </row>
    <row r="882" spans="1:4" ht="15.75" customHeight="1" x14ac:dyDescent="0.2">
      <c r="A882" s="36"/>
      <c r="B882" s="34"/>
      <c r="C882" s="34"/>
      <c r="D882" s="34"/>
    </row>
    <row r="883" spans="1:4" ht="15.75" customHeight="1" x14ac:dyDescent="0.2">
      <c r="A883" s="36"/>
      <c r="B883" s="34"/>
      <c r="C883" s="34"/>
      <c r="D883" s="34"/>
    </row>
    <row r="884" spans="1:4" ht="15.75" customHeight="1" x14ac:dyDescent="0.2">
      <c r="A884" s="36"/>
      <c r="B884" s="34"/>
      <c r="C884" s="34"/>
      <c r="D884" s="34"/>
    </row>
    <row r="885" spans="1:4" ht="15.75" customHeight="1" x14ac:dyDescent="0.2">
      <c r="A885" s="36"/>
      <c r="B885" s="34"/>
      <c r="C885" s="34"/>
      <c r="D885" s="34"/>
    </row>
    <row r="886" spans="1:4" ht="15.75" customHeight="1" x14ac:dyDescent="0.2">
      <c r="A886" s="36"/>
      <c r="B886" s="34"/>
      <c r="C886" s="34"/>
      <c r="D886" s="34"/>
    </row>
    <row r="887" spans="1:4" ht="15.75" customHeight="1" x14ac:dyDescent="0.2">
      <c r="A887" s="36"/>
      <c r="B887" s="34"/>
      <c r="C887" s="34"/>
      <c r="D887" s="34"/>
    </row>
    <row r="888" spans="1:4" ht="15.75" customHeight="1" x14ac:dyDescent="0.2">
      <c r="A888" s="36"/>
      <c r="B888" s="34"/>
      <c r="C888" s="34"/>
      <c r="D888" s="34"/>
    </row>
    <row r="889" spans="1:4" ht="15.75" customHeight="1" x14ac:dyDescent="0.2">
      <c r="A889" s="36"/>
      <c r="B889" s="34"/>
      <c r="C889" s="34"/>
      <c r="D889" s="34"/>
    </row>
    <row r="890" spans="1:4" ht="15.75" customHeight="1" x14ac:dyDescent="0.2">
      <c r="A890" s="36"/>
      <c r="B890" s="34"/>
      <c r="C890" s="34"/>
      <c r="D890" s="34"/>
    </row>
    <row r="891" spans="1:4" ht="15.75" customHeight="1" x14ac:dyDescent="0.2">
      <c r="A891" s="36"/>
      <c r="B891" s="34"/>
      <c r="C891" s="34"/>
      <c r="D891" s="34"/>
    </row>
    <row r="892" spans="1:4" ht="15.75" customHeight="1" x14ac:dyDescent="0.2">
      <c r="A892" s="36"/>
      <c r="B892" s="34"/>
      <c r="C892" s="34"/>
      <c r="D892" s="34"/>
    </row>
    <row r="893" spans="1:4" ht="15.75" customHeight="1" x14ac:dyDescent="0.2">
      <c r="A893" s="36"/>
      <c r="B893" s="34"/>
      <c r="C893" s="34"/>
      <c r="D893" s="34"/>
    </row>
    <row r="894" spans="1:4" ht="15.75" customHeight="1" x14ac:dyDescent="0.2">
      <c r="A894" s="36"/>
      <c r="B894" s="34"/>
      <c r="C894" s="34"/>
      <c r="D894" s="34"/>
    </row>
    <row r="895" spans="1:4" ht="15.75" customHeight="1" x14ac:dyDescent="0.2">
      <c r="A895" s="36"/>
      <c r="B895" s="34"/>
      <c r="C895" s="34"/>
      <c r="D895" s="34"/>
    </row>
    <row r="896" spans="1:4" ht="15.75" customHeight="1" x14ac:dyDescent="0.2">
      <c r="A896" s="36"/>
      <c r="B896" s="34"/>
      <c r="C896" s="34"/>
      <c r="D896" s="34"/>
    </row>
    <row r="897" spans="1:4" ht="15.75" customHeight="1" x14ac:dyDescent="0.2">
      <c r="A897" s="36"/>
      <c r="B897" s="34"/>
      <c r="C897" s="34"/>
      <c r="D897" s="34"/>
    </row>
    <row r="898" spans="1:4" ht="15.75" customHeight="1" x14ac:dyDescent="0.2">
      <c r="A898" s="36"/>
      <c r="B898" s="34"/>
      <c r="C898" s="34"/>
      <c r="D898" s="34"/>
    </row>
    <row r="899" spans="1:4" ht="15.75" customHeight="1" x14ac:dyDescent="0.2">
      <c r="A899" s="36"/>
      <c r="B899" s="34"/>
      <c r="C899" s="34"/>
      <c r="D899" s="34"/>
    </row>
    <row r="900" spans="1:4" ht="15.75" customHeight="1" x14ac:dyDescent="0.2">
      <c r="A900" s="36"/>
      <c r="B900" s="34"/>
      <c r="C900" s="34"/>
      <c r="D900" s="34"/>
    </row>
    <row r="901" spans="1:4" ht="15.75" customHeight="1" x14ac:dyDescent="0.2">
      <c r="A901" s="36"/>
      <c r="B901" s="34"/>
      <c r="C901" s="34"/>
      <c r="D901" s="34"/>
    </row>
    <row r="902" spans="1:4" ht="15.75" customHeight="1" x14ac:dyDescent="0.2">
      <c r="A902" s="36"/>
      <c r="B902" s="34"/>
      <c r="C902" s="34"/>
      <c r="D902" s="34"/>
    </row>
    <row r="903" spans="1:4" ht="15.75" customHeight="1" x14ac:dyDescent="0.2">
      <c r="A903" s="36"/>
      <c r="B903" s="34"/>
      <c r="C903" s="34"/>
      <c r="D903" s="34"/>
    </row>
    <row r="904" spans="1:4" ht="15.75" customHeight="1" x14ac:dyDescent="0.2">
      <c r="A904" s="36"/>
      <c r="B904" s="34"/>
      <c r="C904" s="34"/>
      <c r="D904" s="34"/>
    </row>
    <row r="905" spans="1:4" ht="15.75" customHeight="1" x14ac:dyDescent="0.2">
      <c r="A905" s="36"/>
      <c r="B905" s="34"/>
      <c r="C905" s="34"/>
      <c r="D905" s="34"/>
    </row>
    <row r="906" spans="1:4" ht="15.75" customHeight="1" x14ac:dyDescent="0.2">
      <c r="A906" s="36"/>
      <c r="B906" s="34"/>
      <c r="C906" s="34"/>
      <c r="D906" s="34"/>
    </row>
    <row r="907" spans="1:4" ht="15.75" customHeight="1" x14ac:dyDescent="0.2">
      <c r="A907" s="36"/>
      <c r="B907" s="34"/>
      <c r="C907" s="34"/>
      <c r="D907" s="34"/>
    </row>
    <row r="908" spans="1:4" ht="15.75" customHeight="1" x14ac:dyDescent="0.2">
      <c r="A908" s="36"/>
      <c r="B908" s="34"/>
      <c r="C908" s="34"/>
      <c r="D908" s="34"/>
    </row>
    <row r="909" spans="1:4" ht="15.75" customHeight="1" x14ac:dyDescent="0.2">
      <c r="A909" s="36"/>
      <c r="B909" s="34"/>
      <c r="C909" s="34"/>
      <c r="D909" s="34"/>
    </row>
    <row r="910" spans="1:4" ht="15.75" customHeight="1" x14ac:dyDescent="0.2">
      <c r="A910" s="36"/>
      <c r="B910" s="34"/>
      <c r="C910" s="34"/>
      <c r="D910" s="34"/>
    </row>
    <row r="911" spans="1:4" ht="15.75" customHeight="1" x14ac:dyDescent="0.2">
      <c r="A911" s="36"/>
      <c r="B911" s="34"/>
      <c r="C911" s="34"/>
      <c r="D911" s="34"/>
    </row>
    <row r="912" spans="1:4" ht="15.75" customHeight="1" x14ac:dyDescent="0.2">
      <c r="A912" s="36"/>
      <c r="B912" s="34"/>
      <c r="C912" s="34"/>
      <c r="D912" s="34"/>
    </row>
    <row r="913" spans="1:4" ht="15.75" customHeight="1" x14ac:dyDescent="0.2">
      <c r="A913" s="36"/>
      <c r="B913" s="34"/>
      <c r="C913" s="34"/>
      <c r="D913" s="34"/>
    </row>
    <row r="914" spans="1:4" ht="15.75" customHeight="1" x14ac:dyDescent="0.2">
      <c r="A914" s="36"/>
      <c r="B914" s="34"/>
      <c r="C914" s="34"/>
      <c r="D914" s="34"/>
    </row>
    <row r="915" spans="1:4" ht="15.75" customHeight="1" x14ac:dyDescent="0.2">
      <c r="A915" s="36"/>
      <c r="B915" s="34"/>
      <c r="C915" s="34"/>
      <c r="D915" s="34"/>
    </row>
    <row r="916" spans="1:4" ht="15.75" customHeight="1" x14ac:dyDescent="0.2">
      <c r="A916" s="36"/>
      <c r="B916" s="34"/>
      <c r="C916" s="34"/>
      <c r="D916" s="34"/>
    </row>
    <row r="917" spans="1:4" ht="15.75" customHeight="1" x14ac:dyDescent="0.2">
      <c r="A917" s="36"/>
      <c r="B917" s="34"/>
      <c r="C917" s="34"/>
      <c r="D917" s="34"/>
    </row>
    <row r="918" spans="1:4" ht="15.75" customHeight="1" x14ac:dyDescent="0.2">
      <c r="A918" s="36"/>
      <c r="B918" s="34"/>
      <c r="C918" s="34"/>
      <c r="D918" s="34"/>
    </row>
    <row r="919" spans="1:4" ht="15.75" customHeight="1" x14ac:dyDescent="0.2">
      <c r="A919" s="36"/>
      <c r="B919" s="34"/>
      <c r="C919" s="34"/>
      <c r="D919" s="34"/>
    </row>
    <row r="920" spans="1:4" ht="15.75" customHeight="1" x14ac:dyDescent="0.2">
      <c r="A920" s="36"/>
      <c r="B920" s="34"/>
      <c r="C920" s="34"/>
      <c r="D920" s="34"/>
    </row>
    <row r="921" spans="1:4" ht="15.75" customHeight="1" x14ac:dyDescent="0.2">
      <c r="A921" s="36"/>
      <c r="B921" s="34"/>
      <c r="C921" s="34"/>
      <c r="D921" s="34"/>
    </row>
    <row r="922" spans="1:4" ht="15.75" customHeight="1" x14ac:dyDescent="0.2">
      <c r="A922" s="36"/>
      <c r="B922" s="34"/>
      <c r="C922" s="34"/>
      <c r="D922" s="34"/>
    </row>
    <row r="923" spans="1:4" ht="15.75" customHeight="1" x14ac:dyDescent="0.2">
      <c r="A923" s="36"/>
      <c r="B923" s="34"/>
      <c r="C923" s="34"/>
      <c r="D923" s="34"/>
    </row>
    <row r="924" spans="1:4" ht="15.75" customHeight="1" x14ac:dyDescent="0.2">
      <c r="A924" s="36"/>
      <c r="B924" s="34"/>
      <c r="C924" s="34"/>
      <c r="D924" s="34"/>
    </row>
    <row r="925" spans="1:4" ht="15.75" customHeight="1" x14ac:dyDescent="0.2">
      <c r="A925" s="36"/>
      <c r="B925" s="34"/>
      <c r="C925" s="34"/>
      <c r="D925" s="34"/>
    </row>
    <row r="926" spans="1:4" ht="15.75" customHeight="1" x14ac:dyDescent="0.2">
      <c r="A926" s="36"/>
      <c r="B926" s="34"/>
      <c r="C926" s="34"/>
      <c r="D926" s="34"/>
    </row>
    <row r="927" spans="1:4" ht="15.75" customHeight="1" x14ac:dyDescent="0.2">
      <c r="A927" s="36"/>
      <c r="B927" s="34"/>
      <c r="C927" s="34"/>
      <c r="D927" s="34"/>
    </row>
    <row r="928" spans="1:4" ht="15.75" customHeight="1" x14ac:dyDescent="0.2">
      <c r="A928" s="36"/>
      <c r="B928" s="34"/>
      <c r="C928" s="34"/>
      <c r="D928" s="34"/>
    </row>
    <row r="929" spans="1:4" ht="15.75" customHeight="1" x14ac:dyDescent="0.2">
      <c r="A929" s="36"/>
      <c r="B929" s="34"/>
      <c r="C929" s="34"/>
      <c r="D929" s="34"/>
    </row>
    <row r="930" spans="1:4" ht="15.75" customHeight="1" x14ac:dyDescent="0.2">
      <c r="A930" s="36"/>
      <c r="B930" s="34"/>
      <c r="C930" s="34"/>
      <c r="D930" s="34"/>
    </row>
    <row r="931" spans="1:4" ht="15.75" customHeight="1" x14ac:dyDescent="0.2">
      <c r="A931" s="36"/>
      <c r="B931" s="34"/>
      <c r="C931" s="34"/>
      <c r="D931" s="34"/>
    </row>
    <row r="932" spans="1:4" ht="15.75" customHeight="1" x14ac:dyDescent="0.2">
      <c r="A932" s="36"/>
      <c r="B932" s="34"/>
      <c r="C932" s="34"/>
      <c r="D932" s="34"/>
    </row>
    <row r="933" spans="1:4" ht="15.75" customHeight="1" x14ac:dyDescent="0.2">
      <c r="A933" s="36"/>
      <c r="B933" s="34"/>
      <c r="C933" s="34"/>
      <c r="D933" s="34"/>
    </row>
    <row r="934" spans="1:4" ht="15.75" customHeight="1" x14ac:dyDescent="0.2">
      <c r="A934" s="36"/>
      <c r="B934" s="34"/>
      <c r="C934" s="34"/>
      <c r="D934" s="34"/>
    </row>
    <row r="935" spans="1:4" ht="15.75" customHeight="1" x14ac:dyDescent="0.2">
      <c r="A935" s="36"/>
      <c r="B935" s="34"/>
      <c r="C935" s="34"/>
      <c r="D935" s="34"/>
    </row>
    <row r="936" spans="1:4" ht="15.75" customHeight="1" x14ac:dyDescent="0.2">
      <c r="A936" s="36"/>
      <c r="B936" s="34"/>
      <c r="C936" s="34"/>
      <c r="D936" s="34"/>
    </row>
    <row r="937" spans="1:4" ht="15.75" customHeight="1" x14ac:dyDescent="0.2">
      <c r="A937" s="36"/>
      <c r="B937" s="34"/>
      <c r="C937" s="34"/>
      <c r="D937" s="34"/>
    </row>
    <row r="938" spans="1:4" ht="15.75" customHeight="1" x14ac:dyDescent="0.2">
      <c r="A938" s="36"/>
      <c r="B938" s="34"/>
      <c r="C938" s="34"/>
      <c r="D938" s="34"/>
    </row>
    <row r="939" spans="1:4" ht="15.75" customHeight="1" x14ac:dyDescent="0.2">
      <c r="A939" s="36"/>
      <c r="B939" s="34"/>
      <c r="C939" s="34"/>
      <c r="D939" s="34"/>
    </row>
    <row r="940" spans="1:4" ht="15.75" customHeight="1" x14ac:dyDescent="0.2">
      <c r="A940" s="36"/>
      <c r="B940" s="34"/>
      <c r="C940" s="34"/>
      <c r="D940" s="34"/>
    </row>
    <row r="941" spans="1:4" ht="15.75" customHeight="1" x14ac:dyDescent="0.2">
      <c r="A941" s="36"/>
      <c r="B941" s="34"/>
      <c r="C941" s="34"/>
      <c r="D941" s="34"/>
    </row>
    <row r="942" spans="1:4" ht="15.75" customHeight="1" x14ac:dyDescent="0.2">
      <c r="A942" s="36"/>
      <c r="B942" s="34"/>
      <c r="C942" s="34"/>
      <c r="D942" s="34"/>
    </row>
    <row r="943" spans="1:4" ht="15.75" customHeight="1" x14ac:dyDescent="0.2">
      <c r="A943" s="36"/>
      <c r="B943" s="34"/>
      <c r="C943" s="34"/>
      <c r="D943" s="34"/>
    </row>
    <row r="944" spans="1:4" ht="15.75" customHeight="1" x14ac:dyDescent="0.2">
      <c r="A944" s="36"/>
      <c r="B944" s="34"/>
      <c r="C944" s="34"/>
      <c r="D944" s="34"/>
    </row>
    <row r="945" spans="1:4" ht="15.75" customHeight="1" x14ac:dyDescent="0.2">
      <c r="A945" s="36"/>
      <c r="B945" s="34"/>
      <c r="C945" s="34"/>
      <c r="D945" s="34"/>
    </row>
    <row r="946" spans="1:4" ht="15.75" customHeight="1" x14ac:dyDescent="0.2">
      <c r="A946" s="36"/>
      <c r="B946" s="34"/>
      <c r="C946" s="34"/>
      <c r="D946" s="34"/>
    </row>
    <row r="947" spans="1:4" ht="15.75" customHeight="1" x14ac:dyDescent="0.2">
      <c r="A947" s="36"/>
      <c r="B947" s="34"/>
      <c r="C947" s="34"/>
      <c r="D947" s="34"/>
    </row>
    <row r="948" spans="1:4" ht="15.75" customHeight="1" x14ac:dyDescent="0.2">
      <c r="A948" s="36"/>
      <c r="B948" s="34"/>
      <c r="C948" s="34"/>
      <c r="D948" s="34"/>
    </row>
    <row r="949" spans="1:4" ht="15.75" customHeight="1" x14ac:dyDescent="0.2">
      <c r="A949" s="36"/>
      <c r="B949" s="34"/>
      <c r="C949" s="34"/>
      <c r="D949" s="34"/>
    </row>
    <row r="950" spans="1:4" ht="15.75" customHeight="1" x14ac:dyDescent="0.2">
      <c r="A950" s="36"/>
      <c r="B950" s="34"/>
      <c r="C950" s="34"/>
      <c r="D950" s="34"/>
    </row>
    <row r="951" spans="1:4" ht="15.75" customHeight="1" x14ac:dyDescent="0.2">
      <c r="A951" s="36"/>
      <c r="B951" s="34"/>
      <c r="C951" s="34"/>
      <c r="D951" s="34"/>
    </row>
    <row r="952" spans="1:4" ht="15.75" customHeight="1" x14ac:dyDescent="0.2">
      <c r="A952" s="36"/>
      <c r="B952" s="34"/>
      <c r="C952" s="34"/>
      <c r="D952" s="34"/>
    </row>
    <row r="953" spans="1:4" ht="15.75" customHeight="1" x14ac:dyDescent="0.2">
      <c r="A953" s="36"/>
      <c r="B953" s="34"/>
      <c r="C953" s="34"/>
      <c r="D953" s="34"/>
    </row>
    <row r="954" spans="1:4" ht="15.75" customHeight="1" x14ac:dyDescent="0.2">
      <c r="A954" s="36"/>
      <c r="B954" s="34"/>
      <c r="C954" s="34"/>
      <c r="D954" s="34"/>
    </row>
    <row r="955" spans="1:4" ht="15.75" customHeight="1" x14ac:dyDescent="0.2">
      <c r="A955" s="36"/>
      <c r="B955" s="34"/>
      <c r="C955" s="34"/>
      <c r="D955" s="34"/>
    </row>
    <row r="956" spans="1:4" ht="15.75" customHeight="1" x14ac:dyDescent="0.2">
      <c r="A956" s="36"/>
      <c r="B956" s="34"/>
      <c r="C956" s="34"/>
      <c r="D956" s="34"/>
    </row>
    <row r="957" spans="1:4" ht="15.75" customHeight="1" x14ac:dyDescent="0.2">
      <c r="A957" s="36"/>
      <c r="B957" s="34"/>
      <c r="C957" s="34"/>
      <c r="D957" s="34"/>
    </row>
    <row r="958" spans="1:4" ht="15.75" customHeight="1" x14ac:dyDescent="0.2">
      <c r="A958" s="36"/>
      <c r="B958" s="34"/>
      <c r="C958" s="34"/>
      <c r="D958" s="34"/>
    </row>
    <row r="959" spans="1:4" ht="15.75" customHeight="1" x14ac:dyDescent="0.2">
      <c r="A959" s="36"/>
      <c r="B959" s="34"/>
      <c r="C959" s="34"/>
      <c r="D959" s="34"/>
    </row>
    <row r="960" spans="1:4" ht="15.75" customHeight="1" x14ac:dyDescent="0.2">
      <c r="A960" s="36"/>
      <c r="B960" s="34"/>
      <c r="C960" s="34"/>
      <c r="D960" s="34"/>
    </row>
    <row r="961" spans="1:4" ht="15.75" customHeight="1" x14ac:dyDescent="0.2">
      <c r="A961" s="36"/>
      <c r="B961" s="34"/>
      <c r="C961" s="34"/>
      <c r="D961" s="34"/>
    </row>
    <row r="962" spans="1:4" ht="15.75" customHeight="1" x14ac:dyDescent="0.2">
      <c r="A962" s="36"/>
      <c r="B962" s="34"/>
      <c r="C962" s="34"/>
      <c r="D962" s="34"/>
    </row>
    <row r="963" spans="1:4" ht="15.75" customHeight="1" x14ac:dyDescent="0.2">
      <c r="A963" s="36"/>
      <c r="B963" s="34"/>
      <c r="C963" s="34"/>
      <c r="D963" s="34"/>
    </row>
    <row r="964" spans="1:4" ht="15.75" customHeight="1" x14ac:dyDescent="0.2">
      <c r="A964" s="36"/>
      <c r="B964" s="34"/>
      <c r="C964" s="34"/>
      <c r="D964" s="34"/>
    </row>
    <row r="965" spans="1:4" ht="15.75" customHeight="1" x14ac:dyDescent="0.2">
      <c r="A965" s="36"/>
      <c r="B965" s="34"/>
      <c r="C965" s="34"/>
      <c r="D965" s="34"/>
    </row>
    <row r="966" spans="1:4" ht="15.75" customHeight="1" x14ac:dyDescent="0.2">
      <c r="A966" s="36"/>
      <c r="B966" s="34"/>
      <c r="C966" s="34"/>
      <c r="D966" s="34"/>
    </row>
    <row r="967" spans="1:4" ht="15.75" customHeight="1" x14ac:dyDescent="0.2">
      <c r="A967" s="36"/>
      <c r="B967" s="34"/>
      <c r="C967" s="34"/>
      <c r="D967" s="34"/>
    </row>
    <row r="968" spans="1:4" ht="15.75" customHeight="1" x14ac:dyDescent="0.2">
      <c r="A968" s="36"/>
      <c r="B968" s="34"/>
      <c r="C968" s="34"/>
      <c r="D968" s="34"/>
    </row>
    <row r="969" spans="1:4" ht="15.75" customHeight="1" x14ac:dyDescent="0.2">
      <c r="A969" s="36"/>
      <c r="B969" s="34"/>
      <c r="C969" s="34"/>
      <c r="D969" s="34"/>
    </row>
    <row r="970" spans="1:4" ht="15.75" customHeight="1" x14ac:dyDescent="0.2">
      <c r="A970" s="36"/>
      <c r="B970" s="34"/>
      <c r="C970" s="34"/>
      <c r="D970" s="34"/>
    </row>
    <row r="971" spans="1:4" ht="15.75" customHeight="1" x14ac:dyDescent="0.2">
      <c r="A971" s="36"/>
      <c r="B971" s="34"/>
      <c r="C971" s="34"/>
      <c r="D971" s="34"/>
    </row>
    <row r="972" spans="1:4" ht="15.75" customHeight="1" x14ac:dyDescent="0.2">
      <c r="A972" s="36"/>
      <c r="B972" s="34"/>
      <c r="C972" s="34"/>
      <c r="D972" s="34"/>
    </row>
    <row r="973" spans="1:4" ht="15.75" customHeight="1" x14ac:dyDescent="0.2">
      <c r="A973" s="36"/>
      <c r="B973" s="34"/>
      <c r="C973" s="34"/>
      <c r="D973" s="34"/>
    </row>
    <row r="974" spans="1:4" ht="15.75" customHeight="1" x14ac:dyDescent="0.2">
      <c r="A974" s="36"/>
      <c r="B974" s="34"/>
      <c r="C974" s="34"/>
      <c r="D974" s="34"/>
    </row>
    <row r="975" spans="1:4" ht="15.75" customHeight="1" x14ac:dyDescent="0.2">
      <c r="A975" s="36"/>
      <c r="B975" s="34"/>
      <c r="C975" s="34"/>
      <c r="D975" s="34"/>
    </row>
    <row r="976" spans="1:4" ht="15.75" customHeight="1" x14ac:dyDescent="0.2">
      <c r="A976" s="36"/>
      <c r="B976" s="34"/>
      <c r="C976" s="34"/>
      <c r="D976" s="34"/>
    </row>
    <row r="977" spans="1:4" ht="15.75" customHeight="1" x14ac:dyDescent="0.2">
      <c r="A977" s="36"/>
      <c r="B977" s="34"/>
      <c r="C977" s="34"/>
      <c r="D977" s="34"/>
    </row>
    <row r="978" spans="1:4" ht="15.75" customHeight="1" x14ac:dyDescent="0.2">
      <c r="A978" s="36"/>
      <c r="B978" s="34"/>
      <c r="C978" s="34"/>
      <c r="D978" s="34"/>
    </row>
    <row r="979" spans="1:4" ht="15.75" customHeight="1" x14ac:dyDescent="0.2">
      <c r="A979" s="36"/>
      <c r="B979" s="34"/>
      <c r="C979" s="34"/>
      <c r="D979" s="34"/>
    </row>
    <row r="980" spans="1:4" ht="15.75" customHeight="1" x14ac:dyDescent="0.2">
      <c r="A980" s="36"/>
      <c r="B980" s="34"/>
      <c r="C980" s="34"/>
      <c r="D980" s="34"/>
    </row>
    <row r="981" spans="1:4" ht="15.75" customHeight="1" x14ac:dyDescent="0.2">
      <c r="A981" s="36"/>
      <c r="B981" s="34"/>
      <c r="C981" s="34"/>
      <c r="D981" s="34"/>
    </row>
    <row r="982" spans="1:4" ht="15.75" customHeight="1" x14ac:dyDescent="0.2">
      <c r="A982" s="36"/>
      <c r="B982" s="34"/>
      <c r="C982" s="34"/>
      <c r="D982" s="34"/>
    </row>
    <row r="983" spans="1:4" ht="15.75" customHeight="1" x14ac:dyDescent="0.2">
      <c r="A983" s="36"/>
      <c r="B983" s="34"/>
      <c r="C983" s="34"/>
      <c r="D983" s="34"/>
    </row>
    <row r="984" spans="1:4" ht="15.75" customHeight="1" x14ac:dyDescent="0.2">
      <c r="A984" s="36"/>
      <c r="B984" s="34"/>
      <c r="C984" s="34"/>
      <c r="D984" s="34"/>
    </row>
    <row r="985" spans="1:4" ht="15.75" customHeight="1" x14ac:dyDescent="0.2">
      <c r="A985" s="36"/>
      <c r="B985" s="34"/>
      <c r="C985" s="34"/>
      <c r="D985" s="34"/>
    </row>
    <row r="986" spans="1:4" ht="15.75" customHeight="1" x14ac:dyDescent="0.2">
      <c r="A986" s="36"/>
      <c r="B986" s="34"/>
      <c r="C986" s="34"/>
      <c r="D986" s="34"/>
    </row>
    <row r="987" spans="1:4" ht="15.75" customHeight="1" x14ac:dyDescent="0.2">
      <c r="A987" s="36"/>
      <c r="B987" s="34"/>
      <c r="C987" s="34"/>
      <c r="D987" s="34"/>
    </row>
    <row r="988" spans="1:4" ht="15.75" customHeight="1" x14ac:dyDescent="0.2">
      <c r="A988" s="36"/>
      <c r="B988" s="34"/>
      <c r="C988" s="34"/>
      <c r="D988" s="34"/>
    </row>
    <row r="989" spans="1:4" ht="15.75" customHeight="1" x14ac:dyDescent="0.2">
      <c r="A989" s="36"/>
      <c r="B989" s="34"/>
      <c r="C989" s="34"/>
      <c r="D989" s="34"/>
    </row>
    <row r="990" spans="1:4" ht="15.75" customHeight="1" x14ac:dyDescent="0.2">
      <c r="A990" s="36"/>
      <c r="B990" s="34"/>
      <c r="C990" s="34"/>
      <c r="D990" s="34"/>
    </row>
    <row r="991" spans="1:4" ht="15.75" customHeight="1" x14ac:dyDescent="0.2">
      <c r="A991" s="36"/>
      <c r="B991" s="34"/>
      <c r="C991" s="34"/>
      <c r="D991" s="34"/>
    </row>
    <row r="992" spans="1:4" ht="15.75" customHeight="1" x14ac:dyDescent="0.2">
      <c r="A992" s="36"/>
      <c r="B992" s="34"/>
      <c r="C992" s="34"/>
      <c r="D992" s="34"/>
    </row>
    <row r="993" spans="1:4" ht="15.75" customHeight="1" x14ac:dyDescent="0.2">
      <c r="A993" s="36"/>
      <c r="B993" s="34"/>
      <c r="C993" s="34"/>
      <c r="D993" s="34"/>
    </row>
    <row r="994" spans="1:4" ht="15.75" customHeight="1" x14ac:dyDescent="0.2">
      <c r="A994" s="36"/>
      <c r="B994" s="34"/>
      <c r="C994" s="34"/>
      <c r="D994" s="34"/>
    </row>
    <row r="995" spans="1:4" ht="15.75" customHeight="1" x14ac:dyDescent="0.2">
      <c r="A995" s="36"/>
      <c r="B995" s="34"/>
      <c r="C995" s="34"/>
      <c r="D995" s="34"/>
    </row>
    <row r="996" spans="1:4" ht="15.75" customHeight="1" x14ac:dyDescent="0.2">
      <c r="A996" s="36"/>
      <c r="B996" s="34"/>
      <c r="C996" s="34"/>
      <c r="D996" s="34"/>
    </row>
    <row r="997" spans="1:4" ht="15.75" customHeight="1" x14ac:dyDescent="0.2">
      <c r="A997" s="36"/>
      <c r="B997" s="34"/>
      <c r="C997" s="34"/>
      <c r="D997" s="34"/>
    </row>
    <row r="998" spans="1:4" ht="15.75" customHeight="1" x14ac:dyDescent="0.2">
      <c r="A998" s="36"/>
      <c r="B998" s="34"/>
      <c r="C998" s="34"/>
      <c r="D998" s="34"/>
    </row>
    <row r="999" spans="1:4" ht="15.75" customHeight="1" x14ac:dyDescent="0.2">
      <c r="A999" s="36"/>
      <c r="B999" s="34"/>
      <c r="C999" s="34"/>
      <c r="D999" s="34"/>
    </row>
    <row r="1000" spans="1:4" ht="15.75" customHeight="1" x14ac:dyDescent="0.2">
      <c r="A1000" s="36"/>
      <c r="B1000" s="34"/>
      <c r="C1000" s="34"/>
      <c r="D1000" s="3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D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83203125" customWidth="1"/>
    <col min="3" max="3" width="54.5" customWidth="1"/>
    <col min="4" max="4" width="84.1640625" customWidth="1"/>
    <col min="5" max="26" width="10.5" customWidth="1"/>
  </cols>
  <sheetData>
    <row r="1" spans="1:4" ht="15.75" customHeight="1" x14ac:dyDescent="0.2">
      <c r="A1" s="37" t="s">
        <v>153</v>
      </c>
      <c r="B1" s="37" t="s">
        <v>22</v>
      </c>
      <c r="C1" s="38" t="s">
        <v>154</v>
      </c>
      <c r="D1" s="38" t="s">
        <v>155</v>
      </c>
    </row>
    <row r="2" spans="1:4" ht="15.75" customHeight="1" x14ac:dyDescent="0.2">
      <c r="A2" s="36">
        <v>106586</v>
      </c>
      <c r="B2" s="36">
        <v>17312</v>
      </c>
      <c r="C2" s="39" t="s">
        <v>156</v>
      </c>
      <c r="D2" s="39" t="s">
        <v>157</v>
      </c>
    </row>
    <row r="3" spans="1:4" ht="15.75" customHeight="1" x14ac:dyDescent="0.2">
      <c r="A3" s="36">
        <v>106587</v>
      </c>
      <c r="B3" s="36">
        <v>17312</v>
      </c>
      <c r="C3" s="39" t="s">
        <v>158</v>
      </c>
      <c r="D3" s="39" t="s">
        <v>159</v>
      </c>
    </row>
    <row r="4" spans="1:4" ht="15.75" customHeight="1" x14ac:dyDescent="0.2">
      <c r="A4" s="36">
        <v>106607</v>
      </c>
      <c r="B4" s="36">
        <v>17315</v>
      </c>
      <c r="C4" s="39" t="s">
        <v>160</v>
      </c>
      <c r="D4" s="39" t="s">
        <v>161</v>
      </c>
    </row>
    <row r="5" spans="1:4" ht="15.75" customHeight="1" x14ac:dyDescent="0.2">
      <c r="A5" s="36">
        <v>106608</v>
      </c>
      <c r="B5" s="36">
        <v>17315</v>
      </c>
      <c r="C5" s="39" t="s">
        <v>162</v>
      </c>
      <c r="D5" s="39" t="s">
        <v>163</v>
      </c>
    </row>
    <row r="6" spans="1:4" ht="15.75" customHeight="1" x14ac:dyDescent="0.2">
      <c r="A6" s="36">
        <v>106609</v>
      </c>
      <c r="B6" s="36">
        <v>17315</v>
      </c>
      <c r="C6" s="39" t="s">
        <v>164</v>
      </c>
      <c r="D6" s="39" t="s">
        <v>163</v>
      </c>
    </row>
    <row r="7" spans="1:4" ht="15.75" customHeight="1" x14ac:dyDescent="0.2">
      <c r="A7" s="36">
        <v>106610</v>
      </c>
      <c r="B7" s="36">
        <v>17315</v>
      </c>
      <c r="C7" s="39" t="s">
        <v>165</v>
      </c>
      <c r="D7" s="39" t="s">
        <v>166</v>
      </c>
    </row>
    <row r="8" spans="1:4" ht="15.75" customHeight="1" x14ac:dyDescent="0.2">
      <c r="A8" s="36">
        <v>106611</v>
      </c>
      <c r="B8" s="36">
        <v>17315</v>
      </c>
      <c r="C8" s="39" t="s">
        <v>167</v>
      </c>
      <c r="D8" s="39" t="s">
        <v>168</v>
      </c>
    </row>
    <row r="9" spans="1:4" ht="15.75" customHeight="1" x14ac:dyDescent="0.2">
      <c r="A9" s="36">
        <v>106612</v>
      </c>
      <c r="B9" s="36">
        <v>17315</v>
      </c>
      <c r="C9" s="39" t="s">
        <v>169</v>
      </c>
      <c r="D9" s="39" t="s">
        <v>170</v>
      </c>
    </row>
    <row r="10" spans="1:4" ht="15.75" customHeight="1" x14ac:dyDescent="0.2">
      <c r="A10" s="36">
        <v>106613</v>
      </c>
      <c r="B10" s="36">
        <v>17315</v>
      </c>
      <c r="C10" s="39" t="s">
        <v>171</v>
      </c>
      <c r="D10" s="39" t="s">
        <v>172</v>
      </c>
    </row>
    <row r="11" spans="1:4" ht="15.75" customHeight="1" x14ac:dyDescent="0.2">
      <c r="A11" s="36">
        <v>106617</v>
      </c>
      <c r="B11" s="36">
        <v>17317</v>
      </c>
      <c r="C11" s="39" t="s">
        <v>156</v>
      </c>
      <c r="D11" s="39" t="s">
        <v>157</v>
      </c>
    </row>
    <row r="12" spans="1:4" ht="15.75" customHeight="1" x14ac:dyDescent="0.2">
      <c r="A12" s="36">
        <v>106618</v>
      </c>
      <c r="B12" s="36">
        <v>17317</v>
      </c>
      <c r="C12" s="39" t="s">
        <v>158</v>
      </c>
      <c r="D12" s="39" t="s">
        <v>159</v>
      </c>
    </row>
    <row r="13" spans="1:4" ht="15.75" customHeight="1" x14ac:dyDescent="0.2">
      <c r="A13" s="36">
        <v>106619</v>
      </c>
      <c r="B13" s="36">
        <v>17318</v>
      </c>
      <c r="C13" s="39" t="s">
        <v>173</v>
      </c>
      <c r="D13" s="39" t="s">
        <v>174</v>
      </c>
    </row>
    <row r="14" spans="1:4" ht="15.75" customHeight="1" x14ac:dyDescent="0.2">
      <c r="A14" s="36">
        <v>106620</v>
      </c>
      <c r="B14" s="36">
        <v>17318</v>
      </c>
      <c r="C14" s="39" t="s">
        <v>175</v>
      </c>
      <c r="D14" s="39" t="s">
        <v>176</v>
      </c>
    </row>
    <row r="15" spans="1:4" ht="15.75" customHeight="1" x14ac:dyDescent="0.2">
      <c r="A15" s="36">
        <v>106626</v>
      </c>
      <c r="B15" s="36">
        <v>17320</v>
      </c>
      <c r="C15" s="39" t="s">
        <v>156</v>
      </c>
      <c r="D15" s="39" t="s">
        <v>157</v>
      </c>
    </row>
    <row r="16" spans="1:4" ht="15.75" customHeight="1" x14ac:dyDescent="0.2">
      <c r="A16" s="36">
        <v>106628</v>
      </c>
      <c r="B16" s="36">
        <v>17322</v>
      </c>
      <c r="C16" s="39" t="s">
        <v>177</v>
      </c>
      <c r="D16" s="39" t="s">
        <v>178</v>
      </c>
    </row>
    <row r="17" spans="1:4" ht="15.75" customHeight="1" x14ac:dyDescent="0.2">
      <c r="A17" s="36">
        <v>106629</v>
      </c>
      <c r="B17" s="36">
        <v>17322</v>
      </c>
      <c r="C17" s="39" t="s">
        <v>179</v>
      </c>
      <c r="D17" s="39" t="s">
        <v>180</v>
      </c>
    </row>
    <row r="18" spans="1:4" ht="15.75" customHeight="1" x14ac:dyDescent="0.2">
      <c r="A18" s="36">
        <v>106630</v>
      </c>
      <c r="B18" s="36">
        <v>17322</v>
      </c>
      <c r="C18" s="39" t="s">
        <v>181</v>
      </c>
      <c r="D18" s="39" t="s">
        <v>182</v>
      </c>
    </row>
    <row r="19" spans="1:4" ht="15.75" customHeight="1" x14ac:dyDescent="0.2">
      <c r="A19" s="36">
        <v>106631</v>
      </c>
      <c r="B19" s="36">
        <v>17323</v>
      </c>
      <c r="C19" s="39" t="s">
        <v>183</v>
      </c>
      <c r="D19" s="39" t="s">
        <v>163</v>
      </c>
    </row>
    <row r="20" spans="1:4" ht="15.75" customHeight="1" x14ac:dyDescent="0.2">
      <c r="A20" s="36">
        <v>106632</v>
      </c>
      <c r="B20" s="36">
        <v>17323</v>
      </c>
      <c r="C20" s="39" t="s">
        <v>184</v>
      </c>
      <c r="D20" s="39" t="s">
        <v>185</v>
      </c>
    </row>
    <row r="21" spans="1:4" ht="15.75" customHeight="1" x14ac:dyDescent="0.2">
      <c r="A21" s="36">
        <v>106633</v>
      </c>
      <c r="B21" s="36">
        <v>17323</v>
      </c>
      <c r="C21" s="39" t="s">
        <v>186</v>
      </c>
      <c r="D21" s="39" t="s">
        <v>187</v>
      </c>
    </row>
    <row r="22" spans="1:4" ht="15.75" customHeight="1" x14ac:dyDescent="0.2">
      <c r="A22" s="36">
        <v>106645</v>
      </c>
      <c r="B22" s="36">
        <v>17326</v>
      </c>
      <c r="C22" s="39" t="s">
        <v>188</v>
      </c>
      <c r="D22" s="39" t="s">
        <v>189</v>
      </c>
    </row>
    <row r="23" spans="1:4" ht="15.75" customHeight="1" x14ac:dyDescent="0.2">
      <c r="A23" s="36">
        <v>106646</v>
      </c>
      <c r="B23" s="36">
        <v>17326</v>
      </c>
      <c r="C23" s="39" t="s">
        <v>190</v>
      </c>
      <c r="D23" s="39" t="s">
        <v>191</v>
      </c>
    </row>
    <row r="24" spans="1:4" ht="15.75" customHeight="1" x14ac:dyDescent="0.2">
      <c r="A24" s="36">
        <v>106650</v>
      </c>
      <c r="B24" s="36">
        <v>17329</v>
      </c>
      <c r="C24" s="39" t="s">
        <v>192</v>
      </c>
      <c r="D24" s="39" t="s">
        <v>193</v>
      </c>
    </row>
    <row r="25" spans="1:4" ht="15.75" customHeight="1" x14ac:dyDescent="0.2">
      <c r="A25" s="36">
        <v>106651</v>
      </c>
      <c r="B25" s="36">
        <v>17329</v>
      </c>
      <c r="C25" s="39" t="s">
        <v>194</v>
      </c>
      <c r="D25" s="39" t="s">
        <v>170</v>
      </c>
    </row>
    <row r="26" spans="1:4" ht="15.75" customHeight="1" x14ac:dyDescent="0.2">
      <c r="A26" s="36">
        <v>106652</v>
      </c>
      <c r="B26" s="36">
        <v>17329</v>
      </c>
      <c r="C26" s="39" t="s">
        <v>195</v>
      </c>
      <c r="D26" s="39" t="s">
        <v>196</v>
      </c>
    </row>
    <row r="27" spans="1:4" ht="15.75" customHeight="1" x14ac:dyDescent="0.2">
      <c r="A27" s="36">
        <v>106653</v>
      </c>
      <c r="B27" s="36">
        <v>17329</v>
      </c>
      <c r="C27" s="39" t="s">
        <v>197</v>
      </c>
      <c r="D27" s="39" t="s">
        <v>198</v>
      </c>
    </row>
    <row r="28" spans="1:4" ht="15.75" customHeight="1" x14ac:dyDescent="0.2">
      <c r="A28" s="36">
        <v>106654</v>
      </c>
      <c r="B28" s="36">
        <v>17329</v>
      </c>
      <c r="C28" s="39" t="s">
        <v>199</v>
      </c>
      <c r="D28" s="39" t="s">
        <v>167</v>
      </c>
    </row>
    <row r="29" spans="1:4" ht="15.75" customHeight="1" x14ac:dyDescent="0.2">
      <c r="A29" s="36">
        <v>106675</v>
      </c>
      <c r="B29" s="36">
        <v>17332</v>
      </c>
      <c r="C29" s="39" t="s">
        <v>200</v>
      </c>
      <c r="D29" s="39" t="s">
        <v>163</v>
      </c>
    </row>
    <row r="30" spans="1:4" ht="15.75" customHeight="1" x14ac:dyDescent="0.2">
      <c r="A30" s="36">
        <v>106676</v>
      </c>
      <c r="B30" s="36">
        <v>17332</v>
      </c>
      <c r="C30" s="39" t="s">
        <v>201</v>
      </c>
      <c r="D30" s="39" t="s">
        <v>163</v>
      </c>
    </row>
    <row r="31" spans="1:4" ht="15.75" customHeight="1" x14ac:dyDescent="0.2">
      <c r="A31" s="36">
        <v>106677</v>
      </c>
      <c r="B31" s="36">
        <v>17332</v>
      </c>
      <c r="C31" s="39" t="s">
        <v>202</v>
      </c>
      <c r="D31" s="39" t="s">
        <v>203</v>
      </c>
    </row>
    <row r="32" spans="1:4" ht="15.75" customHeight="1" x14ac:dyDescent="0.2">
      <c r="A32" s="36">
        <v>106678</v>
      </c>
      <c r="B32" s="36">
        <v>17332</v>
      </c>
      <c r="C32" s="39" t="s">
        <v>204</v>
      </c>
      <c r="D32" s="39" t="s">
        <v>205</v>
      </c>
    </row>
    <row r="33" spans="1:4" ht="15.75" customHeight="1" x14ac:dyDescent="0.2">
      <c r="A33" s="36">
        <v>106679</v>
      </c>
      <c r="B33" s="36">
        <v>17332</v>
      </c>
      <c r="C33" s="39" t="s">
        <v>206</v>
      </c>
      <c r="D33" s="39" t="s">
        <v>207</v>
      </c>
    </row>
    <row r="34" spans="1:4" ht="15.75" customHeight="1" x14ac:dyDescent="0.2">
      <c r="A34" s="36">
        <v>106680</v>
      </c>
      <c r="B34" s="36">
        <v>17332</v>
      </c>
      <c r="C34" s="39" t="s">
        <v>208</v>
      </c>
      <c r="D34" s="39" t="s">
        <v>209</v>
      </c>
    </row>
    <row r="35" spans="1:4" ht="15.75" customHeight="1" x14ac:dyDescent="0.2">
      <c r="A35" s="36">
        <v>106681</v>
      </c>
      <c r="B35" s="36">
        <v>17332</v>
      </c>
      <c r="C35" s="39" t="s">
        <v>210</v>
      </c>
      <c r="D35" s="39" t="s">
        <v>211</v>
      </c>
    </row>
    <row r="36" spans="1:4" ht="15.75" customHeight="1" x14ac:dyDescent="0.2">
      <c r="A36" s="36">
        <v>106707</v>
      </c>
      <c r="B36" s="36">
        <v>17337</v>
      </c>
      <c r="C36" s="39" t="s">
        <v>212</v>
      </c>
      <c r="D36" s="39" t="s">
        <v>213</v>
      </c>
    </row>
    <row r="37" spans="1:4" ht="15.75" customHeight="1" x14ac:dyDescent="0.2">
      <c r="A37" s="36">
        <v>106708</v>
      </c>
      <c r="B37" s="36">
        <v>17337</v>
      </c>
      <c r="C37" s="39" t="s">
        <v>214</v>
      </c>
      <c r="D37" s="39" t="s">
        <v>215</v>
      </c>
    </row>
    <row r="38" spans="1:4" ht="15.75" customHeight="1" x14ac:dyDescent="0.2">
      <c r="A38" s="36">
        <v>106709</v>
      </c>
      <c r="B38" s="36">
        <v>17337</v>
      </c>
      <c r="C38" s="39" t="s">
        <v>216</v>
      </c>
      <c r="D38" s="39" t="s">
        <v>217</v>
      </c>
    </row>
    <row r="39" spans="1:4" ht="15.75" customHeight="1" x14ac:dyDescent="0.2">
      <c r="A39" s="36">
        <v>106710</v>
      </c>
      <c r="B39" s="36">
        <v>17338</v>
      </c>
      <c r="C39" s="39" t="s">
        <v>218</v>
      </c>
      <c r="D39" s="39" t="s">
        <v>219</v>
      </c>
    </row>
    <row r="40" spans="1:4" ht="15.75" customHeight="1" x14ac:dyDescent="0.2">
      <c r="A40" s="36">
        <v>106711</v>
      </c>
      <c r="B40" s="36">
        <v>17338</v>
      </c>
      <c r="C40" s="39" t="s">
        <v>220</v>
      </c>
      <c r="D40" s="39" t="s">
        <v>221</v>
      </c>
    </row>
    <row r="41" spans="1:4" ht="15.75" customHeight="1" x14ac:dyDescent="0.2">
      <c r="A41" s="36">
        <v>106721</v>
      </c>
      <c r="B41" s="36">
        <v>17344</v>
      </c>
      <c r="C41" s="39" t="s">
        <v>157</v>
      </c>
      <c r="D41" s="39" t="s">
        <v>222</v>
      </c>
    </row>
    <row r="42" spans="1:4" ht="15.75" customHeight="1" x14ac:dyDescent="0.2">
      <c r="A42" s="36">
        <v>106722</v>
      </c>
      <c r="B42" s="36">
        <v>17345</v>
      </c>
      <c r="C42" s="39" t="s">
        <v>223</v>
      </c>
      <c r="D42" s="39" t="s">
        <v>224</v>
      </c>
    </row>
    <row r="43" spans="1:4" ht="15.75" customHeight="1" x14ac:dyDescent="0.2">
      <c r="A43" s="36">
        <v>106727</v>
      </c>
      <c r="B43" s="36">
        <v>17347</v>
      </c>
      <c r="C43" s="39" t="s">
        <v>156</v>
      </c>
      <c r="D43" s="39" t="s">
        <v>225</v>
      </c>
    </row>
    <row r="44" spans="1:4" ht="15.75" customHeight="1" x14ac:dyDescent="0.2">
      <c r="A44" s="36">
        <v>106732</v>
      </c>
      <c r="B44" s="36">
        <v>17352</v>
      </c>
      <c r="C44" s="39" t="s">
        <v>226</v>
      </c>
      <c r="D44" s="39" t="s">
        <v>227</v>
      </c>
    </row>
    <row r="45" spans="1:4" ht="15.75" customHeight="1" x14ac:dyDescent="0.2">
      <c r="A45" s="36">
        <v>106733</v>
      </c>
      <c r="B45" s="36">
        <v>17353</v>
      </c>
      <c r="C45" s="39" t="s">
        <v>226</v>
      </c>
      <c r="D45" s="39" t="s">
        <v>228</v>
      </c>
    </row>
    <row r="46" spans="1:4" ht="15.75" customHeight="1" x14ac:dyDescent="0.2">
      <c r="A46" s="36">
        <v>106738</v>
      </c>
      <c r="B46" s="36">
        <v>17355</v>
      </c>
      <c r="C46" s="39" t="s">
        <v>229</v>
      </c>
      <c r="D46" s="39" t="s">
        <v>230</v>
      </c>
    </row>
    <row r="47" spans="1:4" ht="15.75" customHeight="1" x14ac:dyDescent="0.2">
      <c r="A47" s="36">
        <v>106739</v>
      </c>
      <c r="B47" s="36">
        <v>17355</v>
      </c>
      <c r="C47" s="39" t="s">
        <v>231</v>
      </c>
      <c r="D47" s="39" t="s">
        <v>232</v>
      </c>
    </row>
    <row r="48" spans="1:4" ht="15.75" customHeight="1" x14ac:dyDescent="0.2">
      <c r="A48" s="36">
        <v>106740</v>
      </c>
      <c r="B48" s="36">
        <v>17355</v>
      </c>
      <c r="C48" s="39" t="s">
        <v>233</v>
      </c>
      <c r="D48" s="39" t="s">
        <v>234</v>
      </c>
    </row>
    <row r="49" spans="1:4" ht="15.75" customHeight="1" x14ac:dyDescent="0.2">
      <c r="A49" s="36">
        <v>106741</v>
      </c>
      <c r="B49" s="36">
        <v>17355</v>
      </c>
      <c r="C49" s="39" t="s">
        <v>235</v>
      </c>
      <c r="D49" s="39" t="s">
        <v>236</v>
      </c>
    </row>
    <row r="50" spans="1:4" ht="15.75" customHeight="1" x14ac:dyDescent="0.2">
      <c r="A50" s="36">
        <v>106745</v>
      </c>
      <c r="B50" s="36">
        <v>17357</v>
      </c>
      <c r="C50" s="39" t="s">
        <v>237</v>
      </c>
      <c r="D50" s="39" t="s">
        <v>238</v>
      </c>
    </row>
    <row r="51" spans="1:4" ht="15.75" customHeight="1" x14ac:dyDescent="0.2">
      <c r="A51" s="36">
        <v>106746</v>
      </c>
      <c r="B51" s="36">
        <v>17357</v>
      </c>
      <c r="C51" s="39" t="s">
        <v>239</v>
      </c>
      <c r="D51" s="39" t="s">
        <v>240</v>
      </c>
    </row>
    <row r="52" spans="1:4" ht="15.75" customHeight="1" x14ac:dyDescent="0.2">
      <c r="A52" s="36">
        <v>106747</v>
      </c>
      <c r="B52" s="36">
        <v>17357</v>
      </c>
      <c r="C52" s="39" t="s">
        <v>241</v>
      </c>
      <c r="D52" s="39" t="s">
        <v>242</v>
      </c>
    </row>
    <row r="53" spans="1:4" ht="15.75" customHeight="1" x14ac:dyDescent="0.2">
      <c r="A53" s="36">
        <v>106752</v>
      </c>
      <c r="B53" s="36">
        <v>17359</v>
      </c>
      <c r="C53" s="39" t="s">
        <v>243</v>
      </c>
      <c r="D53" s="39" t="s">
        <v>244</v>
      </c>
    </row>
    <row r="54" spans="1:4" ht="15.75" customHeight="1" x14ac:dyDescent="0.2">
      <c r="A54" s="36">
        <v>106753</v>
      </c>
      <c r="B54" s="36">
        <v>17359</v>
      </c>
      <c r="C54" s="39" t="s">
        <v>245</v>
      </c>
      <c r="D54" s="39" t="s">
        <v>246</v>
      </c>
    </row>
    <row r="55" spans="1:4" ht="15.75" customHeight="1" x14ac:dyDescent="0.2">
      <c r="A55" s="36">
        <v>106754</v>
      </c>
      <c r="B55" s="36">
        <v>17359</v>
      </c>
      <c r="C55" s="39" t="s">
        <v>247</v>
      </c>
      <c r="D55" s="39" t="s">
        <v>248</v>
      </c>
    </row>
    <row r="56" spans="1:4" ht="15.75" customHeight="1" x14ac:dyDescent="0.2">
      <c r="A56" s="36">
        <v>106755</v>
      </c>
      <c r="B56" s="36">
        <v>17359</v>
      </c>
      <c r="C56" s="39" t="s">
        <v>249</v>
      </c>
      <c r="D56" s="39" t="s">
        <v>193</v>
      </c>
    </row>
    <row r="57" spans="1:4" ht="15.75" customHeight="1" x14ac:dyDescent="0.2">
      <c r="A57" s="36">
        <v>106756</v>
      </c>
      <c r="B57" s="36">
        <v>17359</v>
      </c>
      <c r="C57" s="39" t="s">
        <v>250</v>
      </c>
      <c r="D57" s="39" t="s">
        <v>163</v>
      </c>
    </row>
    <row r="58" spans="1:4" ht="15.75" customHeight="1" x14ac:dyDescent="0.2">
      <c r="A58" s="36">
        <v>106757</v>
      </c>
      <c r="B58" s="36">
        <v>17359</v>
      </c>
      <c r="C58" s="39" t="s">
        <v>251</v>
      </c>
      <c r="D58" s="39" t="s">
        <v>252</v>
      </c>
    </row>
    <row r="59" spans="1:4" ht="15.75" customHeight="1" x14ac:dyDescent="0.2">
      <c r="A59" s="36">
        <v>106758</v>
      </c>
      <c r="B59" s="36">
        <v>17359</v>
      </c>
      <c r="C59" s="39" t="s">
        <v>253</v>
      </c>
      <c r="D59" s="39" t="s">
        <v>254</v>
      </c>
    </row>
    <row r="60" spans="1:4" ht="15.75" customHeight="1" x14ac:dyDescent="0.2">
      <c r="A60" s="36">
        <v>106782</v>
      </c>
      <c r="B60" s="36">
        <v>17365</v>
      </c>
      <c r="C60" s="39" t="s">
        <v>255</v>
      </c>
      <c r="D60" s="39" t="s">
        <v>256</v>
      </c>
    </row>
    <row r="61" spans="1:4" ht="15.75" customHeight="1" x14ac:dyDescent="0.2">
      <c r="A61" s="36">
        <v>106783</v>
      </c>
      <c r="B61" s="36">
        <v>17365</v>
      </c>
      <c r="C61" s="39" t="s">
        <v>257</v>
      </c>
      <c r="D61" s="39" t="s">
        <v>258</v>
      </c>
    </row>
    <row r="62" spans="1:4" ht="15.75" customHeight="1" x14ac:dyDescent="0.2">
      <c r="A62" s="36">
        <v>106784</v>
      </c>
      <c r="B62" s="36">
        <v>17365</v>
      </c>
      <c r="C62" s="39" t="s">
        <v>259</v>
      </c>
      <c r="D62" s="39" t="s">
        <v>260</v>
      </c>
    </row>
    <row r="63" spans="1:4" ht="15.75" customHeight="1" x14ac:dyDescent="0.2">
      <c r="A63" s="36">
        <v>106785</v>
      </c>
      <c r="B63" s="36">
        <v>17365</v>
      </c>
      <c r="C63" s="39" t="s">
        <v>261</v>
      </c>
      <c r="D63" s="39" t="s">
        <v>262</v>
      </c>
    </row>
    <row r="64" spans="1:4" ht="15.75" customHeight="1" x14ac:dyDescent="0.2">
      <c r="A64" s="36">
        <v>106904</v>
      </c>
      <c r="B64" s="36">
        <v>17384</v>
      </c>
      <c r="C64" s="39" t="s">
        <v>263</v>
      </c>
      <c r="D64" s="39" t="s">
        <v>159</v>
      </c>
    </row>
    <row r="65" spans="1:4" ht="15.75" customHeight="1" x14ac:dyDescent="0.2">
      <c r="A65" s="36">
        <v>106905</v>
      </c>
      <c r="B65" s="36">
        <v>17384</v>
      </c>
      <c r="C65" s="39" t="s">
        <v>264</v>
      </c>
      <c r="D65" s="39" t="s">
        <v>265</v>
      </c>
    </row>
    <row r="66" spans="1:4" ht="15.75" customHeight="1" x14ac:dyDescent="0.2">
      <c r="A66" s="36">
        <v>106896</v>
      </c>
      <c r="B66" s="36">
        <v>17384</v>
      </c>
      <c r="C66" s="39" t="s">
        <v>266</v>
      </c>
      <c r="D66" s="39" t="s">
        <v>265</v>
      </c>
    </row>
    <row r="67" spans="1:4" ht="15.75" customHeight="1" x14ac:dyDescent="0.2">
      <c r="A67" s="36">
        <v>106897</v>
      </c>
      <c r="B67" s="36">
        <v>17384</v>
      </c>
      <c r="C67" s="39" t="s">
        <v>267</v>
      </c>
      <c r="D67" s="39" t="s">
        <v>159</v>
      </c>
    </row>
    <row r="68" spans="1:4" ht="15.75" customHeight="1" x14ac:dyDescent="0.2">
      <c r="A68" s="36">
        <v>106898</v>
      </c>
      <c r="B68" s="36">
        <v>17384</v>
      </c>
      <c r="C68" s="39" t="s">
        <v>263</v>
      </c>
      <c r="D68" s="39" t="s">
        <v>159</v>
      </c>
    </row>
    <row r="69" spans="1:4" ht="15.75" customHeight="1" x14ac:dyDescent="0.2">
      <c r="A69" s="36">
        <v>106899</v>
      </c>
      <c r="B69" s="36">
        <v>17384</v>
      </c>
      <c r="C69" s="39" t="s">
        <v>264</v>
      </c>
      <c r="D69" s="39" t="s">
        <v>265</v>
      </c>
    </row>
    <row r="70" spans="1:4" ht="15.75" customHeight="1" x14ac:dyDescent="0.2">
      <c r="A70" s="36">
        <v>106900</v>
      </c>
      <c r="B70" s="36">
        <v>17384</v>
      </c>
      <c r="C70" s="39" t="s">
        <v>268</v>
      </c>
      <c r="D70" s="39" t="s">
        <v>265</v>
      </c>
    </row>
    <row r="71" spans="1:4" ht="15.75" customHeight="1" x14ac:dyDescent="0.2">
      <c r="A71" s="36">
        <v>106901</v>
      </c>
      <c r="B71" s="36">
        <v>17384</v>
      </c>
      <c r="C71" s="39" t="s">
        <v>269</v>
      </c>
      <c r="D71" s="39" t="s">
        <v>159</v>
      </c>
    </row>
    <row r="72" spans="1:4" ht="15.75" customHeight="1" x14ac:dyDescent="0.2">
      <c r="A72" s="36">
        <v>106902</v>
      </c>
      <c r="B72" s="36">
        <v>17384</v>
      </c>
      <c r="C72" s="39" t="s">
        <v>270</v>
      </c>
      <c r="D72" s="39" t="s">
        <v>159</v>
      </c>
    </row>
    <row r="73" spans="1:4" ht="15.75" customHeight="1" x14ac:dyDescent="0.2">
      <c r="A73" s="36">
        <v>106903</v>
      </c>
      <c r="B73" s="36">
        <v>17384</v>
      </c>
      <c r="C73" s="39" t="s">
        <v>266</v>
      </c>
      <c r="D73" s="39" t="s">
        <v>265</v>
      </c>
    </row>
    <row r="74" spans="1:4" ht="15.75" customHeight="1" x14ac:dyDescent="0.2">
      <c r="A74" s="36">
        <v>106906</v>
      </c>
      <c r="B74" s="36">
        <v>17384</v>
      </c>
      <c r="C74" s="39" t="s">
        <v>268</v>
      </c>
      <c r="D74" s="39" t="s">
        <v>265</v>
      </c>
    </row>
    <row r="75" spans="1:4" ht="15.75" customHeight="1" x14ac:dyDescent="0.2">
      <c r="A75" s="36">
        <v>106907</v>
      </c>
      <c r="B75" s="36">
        <v>17384</v>
      </c>
      <c r="C75" s="39" t="s">
        <v>269</v>
      </c>
      <c r="D75" s="39" t="s">
        <v>159</v>
      </c>
    </row>
    <row r="76" spans="1:4" ht="15.75" customHeight="1" x14ac:dyDescent="0.2">
      <c r="A76" s="36">
        <v>106908</v>
      </c>
      <c r="B76" s="36">
        <v>17384</v>
      </c>
      <c r="C76" s="39" t="s">
        <v>270</v>
      </c>
      <c r="D76" s="39" t="s">
        <v>159</v>
      </c>
    </row>
    <row r="77" spans="1:4" ht="15.75" customHeight="1" x14ac:dyDescent="0.2">
      <c r="A77" s="36">
        <v>106909</v>
      </c>
      <c r="B77" s="36">
        <v>17384</v>
      </c>
      <c r="C77" s="39" t="s">
        <v>266</v>
      </c>
      <c r="D77" s="39" t="s">
        <v>265</v>
      </c>
    </row>
    <row r="78" spans="1:4" ht="15.75" customHeight="1" x14ac:dyDescent="0.2">
      <c r="A78" s="36">
        <v>106910</v>
      </c>
      <c r="B78" s="36">
        <v>17385</v>
      </c>
      <c r="C78" s="39" t="s">
        <v>271</v>
      </c>
      <c r="D78" s="39" t="s">
        <v>272</v>
      </c>
    </row>
    <row r="79" spans="1:4" ht="15.75" customHeight="1" x14ac:dyDescent="0.2">
      <c r="A79" s="36">
        <v>106911</v>
      </c>
      <c r="B79" s="36">
        <v>17385</v>
      </c>
      <c r="C79" s="39" t="s">
        <v>273</v>
      </c>
      <c r="D79" s="39" t="s">
        <v>274</v>
      </c>
    </row>
    <row r="80" spans="1:4" ht="15.75" customHeight="1" x14ac:dyDescent="0.2">
      <c r="A80" s="36">
        <v>106912</v>
      </c>
      <c r="B80" s="36">
        <v>17385</v>
      </c>
      <c r="C80" s="39" t="s">
        <v>275</v>
      </c>
      <c r="D80" s="39" t="s">
        <v>276</v>
      </c>
    </row>
    <row r="81" spans="1:4" ht="15.75" customHeight="1" x14ac:dyDescent="0.2">
      <c r="A81" s="36">
        <v>106913</v>
      </c>
      <c r="B81" s="36">
        <v>17385</v>
      </c>
      <c r="C81" s="39" t="s">
        <v>277</v>
      </c>
      <c r="D81" s="39" t="s">
        <v>278</v>
      </c>
    </row>
    <row r="82" spans="1:4" ht="15.75" customHeight="1" x14ac:dyDescent="0.2">
      <c r="A82" s="36">
        <v>106914</v>
      </c>
      <c r="B82" s="36">
        <v>17385</v>
      </c>
      <c r="C82" s="39" t="s">
        <v>279</v>
      </c>
      <c r="D82" s="39" t="s">
        <v>280</v>
      </c>
    </row>
    <row r="83" spans="1:4" ht="15.75" customHeight="1" x14ac:dyDescent="0.2">
      <c r="A83" s="36">
        <v>106915</v>
      </c>
      <c r="B83" s="36">
        <v>17385</v>
      </c>
      <c r="C83" s="39" t="s">
        <v>281</v>
      </c>
      <c r="D83" s="39" t="s">
        <v>274</v>
      </c>
    </row>
    <row r="84" spans="1:4" ht="15.75" customHeight="1" x14ac:dyDescent="0.2">
      <c r="A84" s="36">
        <v>106916</v>
      </c>
      <c r="B84" s="36">
        <v>17385</v>
      </c>
      <c r="C84" s="39" t="s">
        <v>282</v>
      </c>
      <c r="D84" s="39" t="s">
        <v>274</v>
      </c>
    </row>
    <row r="85" spans="1:4" ht="15.75" customHeight="1" x14ac:dyDescent="0.2">
      <c r="A85" s="36">
        <v>106917</v>
      </c>
      <c r="B85" s="36">
        <v>17385</v>
      </c>
      <c r="C85" s="39" t="s">
        <v>283</v>
      </c>
      <c r="D85" s="39" t="s">
        <v>274</v>
      </c>
    </row>
    <row r="86" spans="1:4" ht="15.75" customHeight="1" x14ac:dyDescent="0.2">
      <c r="A86" s="36">
        <v>106918</v>
      </c>
      <c r="B86" s="36">
        <v>17385</v>
      </c>
      <c r="C86" s="39" t="s">
        <v>284</v>
      </c>
      <c r="D86" s="39" t="s">
        <v>274</v>
      </c>
    </row>
    <row r="87" spans="1:4" ht="15.75" customHeight="1" x14ac:dyDescent="0.2">
      <c r="A87" s="36">
        <v>106919</v>
      </c>
      <c r="B87" s="36">
        <v>17385</v>
      </c>
      <c r="C87" s="39" t="s">
        <v>285</v>
      </c>
      <c r="D87" s="39" t="s">
        <v>276</v>
      </c>
    </row>
    <row r="88" spans="1:4" ht="15.75" customHeight="1" x14ac:dyDescent="0.2">
      <c r="A88" s="36">
        <v>106920</v>
      </c>
      <c r="B88" s="36">
        <v>17385</v>
      </c>
      <c r="C88" s="39" t="s">
        <v>286</v>
      </c>
      <c r="D88" s="39" t="s">
        <v>274</v>
      </c>
    </row>
    <row r="89" spans="1:4" ht="15.75" customHeight="1" x14ac:dyDescent="0.2">
      <c r="A89" s="36">
        <v>106921</v>
      </c>
      <c r="B89" s="36">
        <v>17385</v>
      </c>
      <c r="C89" s="39" t="s">
        <v>279</v>
      </c>
      <c r="D89" s="39" t="s">
        <v>280</v>
      </c>
    </row>
    <row r="90" spans="1:4" ht="15.75" customHeight="1" x14ac:dyDescent="0.2">
      <c r="A90" s="36">
        <v>106922</v>
      </c>
      <c r="B90" s="36">
        <v>17385</v>
      </c>
      <c r="C90" s="39" t="s">
        <v>281</v>
      </c>
      <c r="D90" s="39" t="s">
        <v>274</v>
      </c>
    </row>
    <row r="91" spans="1:4" ht="15.75" customHeight="1" x14ac:dyDescent="0.2">
      <c r="A91" s="36">
        <v>106923</v>
      </c>
      <c r="B91" s="36">
        <v>17385</v>
      </c>
      <c r="C91" s="39" t="s">
        <v>282</v>
      </c>
      <c r="D91" s="39" t="s">
        <v>274</v>
      </c>
    </row>
    <row r="92" spans="1:4" ht="15.75" customHeight="1" x14ac:dyDescent="0.2">
      <c r="A92" s="36">
        <v>106924</v>
      </c>
      <c r="B92" s="36">
        <v>17385</v>
      </c>
      <c r="C92" s="39" t="s">
        <v>283</v>
      </c>
      <c r="D92" s="39" t="s">
        <v>274</v>
      </c>
    </row>
    <row r="93" spans="1:4" ht="15.75" customHeight="1" x14ac:dyDescent="0.2">
      <c r="A93" s="36">
        <v>106925</v>
      </c>
      <c r="B93" s="36">
        <v>17385</v>
      </c>
      <c r="C93" s="39" t="s">
        <v>284</v>
      </c>
      <c r="D93" s="39" t="s">
        <v>274</v>
      </c>
    </row>
    <row r="94" spans="1:4" ht="15.75" customHeight="1" x14ac:dyDescent="0.2">
      <c r="A94" s="36">
        <v>106926</v>
      </c>
      <c r="B94" s="36">
        <v>17385</v>
      </c>
      <c r="C94" s="39" t="s">
        <v>285</v>
      </c>
      <c r="D94" s="39" t="s">
        <v>276</v>
      </c>
    </row>
    <row r="95" spans="1:4" ht="15.75" customHeight="1" x14ac:dyDescent="0.2">
      <c r="A95" s="36">
        <v>106927</v>
      </c>
      <c r="B95" s="36">
        <v>17385</v>
      </c>
      <c r="C95" s="39" t="s">
        <v>286</v>
      </c>
      <c r="D95" s="39" t="s">
        <v>274</v>
      </c>
    </row>
    <row r="96" spans="1:4" ht="15.75" customHeight="1" x14ac:dyDescent="0.2">
      <c r="A96" s="36">
        <v>106928</v>
      </c>
      <c r="B96" s="36">
        <v>17386</v>
      </c>
      <c r="C96" s="39" t="s">
        <v>287</v>
      </c>
      <c r="D96" s="39" t="s">
        <v>170</v>
      </c>
    </row>
    <row r="97" spans="1:4" ht="15.75" customHeight="1" x14ac:dyDescent="0.2">
      <c r="A97" s="36">
        <v>106929</v>
      </c>
      <c r="B97" s="36">
        <v>17386</v>
      </c>
      <c r="C97" s="39" t="s">
        <v>288</v>
      </c>
      <c r="D97" s="39" t="s">
        <v>163</v>
      </c>
    </row>
    <row r="98" spans="1:4" ht="15.75" customHeight="1" x14ac:dyDescent="0.2">
      <c r="A98" s="36">
        <v>106930</v>
      </c>
      <c r="B98" s="36">
        <v>17386</v>
      </c>
      <c r="C98" s="39" t="s">
        <v>289</v>
      </c>
      <c r="D98" s="39" t="s">
        <v>193</v>
      </c>
    </row>
    <row r="99" spans="1:4" ht="15.75" customHeight="1" x14ac:dyDescent="0.2">
      <c r="A99" s="36">
        <v>106931</v>
      </c>
      <c r="B99" s="36">
        <v>17386</v>
      </c>
      <c r="C99" s="39" t="s">
        <v>290</v>
      </c>
      <c r="D99" s="39" t="s">
        <v>170</v>
      </c>
    </row>
    <row r="100" spans="1:4" ht="15.75" customHeight="1" x14ac:dyDescent="0.2">
      <c r="A100" s="36">
        <v>106932</v>
      </c>
      <c r="B100" s="36">
        <v>17386</v>
      </c>
      <c r="C100" s="39" t="s">
        <v>291</v>
      </c>
      <c r="D100" s="39" t="s">
        <v>170</v>
      </c>
    </row>
    <row r="101" spans="1:4" ht="15.75" customHeight="1" x14ac:dyDescent="0.2">
      <c r="A101" s="36">
        <v>106933</v>
      </c>
      <c r="B101" s="36">
        <v>17386</v>
      </c>
      <c r="C101" s="39" t="s">
        <v>292</v>
      </c>
      <c r="D101" s="39" t="s">
        <v>193</v>
      </c>
    </row>
    <row r="102" spans="1:4" ht="15.75" customHeight="1" x14ac:dyDescent="0.2">
      <c r="A102" s="36">
        <v>106934</v>
      </c>
      <c r="B102" s="36">
        <v>17386</v>
      </c>
      <c r="C102" s="39" t="s">
        <v>293</v>
      </c>
      <c r="D102" s="39" t="s">
        <v>163</v>
      </c>
    </row>
    <row r="103" spans="1:4" ht="15.75" customHeight="1" x14ac:dyDescent="0.2">
      <c r="A103" s="36">
        <v>106935</v>
      </c>
      <c r="B103" s="36">
        <v>17386</v>
      </c>
      <c r="C103" s="39" t="s">
        <v>294</v>
      </c>
      <c r="D103" s="39" t="s">
        <v>193</v>
      </c>
    </row>
    <row r="104" spans="1:4" ht="15.75" customHeight="1" x14ac:dyDescent="0.2">
      <c r="A104" s="36">
        <v>106936</v>
      </c>
      <c r="B104" s="36">
        <v>17386</v>
      </c>
      <c r="C104" s="39" t="s">
        <v>295</v>
      </c>
      <c r="D104" s="39" t="s">
        <v>170</v>
      </c>
    </row>
    <row r="105" spans="1:4" ht="15.75" customHeight="1" x14ac:dyDescent="0.2">
      <c r="A105" s="36">
        <v>106937</v>
      </c>
      <c r="B105" s="36">
        <v>17386</v>
      </c>
      <c r="C105" s="39" t="s">
        <v>296</v>
      </c>
      <c r="D105" s="39" t="s">
        <v>193</v>
      </c>
    </row>
    <row r="106" spans="1:4" ht="15.75" customHeight="1" x14ac:dyDescent="0.2">
      <c r="A106" s="36">
        <v>106938</v>
      </c>
      <c r="B106" s="36">
        <v>17386</v>
      </c>
      <c r="C106" s="39" t="s">
        <v>297</v>
      </c>
      <c r="D106" s="39" t="s">
        <v>163</v>
      </c>
    </row>
    <row r="107" spans="1:4" ht="15.75" customHeight="1" x14ac:dyDescent="0.2">
      <c r="A107" s="36">
        <v>106939</v>
      </c>
      <c r="B107" s="36">
        <v>17386</v>
      </c>
      <c r="C107" s="39" t="s">
        <v>298</v>
      </c>
      <c r="D107" s="39" t="s">
        <v>170</v>
      </c>
    </row>
    <row r="108" spans="1:4" ht="15.75" customHeight="1" x14ac:dyDescent="0.2">
      <c r="A108" s="36">
        <v>106940</v>
      </c>
      <c r="B108" s="36">
        <v>17386</v>
      </c>
      <c r="C108" s="39" t="s">
        <v>299</v>
      </c>
      <c r="D108" s="39" t="s">
        <v>163</v>
      </c>
    </row>
    <row r="109" spans="1:4" ht="15.75" customHeight="1" x14ac:dyDescent="0.2">
      <c r="A109" s="36">
        <v>106941</v>
      </c>
      <c r="B109" s="36">
        <v>17386</v>
      </c>
      <c r="C109" s="39" t="s">
        <v>300</v>
      </c>
      <c r="D109" s="39" t="s">
        <v>170</v>
      </c>
    </row>
    <row r="110" spans="1:4" ht="15.75" customHeight="1" x14ac:dyDescent="0.2">
      <c r="A110" s="36">
        <v>106942</v>
      </c>
      <c r="B110" s="36">
        <v>17386</v>
      </c>
      <c r="C110" s="39" t="s">
        <v>301</v>
      </c>
      <c r="D110" s="39" t="s">
        <v>163</v>
      </c>
    </row>
    <row r="111" spans="1:4" ht="15.75" customHeight="1" x14ac:dyDescent="0.2">
      <c r="A111" s="36">
        <v>106943</v>
      </c>
      <c r="B111" s="36">
        <v>17386</v>
      </c>
      <c r="C111" s="39" t="s">
        <v>302</v>
      </c>
      <c r="D111" s="39" t="s">
        <v>193</v>
      </c>
    </row>
    <row r="112" spans="1:4" ht="15.75" customHeight="1" x14ac:dyDescent="0.2">
      <c r="A112" s="36">
        <v>106944</v>
      </c>
      <c r="B112" s="36">
        <v>17386</v>
      </c>
      <c r="C112" s="39" t="s">
        <v>303</v>
      </c>
      <c r="D112" s="39" t="s">
        <v>170</v>
      </c>
    </row>
    <row r="113" spans="1:4" ht="15.75" customHeight="1" x14ac:dyDescent="0.2">
      <c r="A113" s="36">
        <v>106945</v>
      </c>
      <c r="B113" s="36">
        <v>17386</v>
      </c>
      <c r="C113" s="39" t="s">
        <v>304</v>
      </c>
      <c r="D113" s="39" t="s">
        <v>193</v>
      </c>
    </row>
    <row r="114" spans="1:4" ht="15.75" customHeight="1" x14ac:dyDescent="0.2">
      <c r="A114" s="36">
        <v>106946</v>
      </c>
      <c r="B114" s="36">
        <v>17386</v>
      </c>
      <c r="C114" s="39" t="s">
        <v>305</v>
      </c>
      <c r="D114" s="39" t="s">
        <v>193</v>
      </c>
    </row>
    <row r="115" spans="1:4" ht="15.75" customHeight="1" x14ac:dyDescent="0.2">
      <c r="A115" s="36">
        <v>106947</v>
      </c>
      <c r="B115" s="36">
        <v>17386</v>
      </c>
      <c r="C115" s="39" t="s">
        <v>290</v>
      </c>
      <c r="D115" s="39" t="s">
        <v>170</v>
      </c>
    </row>
    <row r="116" spans="1:4" ht="15.75" customHeight="1" x14ac:dyDescent="0.2">
      <c r="A116" s="36">
        <v>106948</v>
      </c>
      <c r="B116" s="36">
        <v>17386</v>
      </c>
      <c r="C116" s="39" t="s">
        <v>291</v>
      </c>
      <c r="D116" s="39" t="s">
        <v>170</v>
      </c>
    </row>
    <row r="117" spans="1:4" ht="15.75" customHeight="1" x14ac:dyDescent="0.2">
      <c r="A117" s="36">
        <v>106949</v>
      </c>
      <c r="B117" s="36">
        <v>17386</v>
      </c>
      <c r="C117" s="39" t="s">
        <v>292</v>
      </c>
      <c r="D117" s="39" t="s">
        <v>193</v>
      </c>
    </row>
    <row r="118" spans="1:4" ht="15.75" customHeight="1" x14ac:dyDescent="0.2">
      <c r="A118" s="36">
        <v>106950</v>
      </c>
      <c r="B118" s="36">
        <v>17386</v>
      </c>
      <c r="C118" s="39" t="s">
        <v>293</v>
      </c>
      <c r="D118" s="39" t="s">
        <v>163</v>
      </c>
    </row>
    <row r="119" spans="1:4" ht="15.75" customHeight="1" x14ac:dyDescent="0.2">
      <c r="A119" s="36">
        <v>106951</v>
      </c>
      <c r="B119" s="36">
        <v>17386</v>
      </c>
      <c r="C119" s="39" t="s">
        <v>294</v>
      </c>
      <c r="D119" s="39" t="s">
        <v>193</v>
      </c>
    </row>
    <row r="120" spans="1:4" ht="15.75" customHeight="1" x14ac:dyDescent="0.2">
      <c r="A120" s="36">
        <v>106952</v>
      </c>
      <c r="B120" s="36">
        <v>17386</v>
      </c>
      <c r="C120" s="39" t="s">
        <v>295</v>
      </c>
      <c r="D120" s="39" t="s">
        <v>170</v>
      </c>
    </row>
    <row r="121" spans="1:4" ht="15.75" customHeight="1" x14ac:dyDescent="0.2">
      <c r="A121" s="36">
        <v>106953</v>
      </c>
      <c r="B121" s="36">
        <v>17386</v>
      </c>
      <c r="C121" s="39" t="s">
        <v>296</v>
      </c>
      <c r="D121" s="39" t="s">
        <v>193</v>
      </c>
    </row>
    <row r="122" spans="1:4" ht="15.75" customHeight="1" x14ac:dyDescent="0.2">
      <c r="A122" s="36">
        <v>106954</v>
      </c>
      <c r="B122" s="36">
        <v>17386</v>
      </c>
      <c r="C122" s="39" t="s">
        <v>297</v>
      </c>
      <c r="D122" s="39" t="s">
        <v>163</v>
      </c>
    </row>
    <row r="123" spans="1:4" ht="15.75" customHeight="1" x14ac:dyDescent="0.2">
      <c r="A123" s="36">
        <v>106955</v>
      </c>
      <c r="B123" s="36">
        <v>17386</v>
      </c>
      <c r="C123" s="39" t="s">
        <v>298</v>
      </c>
      <c r="D123" s="39" t="s">
        <v>170</v>
      </c>
    </row>
    <row r="124" spans="1:4" ht="15.75" customHeight="1" x14ac:dyDescent="0.2">
      <c r="A124" s="36">
        <v>106956</v>
      </c>
      <c r="B124" s="36">
        <v>17386</v>
      </c>
      <c r="C124" s="39" t="s">
        <v>299</v>
      </c>
      <c r="D124" s="39" t="s">
        <v>163</v>
      </c>
    </row>
    <row r="125" spans="1:4" ht="15.75" customHeight="1" x14ac:dyDescent="0.2">
      <c r="A125" s="36">
        <v>106957</v>
      </c>
      <c r="B125" s="36">
        <v>17386</v>
      </c>
      <c r="C125" s="39" t="s">
        <v>300</v>
      </c>
      <c r="D125" s="39" t="s">
        <v>170</v>
      </c>
    </row>
    <row r="126" spans="1:4" ht="15.75" customHeight="1" x14ac:dyDescent="0.2">
      <c r="A126" s="36">
        <v>106958</v>
      </c>
      <c r="B126" s="36">
        <v>17386</v>
      </c>
      <c r="C126" s="39" t="s">
        <v>301</v>
      </c>
      <c r="D126" s="39" t="s">
        <v>163</v>
      </c>
    </row>
    <row r="127" spans="1:4" ht="15.75" customHeight="1" x14ac:dyDescent="0.2">
      <c r="A127" s="36">
        <v>106959</v>
      </c>
      <c r="B127" s="36">
        <v>17386</v>
      </c>
      <c r="C127" s="39" t="s">
        <v>302</v>
      </c>
      <c r="D127" s="39" t="s">
        <v>193</v>
      </c>
    </row>
    <row r="128" spans="1:4" ht="15.75" customHeight="1" x14ac:dyDescent="0.2">
      <c r="A128" s="36">
        <v>106960</v>
      </c>
      <c r="B128" s="36">
        <v>17386</v>
      </c>
      <c r="C128" s="39" t="s">
        <v>303</v>
      </c>
      <c r="D128" s="39" t="s">
        <v>170</v>
      </c>
    </row>
    <row r="129" spans="1:4" ht="15.75" customHeight="1" x14ac:dyDescent="0.2">
      <c r="A129" s="36">
        <v>106961</v>
      </c>
      <c r="B129" s="36">
        <v>17386</v>
      </c>
      <c r="C129" s="39" t="s">
        <v>304</v>
      </c>
      <c r="D129" s="39" t="s">
        <v>193</v>
      </c>
    </row>
    <row r="130" spans="1:4" ht="15.75" customHeight="1" x14ac:dyDescent="0.2">
      <c r="A130" s="36">
        <v>106962</v>
      </c>
      <c r="B130" s="36">
        <v>17386</v>
      </c>
      <c r="C130" s="39" t="s">
        <v>305</v>
      </c>
      <c r="D130" s="39" t="s">
        <v>193</v>
      </c>
    </row>
    <row r="131" spans="1:4" ht="15.75" customHeight="1" x14ac:dyDescent="0.2">
      <c r="A131" s="36">
        <v>106963</v>
      </c>
      <c r="B131" s="36">
        <v>17387</v>
      </c>
      <c r="C131" s="39" t="s">
        <v>306</v>
      </c>
      <c r="D131" s="39" t="s">
        <v>307</v>
      </c>
    </row>
    <row r="132" spans="1:4" ht="15.75" customHeight="1" x14ac:dyDescent="0.2">
      <c r="A132" s="36">
        <v>106964</v>
      </c>
      <c r="B132" s="36">
        <v>17387</v>
      </c>
      <c r="C132" s="39" t="s">
        <v>308</v>
      </c>
      <c r="D132" s="39" t="s">
        <v>170</v>
      </c>
    </row>
    <row r="133" spans="1:4" ht="15.75" customHeight="1" x14ac:dyDescent="0.2">
      <c r="A133" s="36">
        <v>106965</v>
      </c>
      <c r="B133" s="36">
        <v>17387</v>
      </c>
      <c r="C133" s="39" t="s">
        <v>309</v>
      </c>
      <c r="D133" s="39" t="s">
        <v>310</v>
      </c>
    </row>
    <row r="134" spans="1:4" ht="15.75" customHeight="1" x14ac:dyDescent="0.2">
      <c r="A134" s="36">
        <v>106966</v>
      </c>
      <c r="B134" s="36">
        <v>17387</v>
      </c>
      <c r="C134" s="39" t="s">
        <v>311</v>
      </c>
      <c r="D134" s="39" t="s">
        <v>312</v>
      </c>
    </row>
    <row r="135" spans="1:4" ht="15.75" customHeight="1" x14ac:dyDescent="0.2">
      <c r="A135" s="36">
        <v>106967</v>
      </c>
      <c r="B135" s="36">
        <v>17387</v>
      </c>
      <c r="C135" s="39" t="s">
        <v>313</v>
      </c>
      <c r="D135" s="39" t="s">
        <v>314</v>
      </c>
    </row>
    <row r="136" spans="1:4" ht="15.75" customHeight="1" x14ac:dyDescent="0.2">
      <c r="A136" s="36">
        <v>106968</v>
      </c>
      <c r="B136" s="36">
        <v>17387</v>
      </c>
      <c r="C136" s="39" t="s">
        <v>315</v>
      </c>
      <c r="D136" s="39" t="s">
        <v>196</v>
      </c>
    </row>
    <row r="137" spans="1:4" ht="15.75" customHeight="1" x14ac:dyDescent="0.2">
      <c r="A137" s="36">
        <v>106969</v>
      </c>
      <c r="B137" s="36">
        <v>17387</v>
      </c>
      <c r="C137" s="39" t="s">
        <v>316</v>
      </c>
      <c r="D137" s="39" t="s">
        <v>166</v>
      </c>
    </row>
    <row r="138" spans="1:4" ht="15.75" customHeight="1" x14ac:dyDescent="0.2">
      <c r="A138" s="36">
        <v>106970</v>
      </c>
      <c r="B138" s="36">
        <v>17387</v>
      </c>
      <c r="C138" s="39" t="s">
        <v>317</v>
      </c>
      <c r="D138" s="39" t="s">
        <v>196</v>
      </c>
    </row>
    <row r="139" spans="1:4" ht="15.75" customHeight="1" x14ac:dyDescent="0.2">
      <c r="A139" s="36">
        <v>106971</v>
      </c>
      <c r="B139" s="36">
        <v>17387</v>
      </c>
      <c r="C139" s="39" t="s">
        <v>318</v>
      </c>
      <c r="D139" s="39" t="s">
        <v>319</v>
      </c>
    </row>
    <row r="140" spans="1:4" ht="15.75" customHeight="1" x14ac:dyDescent="0.2">
      <c r="A140" s="36">
        <v>106972</v>
      </c>
      <c r="B140" s="36">
        <v>17387</v>
      </c>
      <c r="C140" s="39" t="s">
        <v>320</v>
      </c>
      <c r="D140" s="39" t="s">
        <v>321</v>
      </c>
    </row>
    <row r="141" spans="1:4" ht="15.75" customHeight="1" x14ac:dyDescent="0.2">
      <c r="A141" s="36">
        <v>106973</v>
      </c>
      <c r="B141" s="36">
        <v>17387</v>
      </c>
      <c r="C141" s="39" t="s">
        <v>322</v>
      </c>
      <c r="D141" s="39" t="s">
        <v>323</v>
      </c>
    </row>
    <row r="142" spans="1:4" ht="15.75" customHeight="1" x14ac:dyDescent="0.2">
      <c r="A142" s="36">
        <v>106974</v>
      </c>
      <c r="B142" s="36">
        <v>17387</v>
      </c>
      <c r="C142" s="39" t="s">
        <v>324</v>
      </c>
      <c r="D142" s="39" t="s">
        <v>325</v>
      </c>
    </row>
    <row r="143" spans="1:4" ht="15.75" customHeight="1" x14ac:dyDescent="0.2">
      <c r="A143" s="36">
        <v>106975</v>
      </c>
      <c r="B143" s="36">
        <v>17387</v>
      </c>
      <c r="C143" s="39" t="s">
        <v>311</v>
      </c>
      <c r="D143" s="39" t="s">
        <v>312</v>
      </c>
    </row>
    <row r="144" spans="1:4" ht="15.75" customHeight="1" x14ac:dyDescent="0.2">
      <c r="A144" s="36">
        <v>106976</v>
      </c>
      <c r="B144" s="36">
        <v>17387</v>
      </c>
      <c r="C144" s="39" t="s">
        <v>313</v>
      </c>
      <c r="D144" s="39" t="s">
        <v>314</v>
      </c>
    </row>
    <row r="145" spans="1:4" ht="15.75" customHeight="1" x14ac:dyDescent="0.2">
      <c r="A145" s="36">
        <v>106977</v>
      </c>
      <c r="B145" s="36">
        <v>17387</v>
      </c>
      <c r="C145" s="39" t="s">
        <v>315</v>
      </c>
      <c r="D145" s="39" t="s">
        <v>196</v>
      </c>
    </row>
    <row r="146" spans="1:4" ht="15.75" customHeight="1" x14ac:dyDescent="0.2">
      <c r="A146" s="36">
        <v>106978</v>
      </c>
      <c r="B146" s="36">
        <v>17387</v>
      </c>
      <c r="C146" s="39" t="s">
        <v>316</v>
      </c>
      <c r="D146" s="39" t="s">
        <v>166</v>
      </c>
    </row>
    <row r="147" spans="1:4" ht="15.75" customHeight="1" x14ac:dyDescent="0.2">
      <c r="A147" s="36">
        <v>106979</v>
      </c>
      <c r="B147" s="36">
        <v>17387</v>
      </c>
      <c r="C147" s="39" t="s">
        <v>317</v>
      </c>
      <c r="D147" s="39" t="s">
        <v>196</v>
      </c>
    </row>
    <row r="148" spans="1:4" ht="15.75" customHeight="1" x14ac:dyDescent="0.2">
      <c r="A148" s="36">
        <v>106980</v>
      </c>
      <c r="B148" s="36">
        <v>17387</v>
      </c>
      <c r="C148" s="39" t="s">
        <v>318</v>
      </c>
      <c r="D148" s="39" t="s">
        <v>319</v>
      </c>
    </row>
    <row r="149" spans="1:4" ht="15.75" customHeight="1" x14ac:dyDescent="0.2">
      <c r="A149" s="36">
        <v>106981</v>
      </c>
      <c r="B149" s="36">
        <v>17387</v>
      </c>
      <c r="C149" s="39" t="s">
        <v>320</v>
      </c>
      <c r="D149" s="39" t="s">
        <v>321</v>
      </c>
    </row>
    <row r="150" spans="1:4" ht="15.75" customHeight="1" x14ac:dyDescent="0.2">
      <c r="A150" s="36">
        <v>106982</v>
      </c>
      <c r="B150" s="36">
        <v>17387</v>
      </c>
      <c r="C150" s="39" t="s">
        <v>322</v>
      </c>
      <c r="D150" s="39" t="s">
        <v>323</v>
      </c>
    </row>
    <row r="151" spans="1:4" ht="15.75" customHeight="1" x14ac:dyDescent="0.2">
      <c r="A151" s="36">
        <v>106983</v>
      </c>
      <c r="B151" s="36">
        <v>17387</v>
      </c>
      <c r="C151" s="39" t="s">
        <v>324</v>
      </c>
      <c r="D151" s="39" t="s">
        <v>325</v>
      </c>
    </row>
    <row r="152" spans="1:4" ht="15.75" customHeight="1" x14ac:dyDescent="0.2">
      <c r="A152" s="36">
        <v>106994</v>
      </c>
      <c r="B152" s="36">
        <v>17389</v>
      </c>
      <c r="C152" s="39" t="s">
        <v>326</v>
      </c>
      <c r="D152" s="39" t="s">
        <v>265</v>
      </c>
    </row>
    <row r="153" spans="1:4" ht="15.75" customHeight="1" x14ac:dyDescent="0.2">
      <c r="A153" s="36">
        <v>106995</v>
      </c>
      <c r="B153" s="36">
        <v>17389</v>
      </c>
      <c r="C153" s="39" t="s">
        <v>327</v>
      </c>
      <c r="D153" s="39" t="s">
        <v>159</v>
      </c>
    </row>
    <row r="154" spans="1:4" ht="15.75" customHeight="1" x14ac:dyDescent="0.2">
      <c r="A154" s="36">
        <v>106996</v>
      </c>
      <c r="B154" s="36">
        <v>17389</v>
      </c>
      <c r="C154" s="39" t="s">
        <v>328</v>
      </c>
      <c r="D154" s="39" t="s">
        <v>265</v>
      </c>
    </row>
    <row r="155" spans="1:4" ht="15.75" customHeight="1" x14ac:dyDescent="0.2">
      <c r="A155" s="36">
        <v>106997</v>
      </c>
      <c r="B155" s="36">
        <v>17389</v>
      </c>
      <c r="C155" s="39" t="s">
        <v>329</v>
      </c>
      <c r="D155" s="39" t="s">
        <v>265</v>
      </c>
    </row>
    <row r="156" spans="1:4" ht="15.75" customHeight="1" x14ac:dyDescent="0.2">
      <c r="A156" s="36">
        <v>106998</v>
      </c>
      <c r="B156" s="36">
        <v>17389</v>
      </c>
      <c r="C156" s="39" t="s">
        <v>330</v>
      </c>
      <c r="D156" s="39" t="s">
        <v>159</v>
      </c>
    </row>
    <row r="157" spans="1:4" ht="15.75" customHeight="1" x14ac:dyDescent="0.2">
      <c r="A157" s="36">
        <v>106999</v>
      </c>
      <c r="B157" s="36">
        <v>17389</v>
      </c>
      <c r="C157" s="39" t="s">
        <v>331</v>
      </c>
      <c r="D157" s="39" t="s">
        <v>159</v>
      </c>
    </row>
    <row r="158" spans="1:4" ht="15.75" customHeight="1" x14ac:dyDescent="0.2">
      <c r="A158" s="36">
        <v>107000</v>
      </c>
      <c r="B158" s="36">
        <v>17389</v>
      </c>
      <c r="C158" s="39" t="s">
        <v>332</v>
      </c>
      <c r="D158" s="39" t="s">
        <v>159</v>
      </c>
    </row>
    <row r="159" spans="1:4" ht="15.75" customHeight="1" x14ac:dyDescent="0.2">
      <c r="A159" s="36">
        <v>107001</v>
      </c>
      <c r="B159" s="36">
        <v>17389</v>
      </c>
      <c r="C159" s="39" t="s">
        <v>333</v>
      </c>
      <c r="D159" s="39" t="s">
        <v>265</v>
      </c>
    </row>
    <row r="160" spans="1:4" ht="15.75" customHeight="1" x14ac:dyDescent="0.2">
      <c r="A160" s="36">
        <v>107010</v>
      </c>
      <c r="B160" s="36">
        <v>17391</v>
      </c>
      <c r="C160" s="39" t="s">
        <v>334</v>
      </c>
      <c r="D160" s="39" t="s">
        <v>335</v>
      </c>
    </row>
    <row r="161" spans="1:4" ht="15.75" customHeight="1" x14ac:dyDescent="0.2">
      <c r="A161" s="36">
        <v>107011</v>
      </c>
      <c r="B161" s="36">
        <v>17391</v>
      </c>
      <c r="C161" s="39" t="s">
        <v>336</v>
      </c>
      <c r="D161" s="39" t="s">
        <v>337</v>
      </c>
    </row>
    <row r="162" spans="1:4" ht="15.75" customHeight="1" x14ac:dyDescent="0.2">
      <c r="A162" s="36">
        <v>107012</v>
      </c>
      <c r="B162" s="36">
        <v>17391</v>
      </c>
      <c r="C162" s="39" t="s">
        <v>338</v>
      </c>
      <c r="D162" s="39" t="s">
        <v>339</v>
      </c>
    </row>
    <row r="163" spans="1:4" ht="15.75" customHeight="1" x14ac:dyDescent="0.2">
      <c r="A163" s="36">
        <v>107013</v>
      </c>
      <c r="B163" s="36">
        <v>17391</v>
      </c>
      <c r="C163" s="39" t="s">
        <v>340</v>
      </c>
      <c r="D163" s="39" t="s">
        <v>163</v>
      </c>
    </row>
    <row r="164" spans="1:4" ht="15.75" customHeight="1" x14ac:dyDescent="0.2">
      <c r="A164" s="36">
        <v>107014</v>
      </c>
      <c r="B164" s="36">
        <v>17392</v>
      </c>
      <c r="C164" s="39" t="s">
        <v>341</v>
      </c>
      <c r="D164" s="39" t="s">
        <v>307</v>
      </c>
    </row>
    <row r="165" spans="1:4" ht="15.75" customHeight="1" x14ac:dyDescent="0.2">
      <c r="A165" s="36">
        <v>107015</v>
      </c>
      <c r="B165" s="36">
        <v>17392</v>
      </c>
      <c r="C165" s="39" t="s">
        <v>342</v>
      </c>
      <c r="D165" s="39" t="s">
        <v>343</v>
      </c>
    </row>
    <row r="166" spans="1:4" ht="15.75" customHeight="1" x14ac:dyDescent="0.2">
      <c r="A166" s="36">
        <v>107016</v>
      </c>
      <c r="B166" s="36">
        <v>17392</v>
      </c>
      <c r="C166" s="39" t="s">
        <v>344</v>
      </c>
      <c r="D166" s="39" t="s">
        <v>343</v>
      </c>
    </row>
    <row r="167" spans="1:4" ht="15.75" customHeight="1" x14ac:dyDescent="0.2">
      <c r="A167" s="36">
        <v>107017</v>
      </c>
      <c r="B167" s="36">
        <v>17392</v>
      </c>
      <c r="C167" s="39" t="s">
        <v>345</v>
      </c>
      <c r="D167" s="39" t="s">
        <v>343</v>
      </c>
    </row>
    <row r="168" spans="1:4" ht="15.75" customHeight="1" x14ac:dyDescent="0.2">
      <c r="A168" s="36">
        <v>107083</v>
      </c>
      <c r="B168" s="36">
        <v>17398</v>
      </c>
      <c r="C168" s="39" t="s">
        <v>346</v>
      </c>
      <c r="D168" s="39" t="s">
        <v>347</v>
      </c>
    </row>
    <row r="169" spans="1:4" ht="15.75" customHeight="1" x14ac:dyDescent="0.2">
      <c r="A169" s="36">
        <v>107084</v>
      </c>
      <c r="B169" s="36">
        <v>17398</v>
      </c>
      <c r="C169" s="39" t="s">
        <v>348</v>
      </c>
      <c r="D169" s="39" t="s">
        <v>349</v>
      </c>
    </row>
    <row r="170" spans="1:4" ht="15.75" customHeight="1" x14ac:dyDescent="0.2">
      <c r="A170" s="36">
        <v>107085</v>
      </c>
      <c r="B170" s="36">
        <v>17398</v>
      </c>
      <c r="C170" s="39" t="s">
        <v>350</v>
      </c>
      <c r="D170" s="39" t="s">
        <v>351</v>
      </c>
    </row>
    <row r="171" spans="1:4" ht="15.75" customHeight="1" x14ac:dyDescent="0.2">
      <c r="A171" s="36">
        <v>107086</v>
      </c>
      <c r="B171" s="36">
        <v>17399</v>
      </c>
      <c r="C171" s="39" t="s">
        <v>352</v>
      </c>
      <c r="D171" s="39" t="s">
        <v>353</v>
      </c>
    </row>
    <row r="172" spans="1:4" ht="15.75" customHeight="1" x14ac:dyDescent="0.2">
      <c r="A172" s="36">
        <v>107087</v>
      </c>
      <c r="B172" s="36">
        <v>17399</v>
      </c>
      <c r="C172" s="39" t="s">
        <v>354</v>
      </c>
      <c r="D172" s="39" t="s">
        <v>355</v>
      </c>
    </row>
    <row r="173" spans="1:4" ht="15.75" customHeight="1" x14ac:dyDescent="0.2">
      <c r="A173" s="36">
        <v>107088</v>
      </c>
      <c r="B173" s="36">
        <v>17399</v>
      </c>
      <c r="C173" s="39" t="s">
        <v>356</v>
      </c>
      <c r="D173" s="39" t="s">
        <v>357</v>
      </c>
    </row>
    <row r="174" spans="1:4" ht="15.75" customHeight="1" x14ac:dyDescent="0.2">
      <c r="A174" s="36">
        <v>107149</v>
      </c>
      <c r="B174" s="36">
        <v>17405</v>
      </c>
      <c r="C174" s="39" t="s">
        <v>358</v>
      </c>
      <c r="D174" s="39" t="s">
        <v>265</v>
      </c>
    </row>
    <row r="175" spans="1:4" ht="15.75" customHeight="1" x14ac:dyDescent="0.2">
      <c r="A175" s="36">
        <v>107150</v>
      </c>
      <c r="B175" s="36">
        <v>17405</v>
      </c>
      <c r="C175" s="39" t="s">
        <v>359</v>
      </c>
      <c r="D175" s="39" t="s">
        <v>159</v>
      </c>
    </row>
    <row r="176" spans="1:4" ht="15.75" customHeight="1" x14ac:dyDescent="0.2">
      <c r="A176" s="36">
        <v>107151</v>
      </c>
      <c r="B176" s="36">
        <v>17405</v>
      </c>
      <c r="C176" s="39" t="s">
        <v>360</v>
      </c>
      <c r="D176" s="39" t="s">
        <v>159</v>
      </c>
    </row>
    <row r="177" spans="1:4" ht="15.75" customHeight="1" x14ac:dyDescent="0.2">
      <c r="A177" s="36">
        <v>107152</v>
      </c>
      <c r="B177" s="36">
        <v>17405</v>
      </c>
      <c r="C177" s="39" t="s">
        <v>361</v>
      </c>
      <c r="D177" s="39" t="s">
        <v>265</v>
      </c>
    </row>
    <row r="178" spans="1:4" ht="15.75" customHeight="1" x14ac:dyDescent="0.2">
      <c r="A178" s="36">
        <v>107153</v>
      </c>
      <c r="B178" s="36">
        <v>17405</v>
      </c>
      <c r="C178" s="39" t="s">
        <v>362</v>
      </c>
      <c r="D178" s="39" t="s">
        <v>265</v>
      </c>
    </row>
    <row r="179" spans="1:4" ht="15.75" customHeight="1" x14ac:dyDescent="0.2">
      <c r="A179" s="36">
        <v>107154</v>
      </c>
      <c r="B179" s="36">
        <v>17405</v>
      </c>
      <c r="C179" s="39" t="s">
        <v>363</v>
      </c>
      <c r="D179" s="39" t="s">
        <v>159</v>
      </c>
    </row>
    <row r="180" spans="1:4" ht="15.75" customHeight="1" x14ac:dyDescent="0.2">
      <c r="A180" s="36">
        <v>107155</v>
      </c>
      <c r="B180" s="36">
        <v>17405</v>
      </c>
      <c r="C180" s="39" t="s">
        <v>364</v>
      </c>
      <c r="D180" s="39" t="s">
        <v>159</v>
      </c>
    </row>
    <row r="181" spans="1:4" ht="15.75" customHeight="1" x14ac:dyDescent="0.2">
      <c r="A181" s="36">
        <v>107156</v>
      </c>
      <c r="B181" s="36">
        <v>17405</v>
      </c>
      <c r="C181" s="39" t="s">
        <v>365</v>
      </c>
      <c r="D181" s="39" t="s">
        <v>159</v>
      </c>
    </row>
    <row r="182" spans="1:4" ht="15.75" customHeight="1" x14ac:dyDescent="0.2">
      <c r="A182" s="36">
        <v>107157</v>
      </c>
      <c r="B182" s="36">
        <v>17405</v>
      </c>
      <c r="C182" s="39" t="s">
        <v>366</v>
      </c>
      <c r="D182" s="39" t="s">
        <v>159</v>
      </c>
    </row>
    <row r="183" spans="1:4" ht="15.75" customHeight="1" x14ac:dyDescent="0.2">
      <c r="A183" s="36">
        <v>107158</v>
      </c>
      <c r="B183" s="36">
        <v>17405</v>
      </c>
      <c r="C183" s="39" t="s">
        <v>367</v>
      </c>
      <c r="D183" s="39" t="s">
        <v>159</v>
      </c>
    </row>
    <row r="184" spans="1:4" ht="15.75" customHeight="1" x14ac:dyDescent="0.2">
      <c r="A184" s="36">
        <v>107159</v>
      </c>
      <c r="B184" s="36">
        <v>17405</v>
      </c>
      <c r="C184" s="39" t="s">
        <v>368</v>
      </c>
      <c r="D184" s="39" t="s">
        <v>159</v>
      </c>
    </row>
    <row r="185" spans="1:4" ht="15.75" customHeight="1" x14ac:dyDescent="0.2">
      <c r="A185" s="36">
        <v>107160</v>
      </c>
      <c r="B185" s="36">
        <v>17405</v>
      </c>
      <c r="C185" s="39" t="s">
        <v>369</v>
      </c>
      <c r="D185" s="39" t="s">
        <v>159</v>
      </c>
    </row>
    <row r="186" spans="1:4" ht="15.75" customHeight="1" x14ac:dyDescent="0.2">
      <c r="A186" s="36">
        <v>107161</v>
      </c>
      <c r="B186" s="36">
        <v>17405</v>
      </c>
      <c r="C186" s="39" t="s">
        <v>370</v>
      </c>
      <c r="D186" s="39" t="s">
        <v>159</v>
      </c>
    </row>
    <row r="187" spans="1:4" ht="15.75" customHeight="1" x14ac:dyDescent="0.2">
      <c r="A187" s="36">
        <v>107162</v>
      </c>
      <c r="B187" s="36">
        <v>17405</v>
      </c>
      <c r="C187" s="39" t="s">
        <v>371</v>
      </c>
      <c r="D187" s="39" t="s">
        <v>159</v>
      </c>
    </row>
    <row r="188" spans="1:4" ht="15.75" customHeight="1" x14ac:dyDescent="0.2">
      <c r="A188" s="36">
        <v>107163</v>
      </c>
      <c r="B188" s="36">
        <v>17405</v>
      </c>
      <c r="C188" s="39" t="s">
        <v>372</v>
      </c>
      <c r="D188" s="39" t="s">
        <v>159</v>
      </c>
    </row>
    <row r="189" spans="1:4" ht="15.75" customHeight="1" x14ac:dyDescent="0.2">
      <c r="A189" s="36">
        <v>107164</v>
      </c>
      <c r="B189" s="36">
        <v>17406</v>
      </c>
      <c r="C189" s="39" t="s">
        <v>373</v>
      </c>
      <c r="D189" s="39" t="s">
        <v>374</v>
      </c>
    </row>
    <row r="190" spans="1:4" ht="15.75" customHeight="1" x14ac:dyDescent="0.2">
      <c r="A190" s="36">
        <v>107165</v>
      </c>
      <c r="B190" s="36">
        <v>17406</v>
      </c>
      <c r="C190" s="39" t="s">
        <v>375</v>
      </c>
      <c r="D190" s="39" t="s">
        <v>376</v>
      </c>
    </row>
    <row r="191" spans="1:4" ht="15.75" customHeight="1" x14ac:dyDescent="0.2">
      <c r="A191" s="36">
        <v>107166</v>
      </c>
      <c r="B191" s="36">
        <v>17406</v>
      </c>
      <c r="C191" s="39" t="s">
        <v>377</v>
      </c>
      <c r="D191" s="39" t="s">
        <v>378</v>
      </c>
    </row>
    <row r="192" spans="1:4" ht="15.75" customHeight="1" x14ac:dyDescent="0.2">
      <c r="A192" s="36">
        <v>107167</v>
      </c>
      <c r="B192" s="36">
        <v>17406</v>
      </c>
      <c r="C192" s="39" t="s">
        <v>379</v>
      </c>
      <c r="D192" s="39" t="s">
        <v>376</v>
      </c>
    </row>
    <row r="193" spans="1:4" ht="15.75" customHeight="1" x14ac:dyDescent="0.2">
      <c r="A193" s="36">
        <v>107168</v>
      </c>
      <c r="B193" s="36">
        <v>17406</v>
      </c>
      <c r="C193" s="39" t="s">
        <v>380</v>
      </c>
      <c r="D193" s="39" t="s">
        <v>378</v>
      </c>
    </row>
    <row r="194" spans="1:4" ht="15.75" customHeight="1" x14ac:dyDescent="0.2">
      <c r="A194" s="36">
        <v>107170</v>
      </c>
      <c r="B194" s="36">
        <v>17408</v>
      </c>
      <c r="C194" s="39" t="s">
        <v>381</v>
      </c>
      <c r="D194" s="39" t="s">
        <v>265</v>
      </c>
    </row>
    <row r="195" spans="1:4" ht="15.75" customHeight="1" x14ac:dyDescent="0.2">
      <c r="A195" s="36">
        <v>107171</v>
      </c>
      <c r="B195" s="36">
        <v>17408</v>
      </c>
      <c r="C195" s="39" t="s">
        <v>382</v>
      </c>
      <c r="D195" s="39" t="s">
        <v>265</v>
      </c>
    </row>
    <row r="196" spans="1:4" ht="15.75" customHeight="1" x14ac:dyDescent="0.2">
      <c r="A196" s="36">
        <v>107172</v>
      </c>
      <c r="B196" s="36">
        <v>17409</v>
      </c>
      <c r="C196" s="39" t="s">
        <v>383</v>
      </c>
      <c r="D196" s="39" t="s">
        <v>307</v>
      </c>
    </row>
    <row r="197" spans="1:4" ht="15.75" customHeight="1" x14ac:dyDescent="0.2">
      <c r="A197" s="36">
        <v>107173</v>
      </c>
      <c r="B197" s="36">
        <v>17409</v>
      </c>
      <c r="C197" s="39" t="s">
        <v>384</v>
      </c>
      <c r="D197" s="39" t="s">
        <v>170</v>
      </c>
    </row>
    <row r="198" spans="1:4" ht="15.75" customHeight="1" x14ac:dyDescent="0.2">
      <c r="A198" s="36">
        <v>107174</v>
      </c>
      <c r="B198" s="36">
        <v>17409</v>
      </c>
      <c r="C198" s="39" t="s">
        <v>385</v>
      </c>
      <c r="D198" s="39" t="s">
        <v>193</v>
      </c>
    </row>
    <row r="199" spans="1:4" ht="15.75" customHeight="1" x14ac:dyDescent="0.2">
      <c r="A199" s="36">
        <v>107182</v>
      </c>
      <c r="B199" s="36">
        <v>17412</v>
      </c>
      <c r="C199" s="39" t="s">
        <v>157</v>
      </c>
      <c r="D199" s="39" t="s">
        <v>386</v>
      </c>
    </row>
    <row r="200" spans="1:4" ht="15.75" customHeight="1" x14ac:dyDescent="0.2">
      <c r="A200" s="36">
        <v>107184</v>
      </c>
      <c r="B200" s="36">
        <v>17415</v>
      </c>
      <c r="C200" s="39" t="s">
        <v>387</v>
      </c>
      <c r="D200" s="39" t="s">
        <v>157</v>
      </c>
    </row>
    <row r="201" spans="1:4" ht="15.75" customHeight="1" x14ac:dyDescent="0.2">
      <c r="A201" s="36">
        <v>107185</v>
      </c>
      <c r="B201" s="36">
        <v>17416</v>
      </c>
      <c r="C201" s="39" t="s">
        <v>388</v>
      </c>
      <c r="D201" s="39" t="s">
        <v>157</v>
      </c>
    </row>
    <row r="202" spans="1:4" ht="15.75" customHeight="1" x14ac:dyDescent="0.2">
      <c r="A202" s="36">
        <v>107186</v>
      </c>
      <c r="B202" s="36">
        <v>17417</v>
      </c>
      <c r="C202" s="39" t="s">
        <v>173</v>
      </c>
      <c r="D202" s="39" t="s">
        <v>389</v>
      </c>
    </row>
    <row r="203" spans="1:4" ht="15.75" customHeight="1" x14ac:dyDescent="0.2">
      <c r="A203" s="36">
        <v>107187</v>
      </c>
      <c r="B203" s="36">
        <v>17417</v>
      </c>
      <c r="C203" s="39" t="s">
        <v>175</v>
      </c>
      <c r="D203" s="39" t="s">
        <v>390</v>
      </c>
    </row>
    <row r="204" spans="1:4" ht="15.75" customHeight="1" x14ac:dyDescent="0.2">
      <c r="A204" s="36">
        <v>107189</v>
      </c>
      <c r="B204" s="36">
        <v>17419</v>
      </c>
      <c r="C204" s="39" t="s">
        <v>391</v>
      </c>
      <c r="D204" s="39" t="s">
        <v>392</v>
      </c>
    </row>
    <row r="205" spans="1:4" ht="15.75" customHeight="1" x14ac:dyDescent="0.2">
      <c r="A205" s="36">
        <v>107190</v>
      </c>
      <c r="B205" s="36">
        <v>17419</v>
      </c>
      <c r="C205" s="39" t="s">
        <v>393</v>
      </c>
      <c r="D205" s="39" t="s">
        <v>394</v>
      </c>
    </row>
    <row r="206" spans="1:4" ht="15.75" customHeight="1" x14ac:dyDescent="0.2">
      <c r="A206" s="36">
        <v>107193</v>
      </c>
      <c r="B206" s="36">
        <v>17421</v>
      </c>
      <c r="C206" s="39" t="s">
        <v>395</v>
      </c>
      <c r="D206" s="39" t="s">
        <v>396</v>
      </c>
    </row>
    <row r="207" spans="1:4" ht="15.75" customHeight="1" x14ac:dyDescent="0.2">
      <c r="A207" s="36">
        <v>107194</v>
      </c>
      <c r="B207" s="36">
        <v>17421</v>
      </c>
      <c r="C207" s="39" t="s">
        <v>397</v>
      </c>
      <c r="D207" s="39" t="s">
        <v>398</v>
      </c>
    </row>
    <row r="208" spans="1:4" ht="15.75" customHeight="1" x14ac:dyDescent="0.2">
      <c r="A208" s="36">
        <v>107195</v>
      </c>
      <c r="B208" s="36">
        <v>17421</v>
      </c>
      <c r="C208" s="39" t="s">
        <v>399</v>
      </c>
      <c r="D208" s="39" t="s">
        <v>400</v>
      </c>
    </row>
    <row r="209" spans="1:4" ht="15.75" customHeight="1" x14ac:dyDescent="0.2">
      <c r="A209" s="36">
        <v>107196</v>
      </c>
      <c r="B209" s="36">
        <v>17421</v>
      </c>
      <c r="C209" s="39" t="s">
        <v>401</v>
      </c>
      <c r="D209" s="39" t="s">
        <v>402</v>
      </c>
    </row>
    <row r="210" spans="1:4" ht="15.75" customHeight="1" x14ac:dyDescent="0.2">
      <c r="A210" s="36">
        <v>107197</v>
      </c>
      <c r="B210" s="36">
        <v>17421</v>
      </c>
      <c r="C210" s="39" t="s">
        <v>403</v>
      </c>
      <c r="D210" s="39" t="s">
        <v>404</v>
      </c>
    </row>
    <row r="211" spans="1:4" ht="15.75" customHeight="1" x14ac:dyDescent="0.2">
      <c r="A211" s="36">
        <v>107198</v>
      </c>
      <c r="B211" s="36">
        <v>17421</v>
      </c>
      <c r="C211" s="39" t="s">
        <v>405</v>
      </c>
      <c r="D211" s="39" t="s">
        <v>406</v>
      </c>
    </row>
    <row r="212" spans="1:4" ht="15.75" customHeight="1" x14ac:dyDescent="0.2">
      <c r="A212" s="36">
        <v>107199</v>
      </c>
      <c r="B212" s="36">
        <v>17421</v>
      </c>
      <c r="C212" s="39" t="s">
        <v>407</v>
      </c>
      <c r="D212" s="39" t="s">
        <v>408</v>
      </c>
    </row>
    <row r="213" spans="1:4" ht="15.75" customHeight="1" x14ac:dyDescent="0.2">
      <c r="A213" s="36">
        <v>106584</v>
      </c>
      <c r="B213" s="36">
        <v>17311</v>
      </c>
      <c r="C213" s="39" t="s">
        <v>156</v>
      </c>
      <c r="D213" s="39" t="s">
        <v>157</v>
      </c>
    </row>
    <row r="214" spans="1:4" ht="15.75" customHeight="1" x14ac:dyDescent="0.2">
      <c r="A214" s="36">
        <v>106585</v>
      </c>
      <c r="B214" s="36">
        <v>17311</v>
      </c>
      <c r="C214" s="39" t="s">
        <v>158</v>
      </c>
      <c r="D214" s="39" t="s">
        <v>159</v>
      </c>
    </row>
    <row r="215" spans="1:4" ht="15.75" customHeight="1" x14ac:dyDescent="0.2">
      <c r="A215" s="36">
        <v>106588</v>
      </c>
      <c r="B215" s="36">
        <v>17313</v>
      </c>
      <c r="C215" s="39" t="s">
        <v>156</v>
      </c>
      <c r="D215" s="39" t="s">
        <v>157</v>
      </c>
    </row>
    <row r="216" spans="1:4" ht="15.75" customHeight="1" x14ac:dyDescent="0.2">
      <c r="A216" s="36">
        <v>106589</v>
      </c>
      <c r="B216" s="36">
        <v>17313</v>
      </c>
      <c r="C216" s="39" t="s">
        <v>158</v>
      </c>
      <c r="D216" s="39" t="s">
        <v>159</v>
      </c>
    </row>
    <row r="217" spans="1:4" ht="15.75" customHeight="1" x14ac:dyDescent="0.2">
      <c r="A217" s="36">
        <v>106590</v>
      </c>
      <c r="B217" s="36">
        <v>17314</v>
      </c>
      <c r="C217" s="39" t="s">
        <v>409</v>
      </c>
      <c r="D217" s="39" t="s">
        <v>307</v>
      </c>
    </row>
    <row r="218" spans="1:4" ht="15.75" customHeight="1" x14ac:dyDescent="0.2">
      <c r="A218" s="36">
        <v>106591</v>
      </c>
      <c r="B218" s="36">
        <v>17314</v>
      </c>
      <c r="C218" s="39" t="s">
        <v>410</v>
      </c>
      <c r="D218" s="39" t="s">
        <v>166</v>
      </c>
    </row>
    <row r="219" spans="1:4" ht="15.75" customHeight="1" x14ac:dyDescent="0.2">
      <c r="A219" s="36">
        <v>106592</v>
      </c>
      <c r="B219" s="36">
        <v>17314</v>
      </c>
      <c r="C219" s="39" t="s">
        <v>411</v>
      </c>
      <c r="D219" s="39" t="s">
        <v>412</v>
      </c>
    </row>
    <row r="220" spans="1:4" ht="15.75" customHeight="1" x14ac:dyDescent="0.2">
      <c r="A220" s="36">
        <v>106593</v>
      </c>
      <c r="B220" s="36">
        <v>17314</v>
      </c>
      <c r="C220" s="39" t="s">
        <v>413</v>
      </c>
      <c r="D220" s="39" t="s">
        <v>193</v>
      </c>
    </row>
    <row r="221" spans="1:4" ht="15.75" customHeight="1" x14ac:dyDescent="0.2">
      <c r="A221" s="36">
        <v>106594</v>
      </c>
      <c r="B221" s="36">
        <v>17314</v>
      </c>
      <c r="C221" s="39" t="s">
        <v>414</v>
      </c>
      <c r="D221" s="39" t="s">
        <v>193</v>
      </c>
    </row>
    <row r="222" spans="1:4" ht="15.75" customHeight="1" x14ac:dyDescent="0.2">
      <c r="A222" s="36">
        <v>106595</v>
      </c>
      <c r="B222" s="36">
        <v>17314</v>
      </c>
      <c r="C222" s="39" t="s">
        <v>415</v>
      </c>
      <c r="D222" s="39" t="s">
        <v>193</v>
      </c>
    </row>
    <row r="223" spans="1:4" ht="15.75" customHeight="1" x14ac:dyDescent="0.2">
      <c r="A223" s="36">
        <v>106596</v>
      </c>
      <c r="B223" s="36">
        <v>17314</v>
      </c>
      <c r="C223" s="39" t="s">
        <v>416</v>
      </c>
      <c r="D223" s="39" t="s">
        <v>163</v>
      </c>
    </row>
    <row r="224" spans="1:4" ht="15.75" customHeight="1" x14ac:dyDescent="0.2">
      <c r="A224" s="36">
        <v>106597</v>
      </c>
      <c r="B224" s="36">
        <v>17314</v>
      </c>
      <c r="C224" s="39" t="s">
        <v>417</v>
      </c>
      <c r="D224" s="39" t="s">
        <v>163</v>
      </c>
    </row>
    <row r="225" spans="1:4" ht="15.75" customHeight="1" x14ac:dyDescent="0.2">
      <c r="A225" s="36">
        <v>106598</v>
      </c>
      <c r="B225" s="36">
        <v>17314</v>
      </c>
      <c r="C225" s="39" t="s">
        <v>418</v>
      </c>
      <c r="D225" s="39" t="s">
        <v>314</v>
      </c>
    </row>
    <row r="226" spans="1:4" ht="15.75" customHeight="1" x14ac:dyDescent="0.2">
      <c r="A226" s="36">
        <v>106599</v>
      </c>
      <c r="B226" s="36">
        <v>17314</v>
      </c>
      <c r="C226" s="39" t="s">
        <v>419</v>
      </c>
      <c r="D226" s="39" t="s">
        <v>314</v>
      </c>
    </row>
    <row r="227" spans="1:4" ht="15.75" customHeight="1" x14ac:dyDescent="0.2">
      <c r="A227" s="36">
        <v>106600</v>
      </c>
      <c r="B227" s="36">
        <v>17314</v>
      </c>
      <c r="C227" s="39" t="s">
        <v>420</v>
      </c>
      <c r="D227" s="39" t="s">
        <v>307</v>
      </c>
    </row>
    <row r="228" spans="1:4" ht="15.75" customHeight="1" x14ac:dyDescent="0.2">
      <c r="A228" s="36">
        <v>106601</v>
      </c>
      <c r="B228" s="36">
        <v>17314</v>
      </c>
      <c r="C228" s="39" t="s">
        <v>421</v>
      </c>
      <c r="D228" s="39" t="s">
        <v>422</v>
      </c>
    </row>
    <row r="229" spans="1:4" ht="15.75" customHeight="1" x14ac:dyDescent="0.2">
      <c r="A229" s="36">
        <v>106602</v>
      </c>
      <c r="B229" s="36">
        <v>17314</v>
      </c>
      <c r="C229" s="39" t="s">
        <v>423</v>
      </c>
      <c r="D229" s="39" t="s">
        <v>424</v>
      </c>
    </row>
    <row r="230" spans="1:4" ht="15.75" customHeight="1" x14ac:dyDescent="0.2">
      <c r="A230" s="36">
        <v>106603</v>
      </c>
      <c r="B230" s="36">
        <v>17314</v>
      </c>
      <c r="C230" s="39" t="s">
        <v>425</v>
      </c>
      <c r="D230" s="39" t="s">
        <v>426</v>
      </c>
    </row>
    <row r="231" spans="1:4" ht="15.75" customHeight="1" x14ac:dyDescent="0.2">
      <c r="A231" s="36">
        <v>106604</v>
      </c>
      <c r="B231" s="36">
        <v>17314</v>
      </c>
      <c r="C231" s="39" t="s">
        <v>427</v>
      </c>
      <c r="D231" s="39" t="s">
        <v>428</v>
      </c>
    </row>
    <row r="232" spans="1:4" ht="15.75" customHeight="1" x14ac:dyDescent="0.2">
      <c r="A232" s="36">
        <v>106605</v>
      </c>
      <c r="B232" s="36">
        <v>17314</v>
      </c>
      <c r="C232" s="39" t="s">
        <v>429</v>
      </c>
      <c r="D232" s="39" t="s">
        <v>430</v>
      </c>
    </row>
    <row r="233" spans="1:4" ht="15.75" customHeight="1" x14ac:dyDescent="0.2">
      <c r="A233" s="36">
        <v>106606</v>
      </c>
      <c r="B233" s="36">
        <v>17314</v>
      </c>
      <c r="C233" s="39" t="s">
        <v>431</v>
      </c>
      <c r="D233" s="39" t="s">
        <v>432</v>
      </c>
    </row>
    <row r="234" spans="1:4" ht="15.75" customHeight="1" x14ac:dyDescent="0.2">
      <c r="A234" s="36">
        <v>106615</v>
      </c>
      <c r="B234" s="36">
        <v>17316</v>
      </c>
      <c r="C234" s="39" t="s">
        <v>156</v>
      </c>
      <c r="D234" s="39" t="s">
        <v>157</v>
      </c>
    </row>
    <row r="235" spans="1:4" ht="15.75" customHeight="1" x14ac:dyDescent="0.2">
      <c r="A235" s="36">
        <v>106616</v>
      </c>
      <c r="B235" s="36">
        <v>17316</v>
      </c>
      <c r="C235" s="39" t="s">
        <v>158</v>
      </c>
      <c r="D235" s="39" t="s">
        <v>159</v>
      </c>
    </row>
    <row r="236" spans="1:4" ht="15.75" customHeight="1" x14ac:dyDescent="0.2">
      <c r="A236" s="36">
        <v>106621</v>
      </c>
      <c r="B236" s="36">
        <v>17319</v>
      </c>
      <c r="C236" s="39" t="s">
        <v>433</v>
      </c>
      <c r="D236" s="39" t="s">
        <v>434</v>
      </c>
    </row>
    <row r="237" spans="1:4" ht="15.75" customHeight="1" x14ac:dyDescent="0.2">
      <c r="A237" s="36">
        <v>106622</v>
      </c>
      <c r="B237" s="36">
        <v>17319</v>
      </c>
      <c r="C237" s="39" t="s">
        <v>435</v>
      </c>
      <c r="D237" s="39" t="s">
        <v>436</v>
      </c>
    </row>
    <row r="238" spans="1:4" ht="15.75" customHeight="1" x14ac:dyDescent="0.2">
      <c r="A238" s="36">
        <v>106623</v>
      </c>
      <c r="B238" s="36">
        <v>17319</v>
      </c>
      <c r="C238" s="39" t="s">
        <v>437</v>
      </c>
      <c r="D238" s="39" t="s">
        <v>438</v>
      </c>
    </row>
    <row r="239" spans="1:4" ht="15.75" customHeight="1" x14ac:dyDescent="0.2">
      <c r="A239" s="36">
        <v>106624</v>
      </c>
      <c r="B239" s="36">
        <v>17319</v>
      </c>
      <c r="C239" s="39" t="s">
        <v>439</v>
      </c>
      <c r="D239" s="39" t="s">
        <v>440</v>
      </c>
    </row>
    <row r="240" spans="1:4" ht="15.75" customHeight="1" x14ac:dyDescent="0.2">
      <c r="A240" s="36">
        <v>106625</v>
      </c>
      <c r="B240" s="36">
        <v>17319</v>
      </c>
      <c r="C240" s="39" t="s">
        <v>441</v>
      </c>
      <c r="D240" s="39" t="s">
        <v>442</v>
      </c>
    </row>
    <row r="241" spans="1:4" ht="15.75" customHeight="1" x14ac:dyDescent="0.2">
      <c r="A241" s="36">
        <v>106634</v>
      </c>
      <c r="B241" s="36">
        <v>17324</v>
      </c>
      <c r="C241" s="39" t="s">
        <v>443</v>
      </c>
      <c r="D241" s="39" t="s">
        <v>265</v>
      </c>
    </row>
    <row r="242" spans="1:4" ht="15.75" customHeight="1" x14ac:dyDescent="0.2">
      <c r="A242" s="36">
        <v>106635</v>
      </c>
      <c r="B242" s="36">
        <v>17324</v>
      </c>
      <c r="C242" s="39" t="s">
        <v>444</v>
      </c>
      <c r="D242" s="39" t="s">
        <v>159</v>
      </c>
    </row>
    <row r="243" spans="1:4" ht="15.75" customHeight="1" x14ac:dyDescent="0.2">
      <c r="A243" s="36">
        <v>106636</v>
      </c>
      <c r="B243" s="36">
        <v>17324</v>
      </c>
      <c r="C243" s="39" t="s">
        <v>445</v>
      </c>
      <c r="D243" s="39" t="s">
        <v>265</v>
      </c>
    </row>
    <row r="244" spans="1:4" ht="15.75" customHeight="1" x14ac:dyDescent="0.2">
      <c r="A244" s="36">
        <v>106637</v>
      </c>
      <c r="B244" s="36">
        <v>17324</v>
      </c>
      <c r="C244" s="39" t="s">
        <v>446</v>
      </c>
      <c r="D244" s="39" t="s">
        <v>265</v>
      </c>
    </row>
    <row r="245" spans="1:4" ht="15.75" customHeight="1" x14ac:dyDescent="0.2">
      <c r="A245" s="36">
        <v>106638</v>
      </c>
      <c r="B245" s="36">
        <v>17324</v>
      </c>
      <c r="C245" s="39" t="s">
        <v>447</v>
      </c>
      <c r="D245" s="39" t="s">
        <v>159</v>
      </c>
    </row>
    <row r="246" spans="1:4" ht="15.75" customHeight="1" x14ac:dyDescent="0.2">
      <c r="A246" s="36">
        <v>106639</v>
      </c>
      <c r="B246" s="36">
        <v>17324</v>
      </c>
      <c r="C246" s="39" t="s">
        <v>448</v>
      </c>
      <c r="D246" s="39" t="s">
        <v>159</v>
      </c>
    </row>
    <row r="247" spans="1:4" ht="15.75" customHeight="1" x14ac:dyDescent="0.2">
      <c r="A247" s="36">
        <v>106640</v>
      </c>
      <c r="B247" s="36">
        <v>17324</v>
      </c>
      <c r="C247" s="39" t="s">
        <v>449</v>
      </c>
      <c r="D247" s="39" t="s">
        <v>265</v>
      </c>
    </row>
    <row r="248" spans="1:4" ht="15.75" customHeight="1" x14ac:dyDescent="0.2">
      <c r="A248" s="36">
        <v>106641</v>
      </c>
      <c r="B248" s="36">
        <v>17325</v>
      </c>
      <c r="C248" s="39" t="s">
        <v>450</v>
      </c>
      <c r="D248" s="39" t="s">
        <v>451</v>
      </c>
    </row>
    <row r="249" spans="1:4" ht="15.75" customHeight="1" x14ac:dyDescent="0.2">
      <c r="A249" s="36">
        <v>106642</v>
      </c>
      <c r="B249" s="36">
        <v>17325</v>
      </c>
      <c r="C249" s="39" t="s">
        <v>452</v>
      </c>
      <c r="D249" s="39" t="s">
        <v>453</v>
      </c>
    </row>
    <row r="250" spans="1:4" ht="15.75" customHeight="1" x14ac:dyDescent="0.2">
      <c r="A250" s="36">
        <v>106643</v>
      </c>
      <c r="B250" s="36">
        <v>17325</v>
      </c>
      <c r="C250" s="39" t="s">
        <v>454</v>
      </c>
      <c r="D250" s="39" t="s">
        <v>455</v>
      </c>
    </row>
    <row r="251" spans="1:4" ht="15.75" customHeight="1" x14ac:dyDescent="0.2">
      <c r="A251" s="36">
        <v>106644</v>
      </c>
      <c r="B251" s="36">
        <v>17325</v>
      </c>
      <c r="C251" s="39" t="s">
        <v>456</v>
      </c>
      <c r="D251" s="39" t="s">
        <v>457</v>
      </c>
    </row>
    <row r="252" spans="1:4" ht="15.75" customHeight="1" x14ac:dyDescent="0.2">
      <c r="A252" s="36">
        <v>106647</v>
      </c>
      <c r="B252" s="36">
        <v>17327</v>
      </c>
      <c r="C252" s="39" t="s">
        <v>458</v>
      </c>
      <c r="D252" s="39" t="s">
        <v>265</v>
      </c>
    </row>
    <row r="253" spans="1:4" ht="15.75" customHeight="1" x14ac:dyDescent="0.2">
      <c r="A253" s="36">
        <v>106648</v>
      </c>
      <c r="B253" s="36">
        <v>17327</v>
      </c>
      <c r="C253" s="39" t="s">
        <v>459</v>
      </c>
      <c r="D253" s="39" t="s">
        <v>159</v>
      </c>
    </row>
    <row r="254" spans="1:4" ht="15.75" customHeight="1" x14ac:dyDescent="0.2">
      <c r="A254" s="36">
        <v>106649</v>
      </c>
      <c r="B254" s="36">
        <v>17328</v>
      </c>
      <c r="C254" s="39" t="s">
        <v>157</v>
      </c>
      <c r="D254" s="39" t="s">
        <v>460</v>
      </c>
    </row>
    <row r="255" spans="1:4" ht="15.75" customHeight="1" x14ac:dyDescent="0.2">
      <c r="A255" s="36">
        <v>106655</v>
      </c>
      <c r="B255" s="36">
        <v>17330</v>
      </c>
      <c r="C255" s="39" t="s">
        <v>461</v>
      </c>
      <c r="D255" s="39" t="s">
        <v>163</v>
      </c>
    </row>
    <row r="256" spans="1:4" ht="15.75" customHeight="1" x14ac:dyDescent="0.2">
      <c r="A256" s="36">
        <v>106656</v>
      </c>
      <c r="B256" s="36">
        <v>17330</v>
      </c>
      <c r="C256" s="39" t="s">
        <v>462</v>
      </c>
      <c r="D256" s="39" t="s">
        <v>163</v>
      </c>
    </row>
    <row r="257" spans="1:4" ht="15.75" customHeight="1" x14ac:dyDescent="0.2">
      <c r="A257" s="36">
        <v>106657</v>
      </c>
      <c r="B257" s="36">
        <v>17330</v>
      </c>
      <c r="C257" s="39" t="s">
        <v>463</v>
      </c>
      <c r="D257" s="39" t="s">
        <v>170</v>
      </c>
    </row>
    <row r="258" spans="1:4" ht="15.75" customHeight="1" x14ac:dyDescent="0.2">
      <c r="A258" s="36">
        <v>106658</v>
      </c>
      <c r="B258" s="36">
        <v>17330</v>
      </c>
      <c r="C258" s="39" t="s">
        <v>464</v>
      </c>
      <c r="D258" s="39" t="s">
        <v>314</v>
      </c>
    </row>
    <row r="259" spans="1:4" ht="15.75" customHeight="1" x14ac:dyDescent="0.2">
      <c r="A259" s="36">
        <v>106659</v>
      </c>
      <c r="B259" s="36">
        <v>17330</v>
      </c>
      <c r="C259" s="39" t="s">
        <v>465</v>
      </c>
      <c r="D259" s="39" t="s">
        <v>196</v>
      </c>
    </row>
    <row r="260" spans="1:4" ht="15.75" customHeight="1" x14ac:dyDescent="0.2">
      <c r="A260" s="36">
        <v>106660</v>
      </c>
      <c r="B260" s="36">
        <v>17330</v>
      </c>
      <c r="C260" s="39" t="s">
        <v>466</v>
      </c>
      <c r="D260" s="39" t="s">
        <v>467</v>
      </c>
    </row>
    <row r="261" spans="1:4" ht="15.75" customHeight="1" x14ac:dyDescent="0.2">
      <c r="A261" s="36">
        <v>106661</v>
      </c>
      <c r="B261" s="36">
        <v>17330</v>
      </c>
      <c r="C261" s="39" t="s">
        <v>468</v>
      </c>
      <c r="D261" s="39" t="s">
        <v>469</v>
      </c>
    </row>
    <row r="262" spans="1:4" ht="15.75" customHeight="1" x14ac:dyDescent="0.2">
      <c r="A262" s="36">
        <v>106662</v>
      </c>
      <c r="B262" s="36">
        <v>17330</v>
      </c>
      <c r="C262" s="39" t="s">
        <v>470</v>
      </c>
      <c r="D262" s="39" t="s">
        <v>471</v>
      </c>
    </row>
    <row r="263" spans="1:4" ht="15.75" customHeight="1" x14ac:dyDescent="0.2">
      <c r="A263" s="36">
        <v>106663</v>
      </c>
      <c r="B263" s="36">
        <v>17330</v>
      </c>
      <c r="C263" s="39" t="s">
        <v>472</v>
      </c>
      <c r="D263" s="39" t="s">
        <v>473</v>
      </c>
    </row>
    <row r="264" spans="1:4" ht="15.75" customHeight="1" x14ac:dyDescent="0.2">
      <c r="A264" s="36">
        <v>106664</v>
      </c>
      <c r="B264" s="36">
        <v>17330</v>
      </c>
      <c r="C264" s="39" t="s">
        <v>474</v>
      </c>
      <c r="D264" s="39" t="s">
        <v>475</v>
      </c>
    </row>
    <row r="265" spans="1:4" ht="15.75" customHeight="1" x14ac:dyDescent="0.2">
      <c r="A265" s="36">
        <v>106666</v>
      </c>
      <c r="B265" s="36">
        <v>17330</v>
      </c>
      <c r="C265" s="39" t="s">
        <v>476</v>
      </c>
      <c r="D265" s="39" t="s">
        <v>477</v>
      </c>
    </row>
    <row r="266" spans="1:4" ht="15.75" customHeight="1" x14ac:dyDescent="0.2">
      <c r="A266" s="36">
        <v>106668</v>
      </c>
      <c r="B266" s="36">
        <v>17331</v>
      </c>
      <c r="C266" s="39" t="s">
        <v>478</v>
      </c>
      <c r="D266" s="39" t="s">
        <v>479</v>
      </c>
    </row>
    <row r="267" spans="1:4" ht="15.75" customHeight="1" x14ac:dyDescent="0.2">
      <c r="A267" s="36">
        <v>106669</v>
      </c>
      <c r="B267" s="36">
        <v>17331</v>
      </c>
      <c r="C267" s="39" t="s">
        <v>480</v>
      </c>
      <c r="D267" s="39" t="s">
        <v>481</v>
      </c>
    </row>
    <row r="268" spans="1:4" ht="15.75" customHeight="1" x14ac:dyDescent="0.2">
      <c r="A268" s="36">
        <v>106670</v>
      </c>
      <c r="B268" s="36">
        <v>17331</v>
      </c>
      <c r="C268" s="39" t="s">
        <v>482</v>
      </c>
      <c r="D268" s="39" t="s">
        <v>483</v>
      </c>
    </row>
    <row r="269" spans="1:4" ht="15.75" customHeight="1" x14ac:dyDescent="0.2">
      <c r="A269" s="36">
        <v>106671</v>
      </c>
      <c r="B269" s="36">
        <v>17331</v>
      </c>
      <c r="C269" s="39" t="s">
        <v>484</v>
      </c>
      <c r="D269" s="39" t="s">
        <v>485</v>
      </c>
    </row>
    <row r="270" spans="1:4" ht="15.75" customHeight="1" x14ac:dyDescent="0.2">
      <c r="A270" s="36">
        <v>106672</v>
      </c>
      <c r="B270" s="36">
        <v>17331</v>
      </c>
      <c r="C270" s="39" t="s">
        <v>486</v>
      </c>
      <c r="D270" s="39" t="s">
        <v>487</v>
      </c>
    </row>
    <row r="271" spans="1:4" ht="15.75" customHeight="1" x14ac:dyDescent="0.2">
      <c r="A271" s="36">
        <v>106673</v>
      </c>
      <c r="B271" s="36">
        <v>17331</v>
      </c>
      <c r="C271" s="39" t="s">
        <v>488</v>
      </c>
      <c r="D271" s="39" t="s">
        <v>489</v>
      </c>
    </row>
    <row r="272" spans="1:4" ht="15.75" customHeight="1" x14ac:dyDescent="0.2">
      <c r="A272" s="36">
        <v>106674</v>
      </c>
      <c r="B272" s="36">
        <v>17331</v>
      </c>
      <c r="C272" s="39" t="s">
        <v>490</v>
      </c>
      <c r="D272" s="39" t="s">
        <v>491</v>
      </c>
    </row>
    <row r="273" spans="1:4" ht="15.75" customHeight="1" x14ac:dyDescent="0.2">
      <c r="A273" s="36">
        <v>106712</v>
      </c>
      <c r="B273" s="36">
        <v>17339</v>
      </c>
      <c r="C273" s="39" t="s">
        <v>492</v>
      </c>
      <c r="D273" s="39" t="s">
        <v>493</v>
      </c>
    </row>
    <row r="274" spans="1:4" ht="15.75" customHeight="1" x14ac:dyDescent="0.2">
      <c r="A274" s="36">
        <v>106713</v>
      </c>
      <c r="B274" s="36">
        <v>17339</v>
      </c>
      <c r="C274" s="39" t="s">
        <v>494</v>
      </c>
      <c r="D274" s="39" t="s">
        <v>495</v>
      </c>
    </row>
    <row r="275" spans="1:4" ht="15.75" customHeight="1" x14ac:dyDescent="0.2">
      <c r="A275" s="36">
        <v>106714</v>
      </c>
      <c r="B275" s="36">
        <v>17340</v>
      </c>
      <c r="C275" s="39" t="s">
        <v>496</v>
      </c>
      <c r="D275" s="39" t="s">
        <v>497</v>
      </c>
    </row>
    <row r="276" spans="1:4" ht="15.75" customHeight="1" x14ac:dyDescent="0.2">
      <c r="A276" s="36">
        <v>106715</v>
      </c>
      <c r="B276" s="36">
        <v>17340</v>
      </c>
      <c r="C276" s="39" t="s">
        <v>498</v>
      </c>
      <c r="D276" s="39" t="s">
        <v>193</v>
      </c>
    </row>
    <row r="277" spans="1:4" ht="15.75" customHeight="1" x14ac:dyDescent="0.2">
      <c r="A277" s="36">
        <v>106716</v>
      </c>
      <c r="B277" s="36">
        <v>17340</v>
      </c>
      <c r="C277" s="39" t="s">
        <v>499</v>
      </c>
      <c r="D277" s="39" t="s">
        <v>500</v>
      </c>
    </row>
    <row r="278" spans="1:4" ht="15.75" customHeight="1" x14ac:dyDescent="0.2">
      <c r="A278" s="36">
        <v>106717</v>
      </c>
      <c r="B278" s="36">
        <v>17341</v>
      </c>
      <c r="C278" s="39" t="s">
        <v>501</v>
      </c>
      <c r="D278" s="39" t="s">
        <v>265</v>
      </c>
    </row>
    <row r="279" spans="1:4" ht="15.75" customHeight="1" x14ac:dyDescent="0.2">
      <c r="A279" s="36">
        <v>106718</v>
      </c>
      <c r="B279" s="36">
        <v>17341</v>
      </c>
      <c r="C279" s="39" t="s">
        <v>502</v>
      </c>
      <c r="D279" s="39" t="s">
        <v>265</v>
      </c>
    </row>
    <row r="280" spans="1:4" ht="15.75" customHeight="1" x14ac:dyDescent="0.2">
      <c r="A280" s="36">
        <v>106723</v>
      </c>
      <c r="B280" s="36">
        <v>17346</v>
      </c>
      <c r="C280" s="39" t="s">
        <v>503</v>
      </c>
      <c r="D280" s="39" t="s">
        <v>265</v>
      </c>
    </row>
    <row r="281" spans="1:4" ht="15.75" customHeight="1" x14ac:dyDescent="0.2">
      <c r="A281" s="36">
        <v>106724</v>
      </c>
      <c r="B281" s="36">
        <v>17346</v>
      </c>
      <c r="C281" s="39" t="s">
        <v>504</v>
      </c>
      <c r="D281" s="39" t="s">
        <v>265</v>
      </c>
    </row>
    <row r="282" spans="1:4" ht="15.75" customHeight="1" x14ac:dyDescent="0.2">
      <c r="A282" s="36">
        <v>106725</v>
      </c>
      <c r="B282" s="36">
        <v>17346</v>
      </c>
      <c r="C282" s="39" t="s">
        <v>505</v>
      </c>
      <c r="D282" s="39" t="s">
        <v>265</v>
      </c>
    </row>
    <row r="283" spans="1:4" ht="15.75" customHeight="1" x14ac:dyDescent="0.2">
      <c r="A283" s="36">
        <v>106726</v>
      </c>
      <c r="B283" s="36">
        <v>17346</v>
      </c>
      <c r="C283" s="39" t="s">
        <v>506</v>
      </c>
      <c r="D283" s="39" t="s">
        <v>265</v>
      </c>
    </row>
    <row r="284" spans="1:4" ht="15.75" customHeight="1" x14ac:dyDescent="0.2">
      <c r="A284" s="36">
        <v>106728</v>
      </c>
      <c r="B284" s="36">
        <v>17348</v>
      </c>
      <c r="C284" s="39" t="s">
        <v>156</v>
      </c>
      <c r="D284" s="39" t="s">
        <v>225</v>
      </c>
    </row>
    <row r="285" spans="1:4" ht="15.75" customHeight="1" x14ac:dyDescent="0.2">
      <c r="A285" s="36">
        <v>106729</v>
      </c>
      <c r="B285" s="36">
        <v>17349</v>
      </c>
      <c r="C285" s="39" t="s">
        <v>156</v>
      </c>
      <c r="D285" s="39" t="s">
        <v>225</v>
      </c>
    </row>
    <row r="286" spans="1:4" ht="15.75" customHeight="1" x14ac:dyDescent="0.2">
      <c r="A286" s="36">
        <v>106730</v>
      </c>
      <c r="B286" s="36">
        <v>17350</v>
      </c>
      <c r="C286" s="39" t="s">
        <v>156</v>
      </c>
      <c r="D286" s="39" t="s">
        <v>225</v>
      </c>
    </row>
    <row r="287" spans="1:4" ht="15.75" customHeight="1" x14ac:dyDescent="0.2">
      <c r="A287" s="36">
        <v>106731</v>
      </c>
      <c r="B287" s="36">
        <v>17351</v>
      </c>
      <c r="C287" s="39" t="s">
        <v>156</v>
      </c>
      <c r="D287" s="39" t="s">
        <v>225</v>
      </c>
    </row>
    <row r="288" spans="1:4" ht="15.75" customHeight="1" x14ac:dyDescent="0.2">
      <c r="A288" s="36">
        <v>106734</v>
      </c>
      <c r="B288" s="36">
        <v>17354</v>
      </c>
      <c r="C288" s="39" t="s">
        <v>507</v>
      </c>
      <c r="D288" s="39" t="s">
        <v>508</v>
      </c>
    </row>
    <row r="289" spans="1:4" ht="15.75" customHeight="1" x14ac:dyDescent="0.2">
      <c r="A289" s="36">
        <v>106735</v>
      </c>
      <c r="B289" s="36">
        <v>17354</v>
      </c>
      <c r="C289" s="39" t="s">
        <v>509</v>
      </c>
      <c r="D289" s="39" t="s">
        <v>510</v>
      </c>
    </row>
    <row r="290" spans="1:4" ht="15.75" customHeight="1" x14ac:dyDescent="0.2">
      <c r="A290" s="36">
        <v>106736</v>
      </c>
      <c r="B290" s="36">
        <v>17354</v>
      </c>
      <c r="C290" s="39" t="s">
        <v>511</v>
      </c>
      <c r="D290" s="39" t="s">
        <v>512</v>
      </c>
    </row>
    <row r="291" spans="1:4" ht="15.75" customHeight="1" x14ac:dyDescent="0.2">
      <c r="A291" s="36">
        <v>106737</v>
      </c>
      <c r="B291" s="36">
        <v>17354</v>
      </c>
      <c r="C291" s="39" t="s">
        <v>513</v>
      </c>
      <c r="D291" s="39" t="s">
        <v>514</v>
      </c>
    </row>
    <row r="292" spans="1:4" ht="15.75" customHeight="1" x14ac:dyDescent="0.2">
      <c r="A292" s="36">
        <v>106742</v>
      </c>
      <c r="B292" s="36">
        <v>17356</v>
      </c>
      <c r="C292" s="39" t="s">
        <v>515</v>
      </c>
      <c r="D292" s="39" t="s">
        <v>516</v>
      </c>
    </row>
    <row r="293" spans="1:4" ht="15.75" customHeight="1" x14ac:dyDescent="0.2">
      <c r="A293" s="36">
        <v>106743</v>
      </c>
      <c r="B293" s="36">
        <v>17356</v>
      </c>
      <c r="C293" s="39" t="s">
        <v>517</v>
      </c>
      <c r="D293" s="39" t="s">
        <v>518</v>
      </c>
    </row>
    <row r="294" spans="1:4" ht="15.75" customHeight="1" x14ac:dyDescent="0.2">
      <c r="A294" s="36">
        <v>106744</v>
      </c>
      <c r="B294" s="36">
        <v>17356</v>
      </c>
      <c r="C294" s="39" t="s">
        <v>519</v>
      </c>
      <c r="D294" s="39" t="s">
        <v>520</v>
      </c>
    </row>
    <row r="295" spans="1:4" ht="15.75" customHeight="1" x14ac:dyDescent="0.2">
      <c r="A295" s="36">
        <v>106748</v>
      </c>
      <c r="B295" s="36">
        <v>17358</v>
      </c>
      <c r="C295" s="39" t="s">
        <v>521</v>
      </c>
      <c r="D295" s="39" t="s">
        <v>522</v>
      </c>
    </row>
    <row r="296" spans="1:4" ht="15.75" customHeight="1" x14ac:dyDescent="0.2">
      <c r="A296" s="36">
        <v>106749</v>
      </c>
      <c r="B296" s="36">
        <v>17358</v>
      </c>
      <c r="C296" s="39" t="s">
        <v>523</v>
      </c>
      <c r="D296" s="39" t="s">
        <v>524</v>
      </c>
    </row>
    <row r="297" spans="1:4" ht="15.75" customHeight="1" x14ac:dyDescent="0.2">
      <c r="A297" s="36">
        <v>106750</v>
      </c>
      <c r="B297" s="36">
        <v>17358</v>
      </c>
      <c r="C297" s="39" t="s">
        <v>525</v>
      </c>
      <c r="D297" s="39" t="s">
        <v>526</v>
      </c>
    </row>
    <row r="298" spans="1:4" ht="15.75" customHeight="1" x14ac:dyDescent="0.2">
      <c r="A298" s="36">
        <v>106751</v>
      </c>
      <c r="B298" s="36">
        <v>17358</v>
      </c>
      <c r="C298" s="39" t="s">
        <v>527</v>
      </c>
      <c r="D298" s="39" t="s">
        <v>528</v>
      </c>
    </row>
    <row r="299" spans="1:4" ht="15.75" customHeight="1" x14ac:dyDescent="0.2">
      <c r="A299" s="36">
        <v>106786</v>
      </c>
      <c r="B299" s="36">
        <v>17366</v>
      </c>
      <c r="C299" s="39" t="s">
        <v>529</v>
      </c>
      <c r="D299" s="39" t="s">
        <v>530</v>
      </c>
    </row>
    <row r="300" spans="1:4" ht="15.75" customHeight="1" x14ac:dyDescent="0.2">
      <c r="A300" s="36">
        <v>106787</v>
      </c>
      <c r="B300" s="36">
        <v>17366</v>
      </c>
      <c r="C300" s="39" t="s">
        <v>531</v>
      </c>
      <c r="D300" s="39" t="s">
        <v>532</v>
      </c>
    </row>
    <row r="301" spans="1:4" ht="15.75" customHeight="1" x14ac:dyDescent="0.2">
      <c r="A301" s="36">
        <v>106788</v>
      </c>
      <c r="B301" s="36">
        <v>17366</v>
      </c>
      <c r="C301" s="39" t="s">
        <v>533</v>
      </c>
      <c r="D301" s="39" t="s">
        <v>534</v>
      </c>
    </row>
    <row r="302" spans="1:4" ht="15.75" customHeight="1" x14ac:dyDescent="0.2">
      <c r="A302" s="36">
        <v>106984</v>
      </c>
      <c r="B302" s="36">
        <v>17388</v>
      </c>
      <c r="C302" s="39" t="s">
        <v>535</v>
      </c>
      <c r="D302" s="39" t="s">
        <v>159</v>
      </c>
    </row>
    <row r="303" spans="1:4" ht="15.75" customHeight="1" x14ac:dyDescent="0.2">
      <c r="A303" s="36">
        <v>106985</v>
      </c>
      <c r="B303" s="36">
        <v>17388</v>
      </c>
      <c r="C303" s="39" t="s">
        <v>536</v>
      </c>
      <c r="D303" s="39" t="s">
        <v>265</v>
      </c>
    </row>
    <row r="304" spans="1:4" ht="15.75" customHeight="1" x14ac:dyDescent="0.2">
      <c r="A304" s="36">
        <v>106986</v>
      </c>
      <c r="B304" s="36">
        <v>17388</v>
      </c>
      <c r="C304" s="39" t="s">
        <v>537</v>
      </c>
      <c r="D304" s="39" t="s">
        <v>265</v>
      </c>
    </row>
    <row r="305" spans="1:4" ht="15.75" customHeight="1" x14ac:dyDescent="0.2">
      <c r="A305" s="36">
        <v>106987</v>
      </c>
      <c r="B305" s="36">
        <v>17388</v>
      </c>
      <c r="C305" s="39" t="s">
        <v>538</v>
      </c>
      <c r="D305" s="39" t="s">
        <v>159</v>
      </c>
    </row>
    <row r="306" spans="1:4" ht="15.75" customHeight="1" x14ac:dyDescent="0.2">
      <c r="A306" s="36">
        <v>106988</v>
      </c>
      <c r="B306" s="36">
        <v>17388</v>
      </c>
      <c r="C306" s="39" t="s">
        <v>539</v>
      </c>
      <c r="D306" s="39" t="s">
        <v>159</v>
      </c>
    </row>
    <row r="307" spans="1:4" ht="15.75" customHeight="1" x14ac:dyDescent="0.2">
      <c r="A307" s="36">
        <v>106989</v>
      </c>
      <c r="B307" s="36">
        <v>17388</v>
      </c>
      <c r="C307" s="39" t="s">
        <v>540</v>
      </c>
      <c r="D307" s="39" t="s">
        <v>265</v>
      </c>
    </row>
    <row r="308" spans="1:4" ht="15.75" customHeight="1" x14ac:dyDescent="0.2">
      <c r="A308" s="36">
        <v>106990</v>
      </c>
      <c r="B308" s="36">
        <v>17388</v>
      </c>
      <c r="C308" s="39" t="s">
        <v>541</v>
      </c>
      <c r="D308" s="39" t="s">
        <v>265</v>
      </c>
    </row>
    <row r="309" spans="1:4" ht="15.75" customHeight="1" x14ac:dyDescent="0.2">
      <c r="A309" s="36">
        <v>106991</v>
      </c>
      <c r="B309" s="36">
        <v>17388</v>
      </c>
      <c r="C309" s="39" t="s">
        <v>542</v>
      </c>
      <c r="D309" s="39" t="s">
        <v>159</v>
      </c>
    </row>
    <row r="310" spans="1:4" ht="15.75" customHeight="1" x14ac:dyDescent="0.2">
      <c r="A310" s="36">
        <v>106992</v>
      </c>
      <c r="B310" s="36">
        <v>17388</v>
      </c>
      <c r="C310" s="39" t="s">
        <v>543</v>
      </c>
      <c r="D310" s="39" t="s">
        <v>265</v>
      </c>
    </row>
    <row r="311" spans="1:4" ht="15.75" customHeight="1" x14ac:dyDescent="0.2">
      <c r="A311" s="36">
        <v>106993</v>
      </c>
      <c r="B311" s="36">
        <v>17388</v>
      </c>
      <c r="C311" s="39" t="s">
        <v>544</v>
      </c>
      <c r="D311" s="39" t="s">
        <v>159</v>
      </c>
    </row>
    <row r="312" spans="1:4" ht="15.75" customHeight="1" x14ac:dyDescent="0.2">
      <c r="A312" s="36">
        <v>107002</v>
      </c>
      <c r="B312" s="36">
        <v>17390</v>
      </c>
      <c r="C312" s="39" t="s">
        <v>545</v>
      </c>
      <c r="D312" s="39" t="s">
        <v>467</v>
      </c>
    </row>
    <row r="313" spans="1:4" ht="15.75" customHeight="1" x14ac:dyDescent="0.2">
      <c r="A313" s="36">
        <v>107003</v>
      </c>
      <c r="B313" s="36">
        <v>17390</v>
      </c>
      <c r="C313" s="39" t="s">
        <v>546</v>
      </c>
      <c r="D313" s="39" t="s">
        <v>193</v>
      </c>
    </row>
    <row r="314" spans="1:4" ht="15.75" customHeight="1" x14ac:dyDescent="0.2">
      <c r="A314" s="36">
        <v>107004</v>
      </c>
      <c r="B314" s="36">
        <v>17390</v>
      </c>
      <c r="C314" s="39" t="s">
        <v>547</v>
      </c>
      <c r="D314" s="39" t="s">
        <v>497</v>
      </c>
    </row>
    <row r="315" spans="1:4" ht="15.75" customHeight="1" x14ac:dyDescent="0.2">
      <c r="A315" s="36">
        <v>107005</v>
      </c>
      <c r="B315" s="36">
        <v>17390</v>
      </c>
      <c r="C315" s="39" t="s">
        <v>548</v>
      </c>
      <c r="D315" s="39" t="s">
        <v>500</v>
      </c>
    </row>
    <row r="316" spans="1:4" ht="15.75" customHeight="1" x14ac:dyDescent="0.2">
      <c r="A316" s="36">
        <v>107006</v>
      </c>
      <c r="B316" s="36">
        <v>17390</v>
      </c>
      <c r="C316" s="39" t="s">
        <v>549</v>
      </c>
      <c r="D316" s="39">
        <v>976</v>
      </c>
    </row>
    <row r="317" spans="1:4" ht="15.75" customHeight="1" x14ac:dyDescent="0.2">
      <c r="A317" s="36">
        <v>107007</v>
      </c>
      <c r="B317" s="36">
        <v>17390</v>
      </c>
      <c r="C317" s="39" t="s">
        <v>550</v>
      </c>
      <c r="D317" s="39" t="s">
        <v>551</v>
      </c>
    </row>
    <row r="318" spans="1:4" ht="15.75" customHeight="1" x14ac:dyDescent="0.2">
      <c r="A318" s="36">
        <v>107008</v>
      </c>
      <c r="B318" s="36">
        <v>17390</v>
      </c>
      <c r="C318" s="39" t="s">
        <v>552</v>
      </c>
      <c r="D318" s="39" t="s">
        <v>553</v>
      </c>
    </row>
    <row r="319" spans="1:4" ht="15.75" customHeight="1" x14ac:dyDescent="0.2">
      <c r="A319" s="36">
        <v>107009</v>
      </c>
      <c r="B319" s="36">
        <v>17390</v>
      </c>
      <c r="C319" s="39" t="s">
        <v>554</v>
      </c>
      <c r="D319" s="39" t="s">
        <v>555</v>
      </c>
    </row>
    <row r="320" spans="1:4" ht="15.75" customHeight="1" x14ac:dyDescent="0.2">
      <c r="A320" s="36">
        <v>107018</v>
      </c>
      <c r="B320" s="36">
        <v>17393</v>
      </c>
      <c r="C320" s="39" t="s">
        <v>556</v>
      </c>
      <c r="D320" s="39" t="s">
        <v>467</v>
      </c>
    </row>
    <row r="321" spans="1:4" ht="15.75" customHeight="1" x14ac:dyDescent="0.2">
      <c r="A321" s="36">
        <v>107019</v>
      </c>
      <c r="B321" s="36">
        <v>17393</v>
      </c>
      <c r="C321" s="39" t="s">
        <v>557</v>
      </c>
      <c r="D321" s="39" t="s">
        <v>558</v>
      </c>
    </row>
    <row r="322" spans="1:4" ht="15.75" customHeight="1" x14ac:dyDescent="0.2">
      <c r="A322" s="36">
        <v>107020</v>
      </c>
      <c r="B322" s="36">
        <v>17393</v>
      </c>
      <c r="C322" s="39" t="s">
        <v>559</v>
      </c>
      <c r="D322" s="39" t="s">
        <v>170</v>
      </c>
    </row>
    <row r="323" spans="1:4" ht="15.75" customHeight="1" x14ac:dyDescent="0.2">
      <c r="A323" s="36">
        <v>107021</v>
      </c>
      <c r="B323" s="36">
        <v>17393</v>
      </c>
      <c r="C323" s="39" t="s">
        <v>560</v>
      </c>
      <c r="D323" s="39" t="s">
        <v>312</v>
      </c>
    </row>
    <row r="324" spans="1:4" ht="15.75" customHeight="1" x14ac:dyDescent="0.2">
      <c r="A324" s="36">
        <v>107079</v>
      </c>
      <c r="B324" s="36">
        <v>17397</v>
      </c>
      <c r="C324" s="39" t="s">
        <v>561</v>
      </c>
      <c r="D324" s="39" t="s">
        <v>355</v>
      </c>
    </row>
    <row r="325" spans="1:4" ht="15.75" customHeight="1" x14ac:dyDescent="0.2">
      <c r="A325" s="36">
        <v>107080</v>
      </c>
      <c r="B325" s="36">
        <v>17397</v>
      </c>
      <c r="C325" s="39" t="s">
        <v>562</v>
      </c>
      <c r="D325" s="39" t="s">
        <v>563</v>
      </c>
    </row>
    <row r="326" spans="1:4" ht="15.75" customHeight="1" x14ac:dyDescent="0.2">
      <c r="A326" s="36">
        <v>107081</v>
      </c>
      <c r="B326" s="36">
        <v>17397</v>
      </c>
      <c r="C326" s="39" t="s">
        <v>564</v>
      </c>
      <c r="D326" s="39" t="s">
        <v>565</v>
      </c>
    </row>
    <row r="327" spans="1:4" ht="15.75" customHeight="1" x14ac:dyDescent="0.2">
      <c r="A327" s="36">
        <v>107082</v>
      </c>
      <c r="B327" s="36">
        <v>17397</v>
      </c>
      <c r="C327" s="39" t="s">
        <v>566</v>
      </c>
      <c r="D327" s="39" t="s">
        <v>567</v>
      </c>
    </row>
    <row r="328" spans="1:4" ht="15.75" customHeight="1" x14ac:dyDescent="0.2">
      <c r="A328" s="36">
        <v>107089</v>
      </c>
      <c r="B328" s="36">
        <v>17400</v>
      </c>
      <c r="C328" s="39" t="s">
        <v>568</v>
      </c>
      <c r="D328" s="39" t="s">
        <v>569</v>
      </c>
    </row>
    <row r="329" spans="1:4" ht="15.75" customHeight="1" x14ac:dyDescent="0.2">
      <c r="A329" s="36">
        <v>107090</v>
      </c>
      <c r="B329" s="36">
        <v>17400</v>
      </c>
      <c r="C329" s="39" t="s">
        <v>570</v>
      </c>
      <c r="D329" s="39" t="s">
        <v>355</v>
      </c>
    </row>
    <row r="330" spans="1:4" ht="15.75" customHeight="1" x14ac:dyDescent="0.2">
      <c r="A330" s="36">
        <v>107091</v>
      </c>
      <c r="B330" s="36">
        <v>17400</v>
      </c>
      <c r="C330" s="39" t="s">
        <v>571</v>
      </c>
      <c r="D330" s="39" t="s">
        <v>572</v>
      </c>
    </row>
    <row r="331" spans="1:4" ht="15.75" customHeight="1" x14ac:dyDescent="0.2">
      <c r="A331" s="36">
        <v>107169</v>
      </c>
      <c r="B331" s="36">
        <v>17407</v>
      </c>
      <c r="C331" s="39" t="s">
        <v>460</v>
      </c>
      <c r="D331" s="39" t="s">
        <v>265</v>
      </c>
    </row>
    <row r="332" spans="1:4" ht="15.75" customHeight="1" x14ac:dyDescent="0.2">
      <c r="A332" s="36">
        <v>107175</v>
      </c>
      <c r="B332" s="36">
        <v>17410</v>
      </c>
      <c r="C332" s="39" t="s">
        <v>573</v>
      </c>
      <c r="D332" s="39" t="s">
        <v>574</v>
      </c>
    </row>
    <row r="333" spans="1:4" ht="15.75" customHeight="1" x14ac:dyDescent="0.2">
      <c r="A333" s="36">
        <v>107176</v>
      </c>
      <c r="B333" s="36">
        <v>17410</v>
      </c>
      <c r="C333" s="39" t="s">
        <v>575</v>
      </c>
      <c r="D333" s="39" t="s">
        <v>576</v>
      </c>
    </row>
    <row r="334" spans="1:4" ht="15.75" customHeight="1" x14ac:dyDescent="0.2">
      <c r="A334" s="36">
        <v>107177</v>
      </c>
      <c r="B334" s="36">
        <v>17410</v>
      </c>
      <c r="C334" s="39" t="s">
        <v>577</v>
      </c>
      <c r="D334" s="39" t="s">
        <v>578</v>
      </c>
    </row>
    <row r="335" spans="1:4" ht="15.75" customHeight="1" x14ac:dyDescent="0.2">
      <c r="A335" s="36">
        <v>107178</v>
      </c>
      <c r="B335" s="36">
        <v>17410</v>
      </c>
      <c r="C335" s="39" t="s">
        <v>579</v>
      </c>
      <c r="D335" s="39" t="s">
        <v>574</v>
      </c>
    </row>
    <row r="336" spans="1:4" ht="15.75" customHeight="1" x14ac:dyDescent="0.2">
      <c r="A336" s="36">
        <v>107179</v>
      </c>
      <c r="B336" s="36">
        <v>17410</v>
      </c>
      <c r="C336" s="39" t="s">
        <v>580</v>
      </c>
      <c r="D336" s="39" t="s">
        <v>574</v>
      </c>
    </row>
    <row r="337" spans="1:4" ht="15.75" customHeight="1" x14ac:dyDescent="0.2">
      <c r="A337" s="36">
        <v>107180</v>
      </c>
      <c r="B337" s="36">
        <v>17410</v>
      </c>
      <c r="C337" s="39" t="s">
        <v>581</v>
      </c>
      <c r="D337" s="39" t="s">
        <v>576</v>
      </c>
    </row>
    <row r="338" spans="1:4" ht="15.75" customHeight="1" x14ac:dyDescent="0.2">
      <c r="A338" s="36">
        <v>107188</v>
      </c>
      <c r="B338" s="36">
        <v>17418</v>
      </c>
      <c r="C338" s="39" t="s">
        <v>387</v>
      </c>
      <c r="D338" s="39" t="s">
        <v>157</v>
      </c>
    </row>
    <row r="339" spans="1:4" ht="15.75" customHeight="1" x14ac:dyDescent="0.2">
      <c r="A339" s="36">
        <v>107191</v>
      </c>
      <c r="B339" s="36">
        <v>17420</v>
      </c>
      <c r="C339" s="39" t="s">
        <v>582</v>
      </c>
      <c r="D339" s="39" t="s">
        <v>583</v>
      </c>
    </row>
    <row r="340" spans="1:4" ht="15.75" customHeight="1" x14ac:dyDescent="0.2">
      <c r="A340" s="36">
        <v>107192</v>
      </c>
      <c r="B340" s="36">
        <v>17420</v>
      </c>
      <c r="C340" s="39" t="s">
        <v>584</v>
      </c>
      <c r="D340" s="39" t="s">
        <v>585</v>
      </c>
    </row>
    <row r="341" spans="1:4" ht="15.75" customHeight="1" x14ac:dyDescent="0.2">
      <c r="A341" s="36">
        <v>107200</v>
      </c>
      <c r="B341" s="36">
        <v>17422</v>
      </c>
      <c r="C341" s="39" t="s">
        <v>586</v>
      </c>
      <c r="D341" s="39" t="s">
        <v>587</v>
      </c>
    </row>
    <row r="342" spans="1:4" ht="15.75" customHeight="1" x14ac:dyDescent="0.2">
      <c r="A342" s="36">
        <v>107201</v>
      </c>
      <c r="B342" s="36">
        <v>17422</v>
      </c>
      <c r="C342" s="39" t="s">
        <v>588</v>
      </c>
      <c r="D342" s="39" t="s">
        <v>589</v>
      </c>
    </row>
    <row r="343" spans="1:4" ht="15.75" customHeight="1" x14ac:dyDescent="0.2">
      <c r="A343" s="36">
        <v>107202</v>
      </c>
      <c r="B343" s="36">
        <v>17422</v>
      </c>
      <c r="C343" s="39" t="s">
        <v>590</v>
      </c>
      <c r="D343" s="39" t="s">
        <v>591</v>
      </c>
    </row>
    <row r="344" spans="1:4" ht="15.75" customHeight="1" x14ac:dyDescent="0.2">
      <c r="A344" s="36"/>
      <c r="B344" s="36"/>
      <c r="C344" s="39"/>
      <c r="D344" s="39"/>
    </row>
    <row r="345" spans="1:4" ht="15.75" customHeight="1" x14ac:dyDescent="0.2">
      <c r="A345" s="36"/>
      <c r="B345" s="36"/>
      <c r="C345" s="39"/>
      <c r="D345" s="39"/>
    </row>
    <row r="346" spans="1:4" ht="15.75" customHeight="1" x14ac:dyDescent="0.2">
      <c r="A346" s="36"/>
      <c r="B346" s="36"/>
      <c r="C346" s="39"/>
      <c r="D346" s="39"/>
    </row>
    <row r="347" spans="1:4" ht="15.75" customHeight="1" x14ac:dyDescent="0.2">
      <c r="A347" s="36"/>
      <c r="B347" s="36"/>
      <c r="C347" s="39"/>
      <c r="D347" s="39"/>
    </row>
    <row r="348" spans="1:4" ht="15.75" customHeight="1" x14ac:dyDescent="0.2">
      <c r="A348" s="36"/>
      <c r="B348" s="36"/>
      <c r="C348" s="39"/>
      <c r="D348" s="39"/>
    </row>
    <row r="349" spans="1:4" ht="15.75" customHeight="1" x14ac:dyDescent="0.2">
      <c r="A349" s="36"/>
      <c r="B349" s="36"/>
      <c r="C349" s="39"/>
      <c r="D349" s="39"/>
    </row>
    <row r="350" spans="1:4" ht="15.75" customHeight="1" x14ac:dyDescent="0.2">
      <c r="A350" s="36"/>
      <c r="B350" s="36"/>
      <c r="C350" s="39"/>
      <c r="D350" s="39"/>
    </row>
    <row r="351" spans="1:4" ht="15.75" customHeight="1" x14ac:dyDescent="0.2">
      <c r="A351" s="36"/>
      <c r="B351" s="36"/>
      <c r="C351" s="39"/>
      <c r="D351" s="39"/>
    </row>
    <row r="352" spans="1:4" ht="15.75" customHeight="1" x14ac:dyDescent="0.2">
      <c r="A352" s="36"/>
      <c r="B352" s="36"/>
      <c r="C352" s="39"/>
      <c r="D352" s="39"/>
    </row>
    <row r="353" spans="1:4" ht="15.75" customHeight="1" x14ac:dyDescent="0.2">
      <c r="A353" s="36"/>
      <c r="B353" s="36"/>
      <c r="C353" s="39"/>
      <c r="D353" s="39"/>
    </row>
    <row r="354" spans="1:4" ht="15.75" customHeight="1" x14ac:dyDescent="0.2">
      <c r="A354" s="36"/>
      <c r="B354" s="36"/>
      <c r="C354" s="39"/>
      <c r="D354" s="39"/>
    </row>
    <row r="355" spans="1:4" ht="15.75" customHeight="1" x14ac:dyDescent="0.2">
      <c r="A355" s="36"/>
      <c r="B355" s="36"/>
      <c r="C355" s="39"/>
      <c r="D355" s="39"/>
    </row>
    <row r="356" spans="1:4" ht="15.75" customHeight="1" x14ac:dyDescent="0.2">
      <c r="A356" s="36"/>
      <c r="B356" s="36"/>
      <c r="C356" s="39"/>
      <c r="D356" s="39"/>
    </row>
    <row r="357" spans="1:4" ht="15.75" customHeight="1" x14ac:dyDescent="0.2">
      <c r="A357" s="36"/>
      <c r="B357" s="36"/>
      <c r="C357" s="39"/>
      <c r="D357" s="39"/>
    </row>
    <row r="358" spans="1:4" ht="15.75" customHeight="1" x14ac:dyDescent="0.2">
      <c r="A358" s="36"/>
      <c r="B358" s="36"/>
      <c r="C358" s="39"/>
      <c r="D358" s="39"/>
    </row>
    <row r="359" spans="1:4" ht="15.75" customHeight="1" x14ac:dyDescent="0.2">
      <c r="A359" s="36"/>
      <c r="B359" s="36"/>
      <c r="C359" s="39"/>
      <c r="D359" s="39"/>
    </row>
    <row r="360" spans="1:4" ht="15.75" customHeight="1" x14ac:dyDescent="0.2">
      <c r="A360" s="36"/>
      <c r="B360" s="36"/>
      <c r="C360" s="39"/>
      <c r="D360" s="39"/>
    </row>
    <row r="361" spans="1:4" ht="15.75" customHeight="1" x14ac:dyDescent="0.2">
      <c r="A361" s="36"/>
      <c r="B361" s="36"/>
      <c r="C361" s="39"/>
      <c r="D361" s="39"/>
    </row>
    <row r="362" spans="1:4" ht="15.75" customHeight="1" x14ac:dyDescent="0.2">
      <c r="A362" s="36"/>
      <c r="B362" s="36"/>
      <c r="C362" s="39"/>
      <c r="D362" s="39"/>
    </row>
    <row r="363" spans="1:4" ht="15.75" customHeight="1" x14ac:dyDescent="0.2">
      <c r="A363" s="36"/>
      <c r="B363" s="36"/>
      <c r="C363" s="39"/>
      <c r="D363" s="39"/>
    </row>
    <row r="364" spans="1:4" ht="15.75" customHeight="1" x14ac:dyDescent="0.2">
      <c r="A364" s="36"/>
      <c r="B364" s="36"/>
      <c r="C364" s="39"/>
      <c r="D364" s="39"/>
    </row>
    <row r="365" spans="1:4" ht="15.75" customHeight="1" x14ac:dyDescent="0.2">
      <c r="A365" s="36"/>
      <c r="B365" s="36"/>
      <c r="C365" s="39"/>
      <c r="D365" s="39"/>
    </row>
    <row r="366" spans="1:4" ht="15.75" customHeight="1" x14ac:dyDescent="0.2">
      <c r="A366" s="36"/>
      <c r="B366" s="36"/>
      <c r="C366" s="39"/>
      <c r="D366" s="39"/>
    </row>
    <row r="367" spans="1:4" ht="15.75" customHeight="1" x14ac:dyDescent="0.2">
      <c r="A367" s="36"/>
      <c r="B367" s="36"/>
      <c r="C367" s="39"/>
      <c r="D367" s="39"/>
    </row>
    <row r="368" spans="1:4" ht="15.75" customHeight="1" x14ac:dyDescent="0.2">
      <c r="A368" s="36"/>
      <c r="B368" s="36"/>
      <c r="C368" s="39"/>
      <c r="D368" s="39"/>
    </row>
    <row r="369" spans="1:4" ht="15.75" customHeight="1" x14ac:dyDescent="0.2">
      <c r="A369" s="36"/>
      <c r="B369" s="36"/>
      <c r="C369" s="39"/>
      <c r="D369" s="39"/>
    </row>
    <row r="370" spans="1:4" ht="15.75" customHeight="1" x14ac:dyDescent="0.2">
      <c r="A370" s="36"/>
      <c r="B370" s="36"/>
      <c r="C370" s="39"/>
      <c r="D370" s="39"/>
    </row>
    <row r="371" spans="1:4" ht="15.75" customHeight="1" x14ac:dyDescent="0.2">
      <c r="A371" s="36"/>
      <c r="B371" s="36"/>
      <c r="C371" s="39"/>
      <c r="D371" s="39"/>
    </row>
    <row r="372" spans="1:4" ht="15.75" customHeight="1" x14ac:dyDescent="0.2">
      <c r="A372" s="36"/>
      <c r="B372" s="36"/>
      <c r="C372" s="39"/>
      <c r="D372" s="39"/>
    </row>
    <row r="373" spans="1:4" ht="15.75" customHeight="1" x14ac:dyDescent="0.2">
      <c r="A373" s="36"/>
      <c r="B373" s="36"/>
      <c r="C373" s="39"/>
      <c r="D373" s="39"/>
    </row>
    <row r="374" spans="1:4" ht="15.75" customHeight="1" x14ac:dyDescent="0.2">
      <c r="A374" s="36"/>
      <c r="B374" s="36"/>
      <c r="C374" s="39"/>
      <c r="D374" s="39"/>
    </row>
    <row r="375" spans="1:4" ht="15.75" customHeight="1" x14ac:dyDescent="0.2">
      <c r="A375" s="36"/>
      <c r="B375" s="36"/>
      <c r="C375" s="39"/>
      <c r="D375" s="39"/>
    </row>
    <row r="376" spans="1:4" ht="15.75" customHeight="1" x14ac:dyDescent="0.2">
      <c r="A376" s="36"/>
      <c r="B376" s="36"/>
      <c r="C376" s="39"/>
      <c r="D376" s="39"/>
    </row>
    <row r="377" spans="1:4" ht="15.75" customHeight="1" x14ac:dyDescent="0.2">
      <c r="A377" s="36"/>
      <c r="B377" s="36"/>
      <c r="C377" s="39"/>
      <c r="D377" s="39"/>
    </row>
    <row r="378" spans="1:4" ht="15.75" customHeight="1" x14ac:dyDescent="0.2">
      <c r="A378" s="36"/>
      <c r="B378" s="36"/>
      <c r="C378" s="39"/>
      <c r="D378" s="39"/>
    </row>
    <row r="379" spans="1:4" ht="15.75" customHeight="1" x14ac:dyDescent="0.2">
      <c r="A379" s="36"/>
      <c r="B379" s="36"/>
      <c r="C379" s="39"/>
      <c r="D379" s="39"/>
    </row>
    <row r="380" spans="1:4" ht="15.75" customHeight="1" x14ac:dyDescent="0.2">
      <c r="A380" s="36"/>
      <c r="B380" s="36"/>
      <c r="C380" s="39"/>
      <c r="D380" s="39"/>
    </row>
    <row r="381" spans="1:4" ht="15.75" customHeight="1" x14ac:dyDescent="0.2">
      <c r="A381" s="36"/>
      <c r="B381" s="36"/>
      <c r="C381" s="39"/>
      <c r="D381" s="39"/>
    </row>
    <row r="382" spans="1:4" ht="15.75" customHeight="1" x14ac:dyDescent="0.2">
      <c r="A382" s="36"/>
      <c r="B382" s="36"/>
      <c r="C382" s="39"/>
      <c r="D382" s="39"/>
    </row>
    <row r="383" spans="1:4" ht="15.75" customHeight="1" x14ac:dyDescent="0.2">
      <c r="A383" s="36"/>
      <c r="B383" s="36"/>
      <c r="C383" s="39"/>
      <c r="D383" s="39"/>
    </row>
    <row r="384" spans="1:4" ht="15.75" customHeight="1" x14ac:dyDescent="0.2">
      <c r="A384" s="36"/>
      <c r="B384" s="36"/>
      <c r="C384" s="39"/>
      <c r="D384" s="39"/>
    </row>
    <row r="385" spans="1:4" ht="15.75" customHeight="1" x14ac:dyDescent="0.2">
      <c r="A385" s="36"/>
      <c r="B385" s="36"/>
      <c r="C385" s="39"/>
      <c r="D385" s="39"/>
    </row>
    <row r="386" spans="1:4" ht="15.75" customHeight="1" x14ac:dyDescent="0.2">
      <c r="A386" s="36"/>
      <c r="B386" s="36"/>
      <c r="C386" s="39"/>
      <c r="D386" s="39"/>
    </row>
    <row r="387" spans="1:4" ht="15.75" customHeight="1" x14ac:dyDescent="0.2">
      <c r="A387" s="36"/>
      <c r="B387" s="36"/>
      <c r="C387" s="39"/>
      <c r="D387" s="39"/>
    </row>
    <row r="388" spans="1:4" ht="15.75" customHeight="1" x14ac:dyDescent="0.2">
      <c r="A388" s="36"/>
      <c r="B388" s="36"/>
      <c r="C388" s="39"/>
      <c r="D388" s="39"/>
    </row>
    <row r="389" spans="1:4" ht="15.75" customHeight="1" x14ac:dyDescent="0.2">
      <c r="A389" s="36"/>
      <c r="B389" s="36"/>
      <c r="C389" s="39"/>
      <c r="D389" s="39"/>
    </row>
    <row r="390" spans="1:4" ht="15.75" customHeight="1" x14ac:dyDescent="0.2">
      <c r="A390" s="36"/>
      <c r="B390" s="36"/>
      <c r="C390" s="39"/>
      <c r="D390" s="39"/>
    </row>
    <row r="391" spans="1:4" ht="15.75" customHeight="1" x14ac:dyDescent="0.2">
      <c r="A391" s="36"/>
      <c r="B391" s="36"/>
      <c r="C391" s="39"/>
      <c r="D391" s="39"/>
    </row>
    <row r="392" spans="1:4" ht="15.75" customHeight="1" x14ac:dyDescent="0.2">
      <c r="A392" s="36"/>
      <c r="B392" s="36"/>
      <c r="C392" s="39"/>
      <c r="D392" s="39"/>
    </row>
    <row r="393" spans="1:4" ht="15.75" customHeight="1" x14ac:dyDescent="0.2">
      <c r="A393" s="36"/>
      <c r="B393" s="36"/>
      <c r="C393" s="39"/>
      <c r="D393" s="39"/>
    </row>
    <row r="394" spans="1:4" ht="15.75" customHeight="1" x14ac:dyDescent="0.2">
      <c r="A394" s="36"/>
      <c r="B394" s="36"/>
      <c r="C394" s="39"/>
      <c r="D394" s="39"/>
    </row>
    <row r="395" spans="1:4" ht="15.75" customHeight="1" x14ac:dyDescent="0.2">
      <c r="A395" s="36"/>
      <c r="B395" s="36"/>
      <c r="C395" s="39"/>
      <c r="D395" s="39"/>
    </row>
    <row r="396" spans="1:4" ht="15.75" customHeight="1" x14ac:dyDescent="0.2">
      <c r="A396" s="36"/>
      <c r="B396" s="36"/>
      <c r="C396" s="39"/>
      <c r="D396" s="39"/>
    </row>
    <row r="397" spans="1:4" ht="15.75" customHeight="1" x14ac:dyDescent="0.2">
      <c r="A397" s="36"/>
      <c r="B397" s="36"/>
      <c r="C397" s="39"/>
      <c r="D397" s="39"/>
    </row>
    <row r="398" spans="1:4" ht="15.75" customHeight="1" x14ac:dyDescent="0.2">
      <c r="A398" s="36"/>
      <c r="B398" s="36"/>
      <c r="C398" s="39"/>
      <c r="D398" s="39"/>
    </row>
    <row r="399" spans="1:4" ht="15.75" customHeight="1" x14ac:dyDescent="0.2">
      <c r="A399" s="36"/>
      <c r="B399" s="36"/>
      <c r="C399" s="39"/>
      <c r="D399" s="39"/>
    </row>
    <row r="400" spans="1:4" ht="15.75" customHeight="1" x14ac:dyDescent="0.2">
      <c r="A400" s="36"/>
      <c r="B400" s="36"/>
      <c r="C400" s="39"/>
      <c r="D400" s="39"/>
    </row>
    <row r="401" spans="1:4" ht="15.75" customHeight="1" x14ac:dyDescent="0.2">
      <c r="A401" s="36"/>
      <c r="B401" s="36"/>
      <c r="C401" s="39"/>
      <c r="D401" s="39"/>
    </row>
    <row r="402" spans="1:4" ht="15.75" customHeight="1" x14ac:dyDescent="0.2">
      <c r="A402" s="36"/>
      <c r="B402" s="36"/>
      <c r="C402" s="39"/>
      <c r="D402" s="39"/>
    </row>
    <row r="403" spans="1:4" ht="15.75" customHeight="1" x14ac:dyDescent="0.2">
      <c r="A403" s="36"/>
      <c r="B403" s="36"/>
      <c r="C403" s="39"/>
      <c r="D403" s="39"/>
    </row>
    <row r="404" spans="1:4" ht="15.75" customHeight="1" x14ac:dyDescent="0.2">
      <c r="A404" s="36"/>
      <c r="B404" s="36"/>
      <c r="C404" s="39"/>
      <c r="D404" s="39"/>
    </row>
    <row r="405" spans="1:4" ht="15.75" customHeight="1" x14ac:dyDescent="0.2">
      <c r="A405" s="36"/>
      <c r="B405" s="36"/>
      <c r="C405" s="39"/>
      <c r="D405" s="39"/>
    </row>
    <row r="406" spans="1:4" ht="15.75" customHeight="1" x14ac:dyDescent="0.2">
      <c r="A406" s="36"/>
      <c r="B406" s="36"/>
      <c r="C406" s="39"/>
      <c r="D406" s="39"/>
    </row>
    <row r="407" spans="1:4" ht="15.75" customHeight="1" x14ac:dyDescent="0.2">
      <c r="A407" s="36"/>
      <c r="B407" s="36"/>
      <c r="C407" s="39"/>
      <c r="D407" s="39"/>
    </row>
    <row r="408" spans="1:4" ht="15.75" customHeight="1" x14ac:dyDescent="0.2">
      <c r="A408" s="36"/>
      <c r="B408" s="36"/>
      <c r="C408" s="39"/>
      <c r="D408" s="39"/>
    </row>
    <row r="409" spans="1:4" ht="15.75" customHeight="1" x14ac:dyDescent="0.2">
      <c r="A409" s="36"/>
      <c r="B409" s="36"/>
      <c r="C409" s="39"/>
      <c r="D409" s="39"/>
    </row>
    <row r="410" spans="1:4" ht="15.75" customHeight="1" x14ac:dyDescent="0.2">
      <c r="A410" s="36"/>
      <c r="B410" s="36"/>
      <c r="C410" s="39"/>
      <c r="D410" s="39"/>
    </row>
    <row r="411" spans="1:4" ht="15.75" customHeight="1" x14ac:dyDescent="0.2">
      <c r="A411" s="36"/>
      <c r="B411" s="36"/>
      <c r="C411" s="39"/>
      <c r="D411" s="39"/>
    </row>
    <row r="412" spans="1:4" ht="15.75" customHeight="1" x14ac:dyDescent="0.2">
      <c r="A412" s="36"/>
      <c r="B412" s="36"/>
      <c r="C412" s="39"/>
      <c r="D412" s="39"/>
    </row>
    <row r="413" spans="1:4" ht="15.75" customHeight="1" x14ac:dyDescent="0.2">
      <c r="A413" s="36"/>
      <c r="B413" s="36"/>
      <c r="C413" s="39"/>
      <c r="D413" s="39"/>
    </row>
    <row r="414" spans="1:4" ht="15.75" customHeight="1" x14ac:dyDescent="0.2">
      <c r="A414" s="36"/>
      <c r="B414" s="36"/>
      <c r="C414" s="39"/>
      <c r="D414" s="39"/>
    </row>
    <row r="415" spans="1:4" ht="15.75" customHeight="1" x14ac:dyDescent="0.2">
      <c r="A415" s="36"/>
      <c r="B415" s="36"/>
      <c r="C415" s="39"/>
      <c r="D415" s="39"/>
    </row>
    <row r="416" spans="1:4" ht="15.75" customHeight="1" x14ac:dyDescent="0.2">
      <c r="A416" s="36"/>
      <c r="B416" s="36"/>
      <c r="C416" s="39"/>
      <c r="D416" s="39"/>
    </row>
    <row r="417" spans="1:4" ht="15.75" customHeight="1" x14ac:dyDescent="0.2">
      <c r="A417" s="36"/>
      <c r="B417" s="36"/>
      <c r="C417" s="39"/>
      <c r="D417" s="39"/>
    </row>
    <row r="418" spans="1:4" ht="15.75" customHeight="1" x14ac:dyDescent="0.2">
      <c r="A418" s="36"/>
      <c r="B418" s="36"/>
      <c r="C418" s="39"/>
      <c r="D418" s="39"/>
    </row>
    <row r="419" spans="1:4" ht="15.75" customHeight="1" x14ac:dyDescent="0.2">
      <c r="A419" s="36"/>
      <c r="B419" s="36"/>
      <c r="C419" s="39"/>
      <c r="D419" s="39"/>
    </row>
    <row r="420" spans="1:4" ht="15.75" customHeight="1" x14ac:dyDescent="0.2">
      <c r="A420" s="36"/>
      <c r="B420" s="36"/>
      <c r="C420" s="39"/>
      <c r="D420" s="39"/>
    </row>
    <row r="421" spans="1:4" ht="15.75" customHeight="1" x14ac:dyDescent="0.2">
      <c r="A421" s="36"/>
      <c r="B421" s="36"/>
      <c r="C421" s="39"/>
      <c r="D421" s="39"/>
    </row>
    <row r="422" spans="1:4" ht="15.75" customHeight="1" x14ac:dyDescent="0.2">
      <c r="A422" s="36"/>
      <c r="B422" s="36"/>
      <c r="C422" s="39"/>
      <c r="D422" s="39"/>
    </row>
    <row r="423" spans="1:4" ht="15.75" customHeight="1" x14ac:dyDescent="0.2">
      <c r="A423" s="36"/>
      <c r="B423" s="36"/>
      <c r="C423" s="39"/>
      <c r="D423" s="39"/>
    </row>
    <row r="424" spans="1:4" ht="15.75" customHeight="1" x14ac:dyDescent="0.2">
      <c r="A424" s="36"/>
      <c r="B424" s="36"/>
      <c r="C424" s="39"/>
      <c r="D424" s="39"/>
    </row>
    <row r="425" spans="1:4" ht="15.75" customHeight="1" x14ac:dyDescent="0.2">
      <c r="A425" s="36"/>
      <c r="B425" s="36"/>
      <c r="C425" s="39"/>
      <c r="D425" s="39"/>
    </row>
    <row r="426" spans="1:4" ht="15.75" customHeight="1" x14ac:dyDescent="0.2">
      <c r="A426" s="36"/>
      <c r="B426" s="36"/>
      <c r="C426" s="39"/>
      <c r="D426" s="39"/>
    </row>
    <row r="427" spans="1:4" ht="15.75" customHeight="1" x14ac:dyDescent="0.2">
      <c r="A427" s="36"/>
      <c r="B427" s="36"/>
      <c r="C427" s="39"/>
      <c r="D427" s="39"/>
    </row>
    <row r="428" spans="1:4" ht="15.75" customHeight="1" x14ac:dyDescent="0.2">
      <c r="A428" s="36"/>
      <c r="B428" s="36"/>
      <c r="C428" s="39"/>
      <c r="D428" s="39"/>
    </row>
    <row r="429" spans="1:4" ht="15.75" customHeight="1" x14ac:dyDescent="0.2">
      <c r="A429" s="36"/>
      <c r="B429" s="36"/>
      <c r="C429" s="39"/>
      <c r="D429" s="39"/>
    </row>
    <row r="430" spans="1:4" ht="15.75" customHeight="1" x14ac:dyDescent="0.2">
      <c r="A430" s="36"/>
      <c r="B430" s="36"/>
      <c r="C430" s="39"/>
      <c r="D430" s="39"/>
    </row>
    <row r="431" spans="1:4" ht="15.75" customHeight="1" x14ac:dyDescent="0.2">
      <c r="A431" s="36"/>
      <c r="B431" s="36"/>
      <c r="C431" s="39"/>
      <c r="D431" s="39"/>
    </row>
    <row r="432" spans="1:4" ht="15.75" customHeight="1" x14ac:dyDescent="0.2">
      <c r="A432" s="36"/>
      <c r="B432" s="36"/>
      <c r="C432" s="39"/>
      <c r="D432" s="39"/>
    </row>
    <row r="433" spans="1:4" ht="15.75" customHeight="1" x14ac:dyDescent="0.2">
      <c r="A433" s="36"/>
      <c r="B433" s="36"/>
      <c r="C433" s="39"/>
      <c r="D433" s="39"/>
    </row>
    <row r="434" spans="1:4" ht="15.75" customHeight="1" x14ac:dyDescent="0.2">
      <c r="A434" s="36"/>
      <c r="B434" s="36"/>
      <c r="C434" s="39"/>
      <c r="D434" s="39"/>
    </row>
    <row r="435" spans="1:4" ht="15.75" customHeight="1" x14ac:dyDescent="0.2">
      <c r="A435" s="36"/>
      <c r="B435" s="36"/>
      <c r="C435" s="39"/>
      <c r="D435" s="39"/>
    </row>
    <row r="436" spans="1:4" ht="15.75" customHeight="1" x14ac:dyDescent="0.2">
      <c r="A436" s="36"/>
      <c r="B436" s="36"/>
      <c r="C436" s="39"/>
      <c r="D436" s="39"/>
    </row>
    <row r="437" spans="1:4" ht="15.75" customHeight="1" x14ac:dyDescent="0.2">
      <c r="A437" s="36"/>
      <c r="B437" s="36"/>
      <c r="C437" s="39"/>
      <c r="D437" s="39"/>
    </row>
    <row r="438" spans="1:4" ht="15.75" customHeight="1" x14ac:dyDescent="0.2">
      <c r="A438" s="36"/>
      <c r="B438" s="36"/>
      <c r="C438" s="39"/>
      <c r="D438" s="39"/>
    </row>
    <row r="439" spans="1:4" ht="15.75" customHeight="1" x14ac:dyDescent="0.2">
      <c r="A439" s="36"/>
      <c r="B439" s="36"/>
      <c r="C439" s="39"/>
      <c r="D439" s="39"/>
    </row>
    <row r="440" spans="1:4" ht="15.75" customHeight="1" x14ac:dyDescent="0.2">
      <c r="A440" s="36"/>
      <c r="B440" s="36"/>
      <c r="C440" s="39"/>
      <c r="D440" s="39"/>
    </row>
    <row r="441" spans="1:4" ht="15.75" customHeight="1" x14ac:dyDescent="0.2">
      <c r="A441" s="36"/>
      <c r="B441" s="36"/>
      <c r="C441" s="39"/>
      <c r="D441" s="39"/>
    </row>
    <row r="442" spans="1:4" ht="15.75" customHeight="1" x14ac:dyDescent="0.2">
      <c r="A442" s="36"/>
      <c r="B442" s="36"/>
      <c r="C442" s="39"/>
      <c r="D442" s="39"/>
    </row>
    <row r="443" spans="1:4" ht="15.75" customHeight="1" x14ac:dyDescent="0.2">
      <c r="A443" s="36"/>
      <c r="B443" s="36"/>
      <c r="C443" s="39"/>
      <c r="D443" s="39"/>
    </row>
    <row r="444" spans="1:4" ht="15.75" customHeight="1" x14ac:dyDescent="0.2">
      <c r="A444" s="36"/>
      <c r="B444" s="36"/>
      <c r="C444" s="39"/>
      <c r="D444" s="39"/>
    </row>
    <row r="445" spans="1:4" ht="15.75" customHeight="1" x14ac:dyDescent="0.2">
      <c r="A445" s="36"/>
      <c r="B445" s="36"/>
      <c r="C445" s="39"/>
      <c r="D445" s="39"/>
    </row>
    <row r="446" spans="1:4" ht="15.75" customHeight="1" x14ac:dyDescent="0.2">
      <c r="A446" s="36"/>
      <c r="B446" s="36"/>
      <c r="C446" s="39"/>
      <c r="D446" s="39"/>
    </row>
    <row r="447" spans="1:4" ht="15.75" customHeight="1" x14ac:dyDescent="0.2">
      <c r="A447" s="36"/>
      <c r="B447" s="36"/>
      <c r="C447" s="39"/>
      <c r="D447" s="39"/>
    </row>
    <row r="448" spans="1:4" ht="15.75" customHeight="1" x14ac:dyDescent="0.2">
      <c r="A448" s="36"/>
      <c r="B448" s="36"/>
      <c r="C448" s="39"/>
      <c r="D448" s="39"/>
    </row>
    <row r="449" spans="1:4" ht="15.75" customHeight="1" x14ac:dyDescent="0.2">
      <c r="A449" s="36"/>
      <c r="B449" s="36"/>
      <c r="C449" s="39"/>
      <c r="D449" s="39"/>
    </row>
    <row r="450" spans="1:4" ht="15.75" customHeight="1" x14ac:dyDescent="0.2">
      <c r="A450" s="36"/>
      <c r="B450" s="36"/>
      <c r="C450" s="39"/>
      <c r="D450" s="39"/>
    </row>
    <row r="451" spans="1:4" ht="15.75" customHeight="1" x14ac:dyDescent="0.2">
      <c r="A451" s="36"/>
      <c r="B451" s="36"/>
      <c r="C451" s="39"/>
      <c r="D451" s="39"/>
    </row>
    <row r="452" spans="1:4" ht="15.75" customHeight="1" x14ac:dyDescent="0.2">
      <c r="A452" s="36"/>
      <c r="B452" s="36"/>
      <c r="C452" s="39"/>
      <c r="D452" s="39"/>
    </row>
    <row r="453" spans="1:4" ht="15.75" customHeight="1" x14ac:dyDescent="0.2">
      <c r="A453" s="36"/>
      <c r="B453" s="36"/>
      <c r="C453" s="39"/>
      <c r="D453" s="39"/>
    </row>
    <row r="454" spans="1:4" ht="15.75" customHeight="1" x14ac:dyDescent="0.2">
      <c r="A454" s="36"/>
      <c r="B454" s="36"/>
      <c r="C454" s="39"/>
      <c r="D454" s="39"/>
    </row>
    <row r="455" spans="1:4" ht="15.75" customHeight="1" x14ac:dyDescent="0.2">
      <c r="A455" s="36"/>
      <c r="B455" s="36"/>
      <c r="C455" s="39"/>
      <c r="D455" s="39"/>
    </row>
    <row r="456" spans="1:4" ht="15.75" customHeight="1" x14ac:dyDescent="0.2">
      <c r="A456" s="36"/>
      <c r="B456" s="36"/>
      <c r="C456" s="39"/>
      <c r="D456" s="39"/>
    </row>
    <row r="457" spans="1:4" ht="15.75" customHeight="1" x14ac:dyDescent="0.2">
      <c r="A457" s="36"/>
      <c r="B457" s="36"/>
      <c r="C457" s="39"/>
      <c r="D457" s="39"/>
    </row>
    <row r="458" spans="1:4" ht="15.75" customHeight="1" x14ac:dyDescent="0.2">
      <c r="A458" s="36"/>
      <c r="B458" s="36"/>
      <c r="C458" s="39"/>
      <c r="D458" s="39"/>
    </row>
    <row r="459" spans="1:4" ht="15.75" customHeight="1" x14ac:dyDescent="0.2">
      <c r="A459" s="36"/>
      <c r="B459" s="36"/>
      <c r="C459" s="39"/>
      <c r="D459" s="39"/>
    </row>
    <row r="460" spans="1:4" ht="15.75" customHeight="1" x14ac:dyDescent="0.2">
      <c r="A460" s="36"/>
      <c r="B460" s="36"/>
      <c r="C460" s="39"/>
      <c r="D460" s="39"/>
    </row>
    <row r="461" spans="1:4" ht="15.75" customHeight="1" x14ac:dyDescent="0.2">
      <c r="A461" s="36"/>
      <c r="B461" s="36"/>
      <c r="C461" s="39"/>
      <c r="D461" s="39"/>
    </row>
    <row r="462" spans="1:4" ht="15.75" customHeight="1" x14ac:dyDescent="0.2">
      <c r="A462" s="36"/>
      <c r="B462" s="36"/>
      <c r="C462" s="39"/>
      <c r="D462" s="39"/>
    </row>
    <row r="463" spans="1:4" ht="15.75" customHeight="1" x14ac:dyDescent="0.2">
      <c r="A463" s="36"/>
      <c r="B463" s="36"/>
      <c r="C463" s="39"/>
      <c r="D463" s="39"/>
    </row>
    <row r="464" spans="1:4" ht="15.75" customHeight="1" x14ac:dyDescent="0.2">
      <c r="A464" s="36"/>
      <c r="B464" s="36"/>
      <c r="C464" s="39"/>
      <c r="D464" s="39"/>
    </row>
    <row r="465" spans="1:4" ht="15.75" customHeight="1" x14ac:dyDescent="0.2">
      <c r="A465" s="36"/>
      <c r="B465" s="36"/>
      <c r="C465" s="39"/>
      <c r="D465" s="39"/>
    </row>
    <row r="466" spans="1:4" ht="15.75" customHeight="1" x14ac:dyDescent="0.2">
      <c r="A466" s="36"/>
      <c r="B466" s="36"/>
      <c r="C466" s="39"/>
      <c r="D466" s="39"/>
    </row>
    <row r="467" spans="1:4" ht="15.75" customHeight="1" x14ac:dyDescent="0.2">
      <c r="A467" s="36"/>
      <c r="B467" s="36"/>
      <c r="C467" s="39"/>
      <c r="D467" s="39"/>
    </row>
    <row r="468" spans="1:4" ht="15.75" customHeight="1" x14ac:dyDescent="0.2">
      <c r="A468" s="36"/>
      <c r="B468" s="36"/>
      <c r="C468" s="39"/>
      <c r="D468" s="39"/>
    </row>
    <row r="469" spans="1:4" ht="15.75" customHeight="1" x14ac:dyDescent="0.2">
      <c r="A469" s="36"/>
      <c r="B469" s="36"/>
      <c r="C469" s="39"/>
      <c r="D469" s="39"/>
    </row>
    <row r="470" spans="1:4" ht="15.75" customHeight="1" x14ac:dyDescent="0.2">
      <c r="A470" s="36"/>
      <c r="B470" s="36"/>
      <c r="C470" s="39"/>
      <c r="D470" s="39"/>
    </row>
    <row r="471" spans="1:4" ht="15.75" customHeight="1" x14ac:dyDescent="0.2">
      <c r="A471" s="36"/>
      <c r="B471" s="36"/>
      <c r="C471" s="39"/>
      <c r="D471" s="39"/>
    </row>
    <row r="472" spans="1:4" ht="15.75" customHeight="1" x14ac:dyDescent="0.2">
      <c r="A472" s="36"/>
      <c r="B472" s="36"/>
      <c r="C472" s="39"/>
      <c r="D472" s="39"/>
    </row>
    <row r="473" spans="1:4" ht="15.75" customHeight="1" x14ac:dyDescent="0.2">
      <c r="A473" s="36"/>
      <c r="B473" s="36"/>
      <c r="C473" s="39"/>
      <c r="D473" s="39"/>
    </row>
    <row r="474" spans="1:4" ht="15.75" customHeight="1" x14ac:dyDescent="0.2">
      <c r="A474" s="36"/>
      <c r="B474" s="36"/>
      <c r="C474" s="39"/>
      <c r="D474" s="39"/>
    </row>
    <row r="475" spans="1:4" ht="15.75" customHeight="1" x14ac:dyDescent="0.2">
      <c r="A475" s="36"/>
      <c r="B475" s="36"/>
      <c r="C475" s="39"/>
      <c r="D475" s="39"/>
    </row>
    <row r="476" spans="1:4" ht="15.75" customHeight="1" x14ac:dyDescent="0.2">
      <c r="A476" s="36"/>
      <c r="B476" s="36"/>
      <c r="C476" s="39"/>
      <c r="D476" s="39"/>
    </row>
    <row r="477" spans="1:4" ht="15.75" customHeight="1" x14ac:dyDescent="0.2">
      <c r="A477" s="36"/>
      <c r="B477" s="36"/>
      <c r="C477" s="39"/>
      <c r="D477" s="39"/>
    </row>
    <row r="478" spans="1:4" ht="15.75" customHeight="1" x14ac:dyDescent="0.2">
      <c r="A478" s="36"/>
      <c r="B478" s="36"/>
      <c r="C478" s="39"/>
      <c r="D478" s="39"/>
    </row>
    <row r="479" spans="1:4" ht="15.75" customHeight="1" x14ac:dyDescent="0.2">
      <c r="A479" s="36"/>
      <c r="B479" s="36"/>
      <c r="C479" s="39"/>
      <c r="D479" s="39"/>
    </row>
    <row r="480" spans="1:4" ht="15.75" customHeight="1" x14ac:dyDescent="0.2">
      <c r="A480" s="36"/>
      <c r="B480" s="36"/>
      <c r="C480" s="39"/>
      <c r="D480" s="39"/>
    </row>
    <row r="481" spans="1:4" ht="15.75" customHeight="1" x14ac:dyDescent="0.2">
      <c r="A481" s="36"/>
      <c r="B481" s="36"/>
      <c r="C481" s="39"/>
      <c r="D481" s="39"/>
    </row>
    <row r="482" spans="1:4" ht="15.75" customHeight="1" x14ac:dyDescent="0.2">
      <c r="A482" s="36"/>
      <c r="B482" s="36"/>
      <c r="C482" s="39"/>
      <c r="D482" s="39"/>
    </row>
    <row r="483" spans="1:4" ht="15.75" customHeight="1" x14ac:dyDescent="0.2">
      <c r="A483" s="36"/>
      <c r="B483" s="36"/>
      <c r="C483" s="39"/>
      <c r="D483" s="39"/>
    </row>
    <row r="484" spans="1:4" ht="15.75" customHeight="1" x14ac:dyDescent="0.2">
      <c r="A484" s="36"/>
      <c r="B484" s="36"/>
      <c r="C484" s="39"/>
      <c r="D484" s="39"/>
    </row>
    <row r="485" spans="1:4" ht="15.75" customHeight="1" x14ac:dyDescent="0.2">
      <c r="A485" s="36"/>
      <c r="B485" s="36"/>
      <c r="C485" s="39"/>
      <c r="D485" s="39"/>
    </row>
    <row r="486" spans="1:4" ht="15.75" customHeight="1" x14ac:dyDescent="0.2">
      <c r="A486" s="36"/>
      <c r="B486" s="36"/>
      <c r="C486" s="39"/>
      <c r="D486" s="39"/>
    </row>
    <row r="487" spans="1:4" ht="15.75" customHeight="1" x14ac:dyDescent="0.2">
      <c r="A487" s="36"/>
      <c r="B487" s="36"/>
      <c r="C487" s="39"/>
      <c r="D487" s="39"/>
    </row>
    <row r="488" spans="1:4" ht="15.75" customHeight="1" x14ac:dyDescent="0.2">
      <c r="A488" s="36"/>
      <c r="B488" s="36"/>
      <c r="C488" s="39"/>
      <c r="D488" s="39"/>
    </row>
    <row r="489" spans="1:4" ht="15.75" customHeight="1" x14ac:dyDescent="0.2">
      <c r="A489" s="36"/>
      <c r="B489" s="36"/>
      <c r="C489" s="39"/>
      <c r="D489" s="39"/>
    </row>
    <row r="490" spans="1:4" ht="15.75" customHeight="1" x14ac:dyDescent="0.2">
      <c r="A490" s="36"/>
      <c r="B490" s="36"/>
      <c r="C490" s="39"/>
      <c r="D490" s="39"/>
    </row>
    <row r="491" spans="1:4" ht="15.75" customHeight="1" x14ac:dyDescent="0.2">
      <c r="A491" s="36"/>
      <c r="B491" s="36"/>
      <c r="C491" s="39"/>
      <c r="D491" s="39"/>
    </row>
    <row r="492" spans="1:4" ht="15.75" customHeight="1" x14ac:dyDescent="0.2">
      <c r="A492" s="36"/>
      <c r="B492" s="36"/>
      <c r="C492" s="39"/>
      <c r="D492" s="39"/>
    </row>
    <row r="493" spans="1:4" ht="15.75" customHeight="1" x14ac:dyDescent="0.2">
      <c r="A493" s="36"/>
      <c r="B493" s="36"/>
      <c r="C493" s="39"/>
      <c r="D493" s="39"/>
    </row>
    <row r="494" spans="1:4" ht="15.75" customHeight="1" x14ac:dyDescent="0.2">
      <c r="A494" s="36"/>
      <c r="B494" s="36"/>
      <c r="C494" s="39"/>
      <c r="D494" s="39"/>
    </row>
    <row r="495" spans="1:4" ht="15.75" customHeight="1" x14ac:dyDescent="0.2">
      <c r="A495" s="36"/>
      <c r="B495" s="36"/>
      <c r="C495" s="39"/>
      <c r="D495" s="39"/>
    </row>
    <row r="496" spans="1:4" ht="15.75" customHeight="1" x14ac:dyDescent="0.2">
      <c r="A496" s="36"/>
      <c r="B496" s="36"/>
      <c r="C496" s="39"/>
      <c r="D496" s="39"/>
    </row>
    <row r="497" spans="1:4" ht="15.75" customHeight="1" x14ac:dyDescent="0.2">
      <c r="A497" s="36"/>
      <c r="B497" s="36"/>
      <c r="C497" s="39"/>
      <c r="D497" s="39"/>
    </row>
    <row r="498" spans="1:4" ht="15.75" customHeight="1" x14ac:dyDescent="0.2">
      <c r="A498" s="36"/>
      <c r="B498" s="36"/>
      <c r="C498" s="39"/>
      <c r="D498" s="39"/>
    </row>
    <row r="499" spans="1:4" ht="15.75" customHeight="1" x14ac:dyDescent="0.2">
      <c r="A499" s="36"/>
      <c r="B499" s="36"/>
      <c r="C499" s="39"/>
      <c r="D499" s="39"/>
    </row>
    <row r="500" spans="1:4" ht="15.75" customHeight="1" x14ac:dyDescent="0.2">
      <c r="A500" s="36"/>
      <c r="B500" s="36"/>
      <c r="C500" s="39"/>
      <c r="D500" s="39"/>
    </row>
    <row r="501" spans="1:4" ht="15.75" customHeight="1" x14ac:dyDescent="0.2">
      <c r="A501" s="36"/>
      <c r="B501" s="36"/>
      <c r="C501" s="39"/>
      <c r="D501" s="39"/>
    </row>
    <row r="502" spans="1:4" ht="15.75" customHeight="1" x14ac:dyDescent="0.2">
      <c r="A502" s="36"/>
      <c r="B502" s="36"/>
      <c r="C502" s="39"/>
      <c r="D502" s="39"/>
    </row>
    <row r="503" spans="1:4" ht="15.75" customHeight="1" x14ac:dyDescent="0.2">
      <c r="A503" s="36"/>
      <c r="B503" s="36"/>
      <c r="C503" s="39"/>
      <c r="D503" s="39"/>
    </row>
    <row r="504" spans="1:4" ht="15.75" customHeight="1" x14ac:dyDescent="0.2">
      <c r="A504" s="36"/>
      <c r="B504" s="36"/>
      <c r="C504" s="39"/>
      <c r="D504" s="39"/>
    </row>
    <row r="505" spans="1:4" ht="15.75" customHeight="1" x14ac:dyDescent="0.2">
      <c r="A505" s="36"/>
      <c r="B505" s="36"/>
      <c r="C505" s="39"/>
      <c r="D505" s="39"/>
    </row>
    <row r="506" spans="1:4" ht="15.75" customHeight="1" x14ac:dyDescent="0.2">
      <c r="A506" s="36"/>
      <c r="B506" s="36"/>
      <c r="C506" s="39"/>
      <c r="D506" s="39"/>
    </row>
    <row r="507" spans="1:4" ht="15.75" customHeight="1" x14ac:dyDescent="0.2">
      <c r="A507" s="36"/>
      <c r="B507" s="36"/>
      <c r="C507" s="39"/>
      <c r="D507" s="39"/>
    </row>
    <row r="508" spans="1:4" ht="15.75" customHeight="1" x14ac:dyDescent="0.2">
      <c r="A508" s="36"/>
      <c r="B508" s="36"/>
      <c r="C508" s="39"/>
      <c r="D508" s="39"/>
    </row>
    <row r="509" spans="1:4" ht="15.75" customHeight="1" x14ac:dyDescent="0.2">
      <c r="A509" s="36"/>
      <c r="B509" s="36"/>
      <c r="C509" s="39"/>
      <c r="D509" s="39"/>
    </row>
    <row r="510" spans="1:4" ht="15.75" customHeight="1" x14ac:dyDescent="0.2">
      <c r="A510" s="36"/>
      <c r="B510" s="36"/>
      <c r="C510" s="39"/>
      <c r="D510" s="39"/>
    </row>
    <row r="511" spans="1:4" ht="15.75" customHeight="1" x14ac:dyDescent="0.2">
      <c r="A511" s="36"/>
      <c r="B511" s="36"/>
      <c r="C511" s="39"/>
      <c r="D511" s="39"/>
    </row>
    <row r="512" spans="1:4" ht="15.75" customHeight="1" x14ac:dyDescent="0.2">
      <c r="A512" s="36"/>
      <c r="B512" s="36"/>
      <c r="C512" s="39"/>
      <c r="D512" s="39"/>
    </row>
    <row r="513" spans="1:4" ht="15.75" customHeight="1" x14ac:dyDescent="0.2">
      <c r="A513" s="36"/>
      <c r="B513" s="36"/>
      <c r="C513" s="39"/>
      <c r="D513" s="39"/>
    </row>
    <row r="514" spans="1:4" ht="15.75" customHeight="1" x14ac:dyDescent="0.2">
      <c r="A514" s="36"/>
      <c r="B514" s="36"/>
      <c r="C514" s="39"/>
      <c r="D514" s="39"/>
    </row>
    <row r="515" spans="1:4" ht="15.75" customHeight="1" x14ac:dyDescent="0.2">
      <c r="A515" s="36"/>
      <c r="B515" s="36"/>
      <c r="C515" s="39"/>
      <c r="D515" s="39"/>
    </row>
    <row r="516" spans="1:4" ht="15.75" customHeight="1" x14ac:dyDescent="0.2">
      <c r="A516" s="36"/>
      <c r="B516" s="36"/>
      <c r="C516" s="39"/>
      <c r="D516" s="39"/>
    </row>
    <row r="517" spans="1:4" ht="15.75" customHeight="1" x14ac:dyDescent="0.2">
      <c r="A517" s="36"/>
      <c r="B517" s="36"/>
      <c r="C517" s="39"/>
      <c r="D517" s="39"/>
    </row>
    <row r="518" spans="1:4" ht="15.75" customHeight="1" x14ac:dyDescent="0.2">
      <c r="A518" s="36"/>
      <c r="B518" s="36"/>
      <c r="C518" s="39"/>
      <c r="D518" s="39"/>
    </row>
    <row r="519" spans="1:4" ht="15.75" customHeight="1" x14ac:dyDescent="0.2">
      <c r="A519" s="36"/>
      <c r="B519" s="36"/>
      <c r="C519" s="39"/>
      <c r="D519" s="39"/>
    </row>
    <row r="520" spans="1:4" ht="15.75" customHeight="1" x14ac:dyDescent="0.2">
      <c r="A520" s="36"/>
      <c r="B520" s="36"/>
      <c r="C520" s="39"/>
      <c r="D520" s="39"/>
    </row>
    <row r="521" spans="1:4" ht="15.75" customHeight="1" x14ac:dyDescent="0.2">
      <c r="A521" s="36"/>
      <c r="B521" s="36"/>
      <c r="C521" s="39"/>
      <c r="D521" s="39"/>
    </row>
    <row r="522" spans="1:4" ht="15.75" customHeight="1" x14ac:dyDescent="0.2">
      <c r="A522" s="36"/>
      <c r="B522" s="36"/>
      <c r="C522" s="39"/>
      <c r="D522" s="39"/>
    </row>
    <row r="523" spans="1:4" ht="15.75" customHeight="1" x14ac:dyDescent="0.2">
      <c r="A523" s="36"/>
      <c r="B523" s="36"/>
      <c r="C523" s="39"/>
      <c r="D523" s="39"/>
    </row>
    <row r="524" spans="1:4" ht="15.75" customHeight="1" x14ac:dyDescent="0.2">
      <c r="A524" s="36"/>
      <c r="B524" s="36"/>
      <c r="C524" s="39"/>
      <c r="D524" s="39"/>
    </row>
    <row r="525" spans="1:4" ht="15.75" customHeight="1" x14ac:dyDescent="0.2">
      <c r="A525" s="36"/>
      <c r="B525" s="36"/>
      <c r="C525" s="39"/>
      <c r="D525" s="39"/>
    </row>
    <row r="526" spans="1:4" ht="15.75" customHeight="1" x14ac:dyDescent="0.2">
      <c r="A526" s="36"/>
      <c r="B526" s="36"/>
      <c r="C526" s="39"/>
      <c r="D526" s="39"/>
    </row>
    <row r="527" spans="1:4" ht="15.75" customHeight="1" x14ac:dyDescent="0.2">
      <c r="A527" s="36"/>
      <c r="B527" s="36"/>
      <c r="C527" s="39"/>
      <c r="D527" s="39"/>
    </row>
    <row r="528" spans="1:4" ht="15.75" customHeight="1" x14ac:dyDescent="0.2">
      <c r="A528" s="36"/>
      <c r="B528" s="36"/>
      <c r="C528" s="39"/>
      <c r="D528" s="39"/>
    </row>
    <row r="529" spans="1:4" ht="15.75" customHeight="1" x14ac:dyDescent="0.2">
      <c r="A529" s="36"/>
      <c r="B529" s="36"/>
      <c r="C529" s="39"/>
      <c r="D529" s="39"/>
    </row>
    <row r="530" spans="1:4" ht="15.75" customHeight="1" x14ac:dyDescent="0.2">
      <c r="A530" s="36"/>
      <c r="B530" s="36"/>
      <c r="C530" s="39"/>
      <c r="D530" s="39"/>
    </row>
    <row r="531" spans="1:4" ht="15.75" customHeight="1" x14ac:dyDescent="0.2">
      <c r="A531" s="36"/>
      <c r="B531" s="36"/>
      <c r="C531" s="39"/>
      <c r="D531" s="39"/>
    </row>
    <row r="532" spans="1:4" ht="15.75" customHeight="1" x14ac:dyDescent="0.2">
      <c r="A532" s="36"/>
      <c r="B532" s="36"/>
      <c r="C532" s="39"/>
      <c r="D532" s="39"/>
    </row>
    <row r="533" spans="1:4" ht="15.75" customHeight="1" x14ac:dyDescent="0.2">
      <c r="A533" s="36"/>
      <c r="B533" s="36"/>
      <c r="C533" s="39"/>
      <c r="D533" s="39"/>
    </row>
    <row r="534" spans="1:4" ht="15.75" customHeight="1" x14ac:dyDescent="0.2">
      <c r="A534" s="36"/>
      <c r="B534" s="36"/>
      <c r="C534" s="39"/>
      <c r="D534" s="39"/>
    </row>
    <row r="535" spans="1:4" ht="15.75" customHeight="1" x14ac:dyDescent="0.2">
      <c r="A535" s="36"/>
      <c r="B535" s="36"/>
      <c r="C535" s="39"/>
      <c r="D535" s="39"/>
    </row>
    <row r="536" spans="1:4" ht="15.75" customHeight="1" x14ac:dyDescent="0.2">
      <c r="A536" s="36"/>
      <c r="B536" s="36"/>
      <c r="C536" s="39"/>
      <c r="D536" s="39"/>
    </row>
    <row r="537" spans="1:4" ht="15.75" customHeight="1" x14ac:dyDescent="0.2">
      <c r="A537" s="36"/>
      <c r="B537" s="36"/>
      <c r="C537" s="39"/>
      <c r="D537" s="39"/>
    </row>
    <row r="538" spans="1:4" ht="15.75" customHeight="1" x14ac:dyDescent="0.2">
      <c r="A538" s="36"/>
      <c r="B538" s="36"/>
      <c r="C538" s="39"/>
      <c r="D538" s="39"/>
    </row>
    <row r="539" spans="1:4" ht="15.75" customHeight="1" x14ac:dyDescent="0.2">
      <c r="A539" s="36"/>
      <c r="B539" s="36"/>
      <c r="C539" s="39"/>
      <c r="D539" s="39"/>
    </row>
    <row r="540" spans="1:4" ht="15.75" customHeight="1" x14ac:dyDescent="0.2">
      <c r="A540" s="36"/>
      <c r="B540" s="36"/>
      <c r="C540" s="39"/>
      <c r="D540" s="39"/>
    </row>
    <row r="541" spans="1:4" ht="15.75" customHeight="1" x14ac:dyDescent="0.2">
      <c r="A541" s="36"/>
      <c r="B541" s="36"/>
      <c r="C541" s="39"/>
      <c r="D541" s="39"/>
    </row>
    <row r="542" spans="1:4" ht="15.75" customHeight="1" x14ac:dyDescent="0.2">
      <c r="A542" s="36"/>
      <c r="B542" s="36"/>
      <c r="C542" s="39"/>
      <c r="D542" s="39"/>
    </row>
    <row r="543" spans="1:4" ht="15.75" customHeight="1" x14ac:dyDescent="0.2">
      <c r="A543" s="36"/>
      <c r="B543" s="36"/>
      <c r="C543" s="39"/>
      <c r="D543" s="39"/>
    </row>
    <row r="544" spans="1:4" ht="15.75" customHeight="1" x14ac:dyDescent="0.2">
      <c r="A544" s="36"/>
      <c r="B544" s="36"/>
      <c r="C544" s="39"/>
      <c r="D544" s="39"/>
    </row>
    <row r="545" spans="1:4" ht="15.75" customHeight="1" x14ac:dyDescent="0.2">
      <c r="A545" s="36"/>
      <c r="B545" s="36"/>
      <c r="C545" s="39"/>
      <c r="D545" s="39"/>
    </row>
    <row r="546" spans="1:4" ht="15.75" customHeight="1" x14ac:dyDescent="0.2">
      <c r="A546" s="36"/>
      <c r="B546" s="36"/>
      <c r="C546" s="39"/>
      <c r="D546" s="39"/>
    </row>
    <row r="547" spans="1:4" ht="15.75" customHeight="1" x14ac:dyDescent="0.2">
      <c r="A547" s="36"/>
      <c r="B547" s="36"/>
      <c r="C547" s="39"/>
      <c r="D547" s="39"/>
    </row>
    <row r="548" spans="1:4" ht="15.75" customHeight="1" x14ac:dyDescent="0.2">
      <c r="A548" s="36"/>
      <c r="B548" s="36"/>
      <c r="C548" s="39"/>
      <c r="D548" s="39"/>
    </row>
    <row r="549" spans="1:4" ht="15.75" customHeight="1" x14ac:dyDescent="0.2">
      <c r="A549" s="36"/>
      <c r="B549" s="36"/>
      <c r="C549" s="39"/>
      <c r="D549" s="39"/>
    </row>
    <row r="550" spans="1:4" ht="15.75" customHeight="1" x14ac:dyDescent="0.2">
      <c r="A550" s="36"/>
      <c r="B550" s="36"/>
      <c r="C550" s="39"/>
      <c r="D550" s="39"/>
    </row>
    <row r="551" spans="1:4" ht="15.75" customHeight="1" x14ac:dyDescent="0.2">
      <c r="A551" s="36"/>
      <c r="B551" s="36"/>
      <c r="C551" s="39"/>
      <c r="D551" s="39"/>
    </row>
    <row r="552" spans="1:4" ht="15.75" customHeight="1" x14ac:dyDescent="0.2">
      <c r="A552" s="36"/>
      <c r="B552" s="36"/>
      <c r="C552" s="39"/>
      <c r="D552" s="39"/>
    </row>
    <row r="553" spans="1:4" ht="15.75" customHeight="1" x14ac:dyDescent="0.2">
      <c r="A553" s="36"/>
      <c r="B553" s="36"/>
      <c r="C553" s="39"/>
      <c r="D553" s="39"/>
    </row>
    <row r="554" spans="1:4" ht="15.75" customHeight="1" x14ac:dyDescent="0.2">
      <c r="A554" s="36"/>
      <c r="B554" s="36"/>
      <c r="C554" s="39"/>
      <c r="D554" s="39"/>
    </row>
    <row r="555" spans="1:4" ht="15.75" customHeight="1" x14ac:dyDescent="0.2">
      <c r="A555" s="36"/>
      <c r="B555" s="36"/>
      <c r="C555" s="39"/>
      <c r="D555" s="39"/>
    </row>
    <row r="556" spans="1:4" ht="15.75" customHeight="1" x14ac:dyDescent="0.2">
      <c r="A556" s="36"/>
      <c r="B556" s="36"/>
      <c r="C556" s="39"/>
      <c r="D556" s="39"/>
    </row>
    <row r="557" spans="1:4" ht="15.75" customHeight="1" x14ac:dyDescent="0.2">
      <c r="A557" s="36"/>
      <c r="B557" s="36"/>
      <c r="C557" s="39"/>
      <c r="D557" s="39"/>
    </row>
    <row r="558" spans="1:4" ht="15.75" customHeight="1" x14ac:dyDescent="0.2">
      <c r="A558" s="36"/>
      <c r="B558" s="36"/>
      <c r="C558" s="39"/>
      <c r="D558" s="39"/>
    </row>
    <row r="559" spans="1:4" ht="15.75" customHeight="1" x14ac:dyDescent="0.2">
      <c r="A559" s="36"/>
      <c r="B559" s="36"/>
      <c r="C559" s="39"/>
      <c r="D559" s="39"/>
    </row>
    <row r="560" spans="1:4" ht="15.75" customHeight="1" x14ac:dyDescent="0.2">
      <c r="A560" s="36"/>
      <c r="B560" s="36"/>
      <c r="C560" s="39"/>
      <c r="D560" s="39"/>
    </row>
    <row r="561" spans="1:4" ht="15.75" customHeight="1" x14ac:dyDescent="0.2">
      <c r="A561" s="36"/>
      <c r="B561" s="36"/>
      <c r="C561" s="39"/>
      <c r="D561" s="39"/>
    </row>
    <row r="562" spans="1:4" ht="15.75" customHeight="1" x14ac:dyDescent="0.2">
      <c r="A562" s="36"/>
      <c r="B562" s="36"/>
      <c r="C562" s="39"/>
      <c r="D562" s="39"/>
    </row>
    <row r="563" spans="1:4" ht="15.75" customHeight="1" x14ac:dyDescent="0.2">
      <c r="A563" s="36"/>
      <c r="B563" s="36"/>
      <c r="C563" s="39"/>
      <c r="D563" s="39"/>
    </row>
    <row r="564" spans="1:4" ht="15.75" customHeight="1" x14ac:dyDescent="0.2">
      <c r="A564" s="36"/>
      <c r="B564" s="36"/>
      <c r="C564" s="39"/>
      <c r="D564" s="39"/>
    </row>
    <row r="565" spans="1:4" ht="15.75" customHeight="1" x14ac:dyDescent="0.2">
      <c r="A565" s="36"/>
      <c r="B565" s="36"/>
      <c r="C565" s="39"/>
      <c r="D565" s="39"/>
    </row>
    <row r="566" spans="1:4" ht="15.75" customHeight="1" x14ac:dyDescent="0.2">
      <c r="A566" s="36"/>
      <c r="B566" s="36"/>
      <c r="C566" s="39"/>
      <c r="D566" s="39"/>
    </row>
    <row r="567" spans="1:4" ht="15.75" customHeight="1" x14ac:dyDescent="0.2">
      <c r="A567" s="36"/>
      <c r="B567" s="36"/>
      <c r="C567" s="39"/>
      <c r="D567" s="39"/>
    </row>
    <row r="568" spans="1:4" ht="15.75" customHeight="1" x14ac:dyDescent="0.2">
      <c r="A568" s="36"/>
      <c r="B568" s="36"/>
      <c r="C568" s="39"/>
      <c r="D568" s="39"/>
    </row>
    <row r="569" spans="1:4" ht="15.75" customHeight="1" x14ac:dyDescent="0.2">
      <c r="A569" s="36"/>
      <c r="B569" s="36"/>
      <c r="C569" s="39"/>
      <c r="D569" s="39"/>
    </row>
    <row r="570" spans="1:4" ht="15.75" customHeight="1" x14ac:dyDescent="0.2">
      <c r="A570" s="36"/>
      <c r="B570" s="36"/>
      <c r="C570" s="39"/>
      <c r="D570" s="39"/>
    </row>
    <row r="571" spans="1:4" ht="15.75" customHeight="1" x14ac:dyDescent="0.2">
      <c r="A571" s="36"/>
      <c r="B571" s="36"/>
      <c r="C571" s="39"/>
      <c r="D571" s="39"/>
    </row>
    <row r="572" spans="1:4" ht="15.75" customHeight="1" x14ac:dyDescent="0.2">
      <c r="A572" s="36"/>
      <c r="B572" s="36"/>
      <c r="C572" s="39"/>
      <c r="D572" s="39"/>
    </row>
    <row r="573" spans="1:4" ht="15.75" customHeight="1" x14ac:dyDescent="0.2">
      <c r="A573" s="36"/>
      <c r="B573" s="36"/>
      <c r="C573" s="39"/>
      <c r="D573" s="39"/>
    </row>
    <row r="574" spans="1:4" ht="15.75" customHeight="1" x14ac:dyDescent="0.2">
      <c r="A574" s="36"/>
      <c r="B574" s="36"/>
      <c r="C574" s="39"/>
      <c r="D574" s="39"/>
    </row>
    <row r="575" spans="1:4" ht="15.75" customHeight="1" x14ac:dyDescent="0.2">
      <c r="A575" s="36"/>
      <c r="B575" s="36"/>
      <c r="C575" s="39"/>
      <c r="D575" s="39"/>
    </row>
    <row r="576" spans="1:4" ht="15.75" customHeight="1" x14ac:dyDescent="0.2">
      <c r="A576" s="36"/>
      <c r="B576" s="36"/>
      <c r="C576" s="39"/>
      <c r="D576" s="39"/>
    </row>
    <row r="577" spans="1:4" ht="15.75" customHeight="1" x14ac:dyDescent="0.2">
      <c r="A577" s="36"/>
      <c r="B577" s="36"/>
      <c r="C577" s="39"/>
      <c r="D577" s="39"/>
    </row>
    <row r="578" spans="1:4" ht="15.75" customHeight="1" x14ac:dyDescent="0.2">
      <c r="A578" s="36"/>
      <c r="B578" s="36"/>
      <c r="C578" s="39"/>
      <c r="D578" s="39"/>
    </row>
    <row r="579" spans="1:4" ht="15.75" customHeight="1" x14ac:dyDescent="0.2">
      <c r="A579" s="36"/>
      <c r="B579" s="36"/>
      <c r="C579" s="39"/>
      <c r="D579" s="39"/>
    </row>
    <row r="580" spans="1:4" ht="15.75" customHeight="1" x14ac:dyDescent="0.2">
      <c r="A580" s="36"/>
      <c r="B580" s="36"/>
      <c r="C580" s="39"/>
      <c r="D580" s="39"/>
    </row>
    <row r="581" spans="1:4" ht="15.75" customHeight="1" x14ac:dyDescent="0.2">
      <c r="A581" s="36"/>
      <c r="B581" s="36"/>
      <c r="C581" s="39"/>
      <c r="D581" s="39"/>
    </row>
    <row r="582" spans="1:4" ht="15.75" customHeight="1" x14ac:dyDescent="0.2">
      <c r="A582" s="36"/>
      <c r="B582" s="36"/>
      <c r="C582" s="39"/>
      <c r="D582" s="39"/>
    </row>
    <row r="583" spans="1:4" ht="15.75" customHeight="1" x14ac:dyDescent="0.2">
      <c r="A583" s="36"/>
      <c r="B583" s="36"/>
      <c r="C583" s="39"/>
      <c r="D583" s="39"/>
    </row>
    <row r="584" spans="1:4" ht="15.75" customHeight="1" x14ac:dyDescent="0.2">
      <c r="A584" s="36"/>
      <c r="B584" s="36"/>
      <c r="C584" s="39"/>
      <c r="D584" s="39"/>
    </row>
    <row r="585" spans="1:4" ht="15.75" customHeight="1" x14ac:dyDescent="0.2">
      <c r="A585" s="36"/>
      <c r="B585" s="36"/>
      <c r="C585" s="39"/>
      <c r="D585" s="39"/>
    </row>
    <row r="586" spans="1:4" ht="15.75" customHeight="1" x14ac:dyDescent="0.2">
      <c r="A586" s="36"/>
      <c r="B586" s="36"/>
      <c r="C586" s="39"/>
      <c r="D586" s="39"/>
    </row>
    <row r="587" spans="1:4" ht="15.75" customHeight="1" x14ac:dyDescent="0.2">
      <c r="A587" s="36"/>
      <c r="B587" s="36"/>
      <c r="C587" s="39"/>
      <c r="D587" s="39"/>
    </row>
    <row r="588" spans="1:4" ht="15.75" customHeight="1" x14ac:dyDescent="0.2">
      <c r="A588" s="36"/>
      <c r="B588" s="36"/>
      <c r="C588" s="39"/>
      <c r="D588" s="39"/>
    </row>
    <row r="589" spans="1:4" ht="15.75" customHeight="1" x14ac:dyDescent="0.2">
      <c r="A589" s="36"/>
      <c r="B589" s="36"/>
      <c r="C589" s="39"/>
      <c r="D589" s="39"/>
    </row>
    <row r="590" spans="1:4" ht="15.75" customHeight="1" x14ac:dyDescent="0.2">
      <c r="A590" s="36"/>
      <c r="B590" s="36"/>
      <c r="C590" s="39"/>
      <c r="D590" s="39"/>
    </row>
    <row r="591" spans="1:4" ht="15.75" customHeight="1" x14ac:dyDescent="0.2">
      <c r="A591" s="36"/>
      <c r="B591" s="36"/>
      <c r="C591" s="39"/>
      <c r="D591" s="39"/>
    </row>
    <row r="592" spans="1:4" ht="15.75" customHeight="1" x14ac:dyDescent="0.2">
      <c r="A592" s="36"/>
      <c r="B592" s="36"/>
      <c r="C592" s="39"/>
      <c r="D592" s="39"/>
    </row>
    <row r="593" spans="1:4" ht="15.75" customHeight="1" x14ac:dyDescent="0.2">
      <c r="A593" s="36"/>
      <c r="B593" s="36"/>
      <c r="C593" s="39"/>
      <c r="D593" s="39"/>
    </row>
    <row r="594" spans="1:4" ht="15.75" customHeight="1" x14ac:dyDescent="0.2">
      <c r="A594" s="36"/>
      <c r="B594" s="36"/>
      <c r="C594" s="39"/>
      <c r="D594" s="39"/>
    </row>
    <row r="595" spans="1:4" ht="15.75" customHeight="1" x14ac:dyDescent="0.2">
      <c r="A595" s="36"/>
      <c r="B595" s="36"/>
      <c r="C595" s="39"/>
      <c r="D595" s="39"/>
    </row>
    <row r="596" spans="1:4" ht="15.75" customHeight="1" x14ac:dyDescent="0.2">
      <c r="A596" s="36"/>
      <c r="B596" s="36"/>
      <c r="C596" s="39"/>
      <c r="D596" s="39"/>
    </row>
    <row r="597" spans="1:4" ht="15.75" customHeight="1" x14ac:dyDescent="0.2">
      <c r="A597" s="36"/>
      <c r="B597" s="36"/>
      <c r="C597" s="39"/>
      <c r="D597" s="39"/>
    </row>
    <row r="598" spans="1:4" ht="15.75" customHeight="1" x14ac:dyDescent="0.2">
      <c r="A598" s="36"/>
      <c r="B598" s="36"/>
      <c r="C598" s="39"/>
      <c r="D598" s="39"/>
    </row>
    <row r="599" spans="1:4" ht="15.75" customHeight="1" x14ac:dyDescent="0.2">
      <c r="A599" s="36"/>
      <c r="B599" s="36"/>
      <c r="C599" s="39"/>
      <c r="D599" s="39"/>
    </row>
    <row r="600" spans="1:4" ht="15.75" customHeight="1" x14ac:dyDescent="0.2">
      <c r="A600" s="36"/>
      <c r="B600" s="36"/>
      <c r="C600" s="39"/>
      <c r="D600" s="39"/>
    </row>
    <row r="601" spans="1:4" ht="15.75" customHeight="1" x14ac:dyDescent="0.2">
      <c r="A601" s="36"/>
      <c r="B601" s="36"/>
      <c r="C601" s="39"/>
      <c r="D601" s="39"/>
    </row>
    <row r="602" spans="1:4" ht="15.75" customHeight="1" x14ac:dyDescent="0.2">
      <c r="A602" s="36"/>
      <c r="B602" s="36"/>
      <c r="C602" s="39"/>
      <c r="D602" s="39"/>
    </row>
    <row r="603" spans="1:4" ht="15.75" customHeight="1" x14ac:dyDescent="0.2">
      <c r="A603" s="36"/>
      <c r="B603" s="36"/>
      <c r="C603" s="39"/>
      <c r="D603" s="39"/>
    </row>
    <row r="604" spans="1:4" ht="15.75" customHeight="1" x14ac:dyDescent="0.2">
      <c r="A604" s="36"/>
      <c r="B604" s="36"/>
      <c r="C604" s="39"/>
      <c r="D604" s="39"/>
    </row>
    <row r="605" spans="1:4" ht="15.75" customHeight="1" x14ac:dyDescent="0.2">
      <c r="A605" s="36"/>
      <c r="B605" s="36"/>
      <c r="C605" s="39"/>
      <c r="D605" s="39"/>
    </row>
    <row r="606" spans="1:4" ht="15.75" customHeight="1" x14ac:dyDescent="0.2">
      <c r="A606" s="36"/>
      <c r="B606" s="36"/>
      <c r="C606" s="39"/>
      <c r="D606" s="39"/>
    </row>
    <row r="607" spans="1:4" ht="15.75" customHeight="1" x14ac:dyDescent="0.2">
      <c r="A607" s="36"/>
      <c r="B607" s="36"/>
      <c r="C607" s="39"/>
      <c r="D607" s="39"/>
    </row>
    <row r="608" spans="1:4" ht="15.75" customHeight="1" x14ac:dyDescent="0.2">
      <c r="A608" s="36"/>
      <c r="B608" s="36"/>
      <c r="C608" s="39"/>
      <c r="D608" s="39"/>
    </row>
    <row r="609" spans="1:4" ht="15.75" customHeight="1" x14ac:dyDescent="0.2">
      <c r="A609" s="36"/>
      <c r="B609" s="36"/>
      <c r="C609" s="39"/>
      <c r="D609" s="39"/>
    </row>
    <row r="610" spans="1:4" ht="15.75" customHeight="1" x14ac:dyDescent="0.2">
      <c r="A610" s="36"/>
      <c r="B610" s="36"/>
      <c r="C610" s="39"/>
      <c r="D610" s="39"/>
    </row>
    <row r="611" spans="1:4" ht="15.75" customHeight="1" x14ac:dyDescent="0.2">
      <c r="A611" s="36"/>
      <c r="B611" s="36"/>
      <c r="C611" s="39"/>
      <c r="D611" s="39"/>
    </row>
    <row r="612" spans="1:4" ht="15.75" customHeight="1" x14ac:dyDescent="0.2">
      <c r="A612" s="36"/>
      <c r="B612" s="36"/>
      <c r="C612" s="39"/>
      <c r="D612" s="39"/>
    </row>
    <row r="613" spans="1:4" ht="15.75" customHeight="1" x14ac:dyDescent="0.2">
      <c r="A613" s="36"/>
      <c r="B613" s="36"/>
      <c r="C613" s="39"/>
      <c r="D613" s="39"/>
    </row>
    <row r="614" spans="1:4" ht="15.75" customHeight="1" x14ac:dyDescent="0.2">
      <c r="A614" s="36"/>
      <c r="B614" s="36"/>
      <c r="C614" s="39"/>
      <c r="D614" s="39"/>
    </row>
    <row r="615" spans="1:4" ht="15.75" customHeight="1" x14ac:dyDescent="0.2">
      <c r="A615" s="36"/>
      <c r="B615" s="36"/>
      <c r="C615" s="39"/>
      <c r="D615" s="39"/>
    </row>
    <row r="616" spans="1:4" ht="15.75" customHeight="1" x14ac:dyDescent="0.2">
      <c r="A616" s="36"/>
      <c r="B616" s="36"/>
      <c r="C616" s="39"/>
      <c r="D616" s="39"/>
    </row>
    <row r="617" spans="1:4" ht="15.75" customHeight="1" x14ac:dyDescent="0.2">
      <c r="A617" s="36"/>
      <c r="B617" s="36"/>
      <c r="C617" s="39"/>
      <c r="D617" s="39"/>
    </row>
    <row r="618" spans="1:4" ht="15.75" customHeight="1" x14ac:dyDescent="0.2">
      <c r="A618" s="36"/>
      <c r="B618" s="36"/>
      <c r="C618" s="39"/>
      <c r="D618" s="39"/>
    </row>
    <row r="619" spans="1:4" ht="15.75" customHeight="1" x14ac:dyDescent="0.2">
      <c r="A619" s="36"/>
      <c r="B619" s="36"/>
      <c r="C619" s="39"/>
      <c r="D619" s="39"/>
    </row>
    <row r="620" spans="1:4" ht="15.75" customHeight="1" x14ac:dyDescent="0.2">
      <c r="A620" s="36"/>
      <c r="B620" s="36"/>
      <c r="C620" s="39"/>
      <c r="D620" s="39"/>
    </row>
    <row r="621" spans="1:4" ht="15.75" customHeight="1" x14ac:dyDescent="0.2">
      <c r="A621" s="36"/>
      <c r="B621" s="36"/>
      <c r="C621" s="39"/>
      <c r="D621" s="39"/>
    </row>
    <row r="622" spans="1:4" ht="15.75" customHeight="1" x14ac:dyDescent="0.2">
      <c r="A622" s="36"/>
      <c r="B622" s="36"/>
      <c r="C622" s="39"/>
      <c r="D622" s="39"/>
    </row>
    <row r="623" spans="1:4" ht="15.75" customHeight="1" x14ac:dyDescent="0.2">
      <c r="A623" s="36"/>
      <c r="B623" s="36"/>
      <c r="C623" s="39"/>
      <c r="D623" s="39"/>
    </row>
    <row r="624" spans="1:4" ht="15.75" customHeight="1" x14ac:dyDescent="0.2">
      <c r="A624" s="36"/>
      <c r="B624" s="36"/>
      <c r="C624" s="39"/>
      <c r="D624" s="39"/>
    </row>
    <row r="625" spans="1:4" ht="15.75" customHeight="1" x14ac:dyDescent="0.2">
      <c r="A625" s="36"/>
      <c r="B625" s="36"/>
      <c r="C625" s="39"/>
      <c r="D625" s="39"/>
    </row>
    <row r="626" spans="1:4" ht="15.75" customHeight="1" x14ac:dyDescent="0.2">
      <c r="A626" s="36"/>
      <c r="B626" s="36"/>
      <c r="C626" s="39"/>
      <c r="D626" s="39"/>
    </row>
    <row r="627" spans="1:4" ht="15.75" customHeight="1" x14ac:dyDescent="0.2">
      <c r="A627" s="36"/>
      <c r="B627" s="36"/>
      <c r="C627" s="39"/>
      <c r="D627" s="39"/>
    </row>
    <row r="628" spans="1:4" ht="15.75" customHeight="1" x14ac:dyDescent="0.2">
      <c r="A628" s="36"/>
      <c r="B628" s="36"/>
      <c r="C628" s="39"/>
      <c r="D628" s="39"/>
    </row>
    <row r="629" spans="1:4" ht="15.75" customHeight="1" x14ac:dyDescent="0.2">
      <c r="A629" s="36"/>
      <c r="B629" s="36"/>
      <c r="C629" s="39"/>
      <c r="D629" s="39"/>
    </row>
    <row r="630" spans="1:4" ht="15.75" customHeight="1" x14ac:dyDescent="0.2">
      <c r="A630" s="36"/>
      <c r="B630" s="36"/>
      <c r="C630" s="39"/>
      <c r="D630" s="39"/>
    </row>
    <row r="631" spans="1:4" ht="15.75" customHeight="1" x14ac:dyDescent="0.2">
      <c r="A631" s="36"/>
      <c r="B631" s="36"/>
      <c r="C631" s="39"/>
      <c r="D631" s="39"/>
    </row>
    <row r="632" spans="1:4" ht="15.75" customHeight="1" x14ac:dyDescent="0.2">
      <c r="A632" s="36"/>
      <c r="B632" s="36"/>
      <c r="C632" s="39"/>
      <c r="D632" s="39"/>
    </row>
    <row r="633" spans="1:4" ht="15.75" customHeight="1" x14ac:dyDescent="0.2">
      <c r="A633" s="36"/>
      <c r="B633" s="36"/>
      <c r="C633" s="39"/>
      <c r="D633" s="39"/>
    </row>
    <row r="634" spans="1:4" ht="15.75" customHeight="1" x14ac:dyDescent="0.2">
      <c r="A634" s="36"/>
      <c r="B634" s="36"/>
      <c r="C634" s="39"/>
      <c r="D634" s="39"/>
    </row>
    <row r="635" spans="1:4" ht="15.75" customHeight="1" x14ac:dyDescent="0.2">
      <c r="A635" s="36"/>
      <c r="B635" s="36"/>
      <c r="C635" s="39"/>
      <c r="D635" s="39"/>
    </row>
    <row r="636" spans="1:4" ht="15.75" customHeight="1" x14ac:dyDescent="0.2">
      <c r="A636" s="36"/>
      <c r="B636" s="36"/>
      <c r="C636" s="39"/>
      <c r="D636" s="39"/>
    </row>
    <row r="637" spans="1:4" ht="15.75" customHeight="1" x14ac:dyDescent="0.2">
      <c r="A637" s="36"/>
      <c r="B637" s="36"/>
      <c r="C637" s="39"/>
      <c r="D637" s="39"/>
    </row>
    <row r="638" spans="1:4" ht="15.75" customHeight="1" x14ac:dyDescent="0.2">
      <c r="A638" s="36"/>
      <c r="B638" s="36"/>
      <c r="C638" s="39"/>
      <c r="D638" s="39"/>
    </row>
    <row r="639" spans="1:4" ht="15.75" customHeight="1" x14ac:dyDescent="0.2">
      <c r="A639" s="36"/>
      <c r="B639" s="36"/>
      <c r="C639" s="39"/>
      <c r="D639" s="39"/>
    </row>
    <row r="640" spans="1:4" ht="15.75" customHeight="1" x14ac:dyDescent="0.2">
      <c r="A640" s="36"/>
      <c r="B640" s="36"/>
      <c r="C640" s="39"/>
      <c r="D640" s="39"/>
    </row>
    <row r="641" spans="1:4" ht="15.75" customHeight="1" x14ac:dyDescent="0.2">
      <c r="A641" s="36"/>
      <c r="B641" s="36"/>
      <c r="C641" s="39"/>
      <c r="D641" s="39"/>
    </row>
    <row r="642" spans="1:4" ht="15.75" customHeight="1" x14ac:dyDescent="0.2">
      <c r="A642" s="36"/>
      <c r="B642" s="36"/>
      <c r="C642" s="39"/>
      <c r="D642" s="39"/>
    </row>
    <row r="643" spans="1:4" ht="15.75" customHeight="1" x14ac:dyDescent="0.2">
      <c r="A643" s="36"/>
      <c r="B643" s="36"/>
      <c r="C643" s="39"/>
      <c r="D643" s="39"/>
    </row>
    <row r="644" spans="1:4" ht="15.75" customHeight="1" x14ac:dyDescent="0.2">
      <c r="A644" s="36"/>
      <c r="B644" s="36"/>
      <c r="C644" s="39"/>
      <c r="D644" s="39"/>
    </row>
    <row r="645" spans="1:4" ht="15.75" customHeight="1" x14ac:dyDescent="0.2">
      <c r="A645" s="36"/>
      <c r="B645" s="36"/>
      <c r="C645" s="39"/>
      <c r="D645" s="39"/>
    </row>
    <row r="646" spans="1:4" ht="15.75" customHeight="1" x14ac:dyDescent="0.2">
      <c r="A646" s="36"/>
      <c r="B646" s="36"/>
      <c r="C646" s="39"/>
      <c r="D646" s="39"/>
    </row>
    <row r="647" spans="1:4" ht="15.75" customHeight="1" x14ac:dyDescent="0.2">
      <c r="A647" s="36"/>
      <c r="B647" s="36"/>
      <c r="C647" s="39"/>
      <c r="D647" s="39"/>
    </row>
    <row r="648" spans="1:4" ht="15.75" customHeight="1" x14ac:dyDescent="0.2">
      <c r="A648" s="36"/>
      <c r="B648" s="36"/>
      <c r="C648" s="39"/>
      <c r="D648" s="39"/>
    </row>
    <row r="649" spans="1:4" ht="15.75" customHeight="1" x14ac:dyDescent="0.2">
      <c r="A649" s="36"/>
      <c r="B649" s="36"/>
      <c r="C649" s="39"/>
      <c r="D649" s="39"/>
    </row>
    <row r="650" spans="1:4" ht="15.75" customHeight="1" x14ac:dyDescent="0.2">
      <c r="A650" s="36"/>
      <c r="B650" s="36"/>
      <c r="C650" s="39"/>
      <c r="D650" s="39"/>
    </row>
    <row r="651" spans="1:4" ht="15.75" customHeight="1" x14ac:dyDescent="0.2">
      <c r="A651" s="36"/>
      <c r="B651" s="36"/>
      <c r="C651" s="39"/>
      <c r="D651" s="39"/>
    </row>
    <row r="652" spans="1:4" ht="15.75" customHeight="1" x14ac:dyDescent="0.2">
      <c r="A652" s="36"/>
      <c r="B652" s="36"/>
      <c r="C652" s="39"/>
      <c r="D652" s="39"/>
    </row>
    <row r="653" spans="1:4" ht="15.75" customHeight="1" x14ac:dyDescent="0.2">
      <c r="A653" s="36"/>
      <c r="B653" s="36"/>
      <c r="C653" s="39"/>
      <c r="D653" s="39"/>
    </row>
    <row r="654" spans="1:4" ht="15.75" customHeight="1" x14ac:dyDescent="0.2">
      <c r="A654" s="36"/>
      <c r="B654" s="36"/>
      <c r="C654" s="39"/>
      <c r="D654" s="39"/>
    </row>
    <row r="655" spans="1:4" ht="15.75" customHeight="1" x14ac:dyDescent="0.2">
      <c r="A655" s="36"/>
      <c r="B655" s="36"/>
      <c r="C655" s="39"/>
      <c r="D655" s="39"/>
    </row>
    <row r="656" spans="1:4" ht="15.75" customHeight="1" x14ac:dyDescent="0.2">
      <c r="A656" s="36"/>
      <c r="B656" s="36"/>
      <c r="C656" s="39"/>
      <c r="D656" s="39"/>
    </row>
    <row r="657" spans="1:4" ht="15.75" customHeight="1" x14ac:dyDescent="0.2">
      <c r="A657" s="36"/>
      <c r="B657" s="36"/>
      <c r="C657" s="39"/>
      <c r="D657" s="39"/>
    </row>
    <row r="658" spans="1:4" ht="15.75" customHeight="1" x14ac:dyDescent="0.2">
      <c r="A658" s="36"/>
      <c r="B658" s="36"/>
      <c r="C658" s="39"/>
      <c r="D658" s="39"/>
    </row>
    <row r="659" spans="1:4" ht="15.75" customHeight="1" x14ac:dyDescent="0.2">
      <c r="A659" s="36"/>
      <c r="B659" s="36"/>
      <c r="C659" s="39"/>
      <c r="D659" s="39"/>
    </row>
    <row r="660" spans="1:4" ht="15.75" customHeight="1" x14ac:dyDescent="0.2">
      <c r="A660" s="36"/>
      <c r="B660" s="36"/>
      <c r="C660" s="39"/>
      <c r="D660" s="39"/>
    </row>
    <row r="661" spans="1:4" ht="15.75" customHeight="1" x14ac:dyDescent="0.2">
      <c r="A661" s="36"/>
      <c r="B661" s="36"/>
      <c r="C661" s="39"/>
      <c r="D661" s="39"/>
    </row>
    <row r="662" spans="1:4" ht="15.75" customHeight="1" x14ac:dyDescent="0.2">
      <c r="A662" s="36"/>
      <c r="B662" s="36"/>
      <c r="C662" s="39"/>
      <c r="D662" s="39"/>
    </row>
    <row r="663" spans="1:4" ht="15.75" customHeight="1" x14ac:dyDescent="0.2">
      <c r="A663" s="36"/>
      <c r="B663" s="36"/>
      <c r="C663" s="39"/>
      <c r="D663" s="39"/>
    </row>
    <row r="664" spans="1:4" ht="15.75" customHeight="1" x14ac:dyDescent="0.2">
      <c r="A664" s="36"/>
      <c r="B664" s="36"/>
      <c r="C664" s="39"/>
      <c r="D664" s="39"/>
    </row>
    <row r="665" spans="1:4" ht="15.75" customHeight="1" x14ac:dyDescent="0.2">
      <c r="A665" s="36"/>
      <c r="B665" s="36"/>
      <c r="C665" s="39"/>
      <c r="D665" s="39"/>
    </row>
    <row r="666" spans="1:4" ht="15.75" customHeight="1" x14ac:dyDescent="0.2">
      <c r="A666" s="36"/>
      <c r="B666" s="36"/>
      <c r="C666" s="39"/>
      <c r="D666" s="39"/>
    </row>
    <row r="667" spans="1:4" ht="15.75" customHeight="1" x14ac:dyDescent="0.2">
      <c r="A667" s="36"/>
      <c r="B667" s="36"/>
      <c r="C667" s="39"/>
      <c r="D667" s="39"/>
    </row>
    <row r="668" spans="1:4" ht="15.75" customHeight="1" x14ac:dyDescent="0.2">
      <c r="A668" s="36"/>
      <c r="B668" s="36"/>
      <c r="C668" s="39"/>
      <c r="D668" s="39"/>
    </row>
    <row r="669" spans="1:4" ht="15.75" customHeight="1" x14ac:dyDescent="0.2">
      <c r="A669" s="36"/>
      <c r="B669" s="36"/>
      <c r="C669" s="39"/>
      <c r="D669" s="39"/>
    </row>
    <row r="670" spans="1:4" ht="15.75" customHeight="1" x14ac:dyDescent="0.2">
      <c r="A670" s="36"/>
      <c r="B670" s="36"/>
      <c r="C670" s="39"/>
      <c r="D670" s="39"/>
    </row>
    <row r="671" spans="1:4" ht="15.75" customHeight="1" x14ac:dyDescent="0.2">
      <c r="A671" s="36"/>
      <c r="B671" s="36"/>
      <c r="C671" s="39"/>
      <c r="D671" s="39"/>
    </row>
    <row r="672" spans="1:4" ht="15.75" customHeight="1" x14ac:dyDescent="0.2">
      <c r="A672" s="36"/>
      <c r="B672" s="36"/>
      <c r="C672" s="39"/>
      <c r="D672" s="39"/>
    </row>
    <row r="673" spans="1:4" ht="15.75" customHeight="1" x14ac:dyDescent="0.2">
      <c r="A673" s="36"/>
      <c r="B673" s="36"/>
      <c r="C673" s="39"/>
      <c r="D673" s="39"/>
    </row>
    <row r="674" spans="1:4" ht="15.75" customHeight="1" x14ac:dyDescent="0.2">
      <c r="A674" s="36"/>
      <c r="B674" s="36"/>
      <c r="C674" s="39"/>
      <c r="D674" s="39"/>
    </row>
    <row r="675" spans="1:4" ht="15.75" customHeight="1" x14ac:dyDescent="0.2">
      <c r="A675" s="36"/>
      <c r="B675" s="36"/>
      <c r="C675" s="39"/>
      <c r="D675" s="39"/>
    </row>
    <row r="676" spans="1:4" ht="15.75" customHeight="1" x14ac:dyDescent="0.2">
      <c r="A676" s="36"/>
      <c r="B676" s="36"/>
      <c r="C676" s="39"/>
      <c r="D676" s="39"/>
    </row>
    <row r="677" spans="1:4" ht="15.75" customHeight="1" x14ac:dyDescent="0.2">
      <c r="A677" s="36"/>
      <c r="B677" s="36"/>
      <c r="C677" s="39"/>
      <c r="D677" s="39"/>
    </row>
    <row r="678" spans="1:4" ht="15.75" customHeight="1" x14ac:dyDescent="0.2">
      <c r="A678" s="36"/>
      <c r="B678" s="36"/>
      <c r="C678" s="39"/>
      <c r="D678" s="39"/>
    </row>
    <row r="679" spans="1:4" ht="15.75" customHeight="1" x14ac:dyDescent="0.2">
      <c r="A679" s="36"/>
      <c r="B679" s="36"/>
      <c r="C679" s="39"/>
      <c r="D679" s="39"/>
    </row>
    <row r="680" spans="1:4" ht="15.75" customHeight="1" x14ac:dyDescent="0.2">
      <c r="A680" s="36"/>
      <c r="B680" s="36"/>
      <c r="C680" s="39"/>
      <c r="D680" s="39"/>
    </row>
    <row r="681" spans="1:4" ht="15.75" customHeight="1" x14ac:dyDescent="0.2">
      <c r="A681" s="36"/>
      <c r="B681" s="36"/>
      <c r="C681" s="39"/>
      <c r="D681" s="39"/>
    </row>
    <row r="682" spans="1:4" ht="15.75" customHeight="1" x14ac:dyDescent="0.2">
      <c r="A682" s="36"/>
      <c r="B682" s="36"/>
      <c r="C682" s="39"/>
      <c r="D682" s="39"/>
    </row>
    <row r="683" spans="1:4" ht="15.75" customHeight="1" x14ac:dyDescent="0.2">
      <c r="A683" s="36"/>
      <c r="B683" s="36"/>
      <c r="C683" s="39"/>
      <c r="D683" s="39"/>
    </row>
    <row r="684" spans="1:4" ht="15.75" customHeight="1" x14ac:dyDescent="0.2">
      <c r="A684" s="36"/>
      <c r="B684" s="36"/>
      <c r="C684" s="39"/>
      <c r="D684" s="39"/>
    </row>
    <row r="685" spans="1:4" ht="15.75" customHeight="1" x14ac:dyDescent="0.2">
      <c r="A685" s="36"/>
      <c r="B685" s="36"/>
      <c r="C685" s="39"/>
      <c r="D685" s="39"/>
    </row>
    <row r="686" spans="1:4" ht="15.75" customHeight="1" x14ac:dyDescent="0.2">
      <c r="A686" s="36"/>
      <c r="B686" s="36"/>
      <c r="C686" s="39"/>
      <c r="D686" s="39"/>
    </row>
    <row r="687" spans="1:4" ht="15.75" customHeight="1" x14ac:dyDescent="0.2">
      <c r="A687" s="36"/>
      <c r="B687" s="36"/>
      <c r="C687" s="39"/>
      <c r="D687" s="39"/>
    </row>
    <row r="688" spans="1:4" ht="15.75" customHeight="1" x14ac:dyDescent="0.2">
      <c r="A688" s="36"/>
      <c r="B688" s="36"/>
      <c r="C688" s="39"/>
      <c r="D688" s="39"/>
    </row>
    <row r="689" spans="1:4" ht="15.75" customHeight="1" x14ac:dyDescent="0.2">
      <c r="A689" s="36"/>
      <c r="B689" s="36"/>
      <c r="C689" s="39"/>
      <c r="D689" s="39"/>
    </row>
    <row r="690" spans="1:4" ht="15.75" customHeight="1" x14ac:dyDescent="0.2">
      <c r="A690" s="36"/>
      <c r="B690" s="36"/>
      <c r="C690" s="39"/>
      <c r="D690" s="39"/>
    </row>
    <row r="691" spans="1:4" ht="15.75" customHeight="1" x14ac:dyDescent="0.2">
      <c r="A691" s="36"/>
      <c r="B691" s="36"/>
      <c r="C691" s="39"/>
      <c r="D691" s="39"/>
    </row>
    <row r="692" spans="1:4" ht="15.75" customHeight="1" x14ac:dyDescent="0.2">
      <c r="A692" s="36"/>
      <c r="B692" s="36"/>
      <c r="C692" s="39"/>
      <c r="D692" s="39"/>
    </row>
    <row r="693" spans="1:4" ht="15.75" customHeight="1" x14ac:dyDescent="0.2">
      <c r="A693" s="36"/>
      <c r="B693" s="36"/>
      <c r="C693" s="39"/>
      <c r="D693" s="39"/>
    </row>
    <row r="694" spans="1:4" ht="15.75" customHeight="1" x14ac:dyDescent="0.2">
      <c r="A694" s="36"/>
      <c r="B694" s="36"/>
      <c r="C694" s="39"/>
      <c r="D694" s="39"/>
    </row>
    <row r="695" spans="1:4" ht="15.75" customHeight="1" x14ac:dyDescent="0.2">
      <c r="A695" s="36"/>
      <c r="B695" s="36"/>
      <c r="C695" s="39"/>
      <c r="D695" s="39"/>
    </row>
    <row r="696" spans="1:4" ht="15.75" customHeight="1" x14ac:dyDescent="0.2">
      <c r="A696" s="36"/>
      <c r="B696" s="36"/>
      <c r="C696" s="39"/>
      <c r="D696" s="39"/>
    </row>
    <row r="697" spans="1:4" ht="15.75" customHeight="1" x14ac:dyDescent="0.2">
      <c r="A697" s="36"/>
      <c r="B697" s="36"/>
      <c r="C697" s="39"/>
      <c r="D697" s="39"/>
    </row>
    <row r="698" spans="1:4" ht="15.75" customHeight="1" x14ac:dyDescent="0.2">
      <c r="A698" s="36"/>
      <c r="B698" s="36"/>
      <c r="C698" s="39"/>
      <c r="D698" s="39"/>
    </row>
    <row r="699" spans="1:4" ht="15.75" customHeight="1" x14ac:dyDescent="0.2">
      <c r="A699" s="36"/>
      <c r="B699" s="36"/>
      <c r="C699" s="39"/>
      <c r="D699" s="39"/>
    </row>
    <row r="700" spans="1:4" ht="15.75" customHeight="1" x14ac:dyDescent="0.2">
      <c r="A700" s="36"/>
      <c r="B700" s="36"/>
      <c r="C700" s="39"/>
      <c r="D700" s="39"/>
    </row>
    <row r="701" spans="1:4" ht="15.75" customHeight="1" x14ac:dyDescent="0.2">
      <c r="A701" s="36"/>
      <c r="B701" s="36"/>
      <c r="C701" s="39"/>
      <c r="D701" s="39"/>
    </row>
    <row r="702" spans="1:4" ht="15.75" customHeight="1" x14ac:dyDescent="0.2">
      <c r="A702" s="36"/>
      <c r="B702" s="36"/>
      <c r="C702" s="39"/>
      <c r="D702" s="39"/>
    </row>
    <row r="703" spans="1:4" ht="15.75" customHeight="1" x14ac:dyDescent="0.2">
      <c r="A703" s="36"/>
      <c r="B703" s="36"/>
      <c r="C703" s="39"/>
      <c r="D703" s="39"/>
    </row>
    <row r="704" spans="1:4" ht="15.75" customHeight="1" x14ac:dyDescent="0.2">
      <c r="A704" s="36"/>
      <c r="B704" s="36"/>
      <c r="C704" s="39"/>
      <c r="D704" s="39"/>
    </row>
    <row r="705" spans="1:4" ht="15.75" customHeight="1" x14ac:dyDescent="0.2">
      <c r="A705" s="36"/>
      <c r="B705" s="36"/>
      <c r="C705" s="39"/>
      <c r="D705" s="39"/>
    </row>
    <row r="706" spans="1:4" ht="15.75" customHeight="1" x14ac:dyDescent="0.2">
      <c r="A706" s="36"/>
      <c r="B706" s="36"/>
      <c r="C706" s="39"/>
      <c r="D706" s="39"/>
    </row>
    <row r="707" spans="1:4" ht="15.75" customHeight="1" x14ac:dyDescent="0.2">
      <c r="A707" s="36"/>
      <c r="B707" s="36"/>
      <c r="C707" s="39"/>
      <c r="D707" s="39"/>
    </row>
    <row r="708" spans="1:4" ht="15.75" customHeight="1" x14ac:dyDescent="0.2">
      <c r="A708" s="36"/>
      <c r="B708" s="36"/>
      <c r="C708" s="39"/>
      <c r="D708" s="39"/>
    </row>
    <row r="709" spans="1:4" ht="15.75" customHeight="1" x14ac:dyDescent="0.2">
      <c r="A709" s="36"/>
      <c r="B709" s="36"/>
      <c r="C709" s="39"/>
      <c r="D709" s="39"/>
    </row>
    <row r="710" spans="1:4" ht="15.75" customHeight="1" x14ac:dyDescent="0.2">
      <c r="A710" s="36"/>
      <c r="B710" s="36"/>
      <c r="C710" s="39"/>
      <c r="D710" s="39"/>
    </row>
    <row r="711" spans="1:4" ht="15.75" customHeight="1" x14ac:dyDescent="0.2">
      <c r="A711" s="36"/>
      <c r="B711" s="36"/>
      <c r="C711" s="39"/>
      <c r="D711" s="39"/>
    </row>
    <row r="712" spans="1:4" ht="15.75" customHeight="1" x14ac:dyDescent="0.2">
      <c r="A712" s="36"/>
      <c r="B712" s="36"/>
      <c r="C712" s="39"/>
      <c r="D712" s="39"/>
    </row>
    <row r="713" spans="1:4" ht="15.75" customHeight="1" x14ac:dyDescent="0.2">
      <c r="A713" s="36"/>
      <c r="B713" s="36"/>
      <c r="C713" s="39"/>
      <c r="D713" s="39"/>
    </row>
    <row r="714" spans="1:4" ht="15.75" customHeight="1" x14ac:dyDescent="0.2">
      <c r="A714" s="36"/>
      <c r="B714" s="36"/>
      <c r="C714" s="39"/>
      <c r="D714" s="39"/>
    </row>
    <row r="715" spans="1:4" ht="15.75" customHeight="1" x14ac:dyDescent="0.2">
      <c r="A715" s="36"/>
      <c r="B715" s="36"/>
      <c r="C715" s="39"/>
      <c r="D715" s="39"/>
    </row>
    <row r="716" spans="1:4" ht="15.75" customHeight="1" x14ac:dyDescent="0.2">
      <c r="A716" s="36"/>
      <c r="B716" s="36"/>
      <c r="C716" s="39"/>
      <c r="D716" s="39"/>
    </row>
    <row r="717" spans="1:4" ht="15.75" customHeight="1" x14ac:dyDescent="0.2">
      <c r="A717" s="36"/>
      <c r="B717" s="36"/>
      <c r="C717" s="39"/>
      <c r="D717" s="39"/>
    </row>
    <row r="718" spans="1:4" ht="15.75" customHeight="1" x14ac:dyDescent="0.2">
      <c r="A718" s="36"/>
      <c r="B718" s="36"/>
      <c r="C718" s="39"/>
      <c r="D718" s="39"/>
    </row>
    <row r="719" spans="1:4" ht="15.75" customHeight="1" x14ac:dyDescent="0.2">
      <c r="A719" s="36"/>
      <c r="B719" s="36"/>
      <c r="C719" s="39"/>
      <c r="D719" s="39"/>
    </row>
    <row r="720" spans="1:4" ht="15.75" customHeight="1" x14ac:dyDescent="0.2">
      <c r="A720" s="36"/>
      <c r="B720" s="36"/>
      <c r="C720" s="39"/>
      <c r="D720" s="39"/>
    </row>
    <row r="721" spans="1:4" ht="15.75" customHeight="1" x14ac:dyDescent="0.2">
      <c r="A721" s="36"/>
      <c r="B721" s="36"/>
      <c r="C721" s="39"/>
      <c r="D721" s="39"/>
    </row>
    <row r="722" spans="1:4" ht="15.75" customHeight="1" x14ac:dyDescent="0.2">
      <c r="A722" s="36"/>
      <c r="B722" s="36"/>
      <c r="C722" s="39"/>
      <c r="D722" s="39"/>
    </row>
    <row r="723" spans="1:4" ht="15.75" customHeight="1" x14ac:dyDescent="0.2">
      <c r="A723" s="36"/>
      <c r="B723" s="36"/>
      <c r="C723" s="39"/>
      <c r="D723" s="39"/>
    </row>
    <row r="724" spans="1:4" ht="15.75" customHeight="1" x14ac:dyDescent="0.2">
      <c r="A724" s="36"/>
      <c r="B724" s="36"/>
      <c r="C724" s="39"/>
      <c r="D724" s="39"/>
    </row>
    <row r="725" spans="1:4" ht="15.75" customHeight="1" x14ac:dyDescent="0.2">
      <c r="A725" s="36"/>
      <c r="B725" s="36"/>
      <c r="C725" s="39"/>
      <c r="D725" s="39"/>
    </row>
    <row r="726" spans="1:4" ht="15.75" customHeight="1" x14ac:dyDescent="0.2">
      <c r="A726" s="36"/>
      <c r="B726" s="36"/>
      <c r="C726" s="39"/>
      <c r="D726" s="39"/>
    </row>
    <row r="727" spans="1:4" ht="15.75" customHeight="1" x14ac:dyDescent="0.2">
      <c r="A727" s="36"/>
      <c r="B727" s="36"/>
      <c r="C727" s="39"/>
      <c r="D727" s="39"/>
    </row>
    <row r="728" spans="1:4" ht="15.75" customHeight="1" x14ac:dyDescent="0.2">
      <c r="A728" s="36"/>
      <c r="B728" s="36"/>
      <c r="C728" s="39"/>
      <c r="D728" s="39"/>
    </row>
    <row r="729" spans="1:4" ht="15.75" customHeight="1" x14ac:dyDescent="0.2">
      <c r="A729" s="36"/>
      <c r="B729" s="36"/>
      <c r="C729" s="39"/>
      <c r="D729" s="39"/>
    </row>
    <row r="730" spans="1:4" ht="15.75" customHeight="1" x14ac:dyDescent="0.2">
      <c r="A730" s="36"/>
      <c r="B730" s="36"/>
      <c r="C730" s="39"/>
      <c r="D730" s="39"/>
    </row>
    <row r="731" spans="1:4" ht="15.75" customHeight="1" x14ac:dyDescent="0.2">
      <c r="A731" s="36"/>
      <c r="B731" s="36"/>
      <c r="C731" s="39"/>
      <c r="D731" s="39"/>
    </row>
    <row r="732" spans="1:4" ht="15.75" customHeight="1" x14ac:dyDescent="0.2">
      <c r="A732" s="36"/>
      <c r="B732" s="36"/>
      <c r="C732" s="39"/>
      <c r="D732" s="39"/>
    </row>
    <row r="733" spans="1:4" ht="15.75" customHeight="1" x14ac:dyDescent="0.2">
      <c r="A733" s="36"/>
      <c r="B733" s="36"/>
      <c r="C733" s="39"/>
      <c r="D733" s="39"/>
    </row>
    <row r="734" spans="1:4" ht="15.75" customHeight="1" x14ac:dyDescent="0.2">
      <c r="A734" s="36"/>
      <c r="B734" s="36"/>
      <c r="C734" s="39"/>
      <c r="D734" s="39"/>
    </row>
    <row r="735" spans="1:4" ht="15.75" customHeight="1" x14ac:dyDescent="0.2">
      <c r="A735" s="36"/>
      <c r="B735" s="36"/>
      <c r="C735" s="39"/>
      <c r="D735" s="39"/>
    </row>
    <row r="736" spans="1:4" ht="15.75" customHeight="1" x14ac:dyDescent="0.2">
      <c r="A736" s="36"/>
      <c r="B736" s="36"/>
      <c r="C736" s="39"/>
      <c r="D736" s="39"/>
    </row>
    <row r="737" spans="1:4" ht="15.75" customHeight="1" x14ac:dyDescent="0.2">
      <c r="A737" s="36"/>
      <c r="B737" s="36"/>
      <c r="C737" s="39"/>
      <c r="D737" s="39"/>
    </row>
    <row r="738" spans="1:4" ht="15.75" customHeight="1" x14ac:dyDescent="0.2">
      <c r="A738" s="36"/>
      <c r="B738" s="36"/>
      <c r="C738" s="39"/>
      <c r="D738" s="39"/>
    </row>
    <row r="739" spans="1:4" ht="15.75" customHeight="1" x14ac:dyDescent="0.2">
      <c r="A739" s="36"/>
      <c r="B739" s="36"/>
      <c r="C739" s="39"/>
      <c r="D739" s="39"/>
    </row>
    <row r="740" spans="1:4" ht="15.75" customHeight="1" x14ac:dyDescent="0.2">
      <c r="A740" s="36"/>
      <c r="B740" s="36"/>
      <c r="C740" s="39"/>
      <c r="D740" s="39"/>
    </row>
    <row r="741" spans="1:4" ht="15.75" customHeight="1" x14ac:dyDescent="0.2">
      <c r="A741" s="36"/>
      <c r="B741" s="36"/>
      <c r="C741" s="39"/>
      <c r="D741" s="39"/>
    </row>
    <row r="742" spans="1:4" ht="15.75" customHeight="1" x14ac:dyDescent="0.2">
      <c r="A742" s="36"/>
      <c r="B742" s="36"/>
      <c r="C742" s="39"/>
      <c r="D742" s="39"/>
    </row>
    <row r="743" spans="1:4" ht="15.75" customHeight="1" x14ac:dyDescent="0.2">
      <c r="A743" s="36"/>
      <c r="B743" s="36"/>
      <c r="C743" s="39"/>
      <c r="D743" s="39"/>
    </row>
    <row r="744" spans="1:4" ht="15.75" customHeight="1" x14ac:dyDescent="0.2">
      <c r="A744" s="36"/>
      <c r="B744" s="36"/>
      <c r="C744" s="39"/>
      <c r="D744" s="39"/>
    </row>
    <row r="745" spans="1:4" ht="15.75" customHeight="1" x14ac:dyDescent="0.2">
      <c r="A745" s="36"/>
      <c r="B745" s="36"/>
      <c r="C745" s="39"/>
      <c r="D745" s="39"/>
    </row>
    <row r="746" spans="1:4" ht="15.75" customHeight="1" x14ac:dyDescent="0.2">
      <c r="A746" s="36"/>
      <c r="B746" s="36"/>
      <c r="C746" s="39"/>
      <c r="D746" s="39"/>
    </row>
    <row r="747" spans="1:4" ht="15.75" customHeight="1" x14ac:dyDescent="0.2">
      <c r="A747" s="36"/>
      <c r="B747" s="36"/>
      <c r="C747" s="39"/>
      <c r="D747" s="39"/>
    </row>
    <row r="748" spans="1:4" ht="15.75" customHeight="1" x14ac:dyDescent="0.2">
      <c r="A748" s="36"/>
      <c r="B748" s="36"/>
      <c r="C748" s="39"/>
      <c r="D748" s="39"/>
    </row>
    <row r="749" spans="1:4" ht="15.75" customHeight="1" x14ac:dyDescent="0.2">
      <c r="A749" s="36"/>
      <c r="B749" s="36"/>
      <c r="C749" s="39"/>
      <c r="D749" s="39"/>
    </row>
    <row r="750" spans="1:4" ht="15.75" customHeight="1" x14ac:dyDescent="0.2">
      <c r="A750" s="36"/>
      <c r="B750" s="36"/>
      <c r="C750" s="39"/>
      <c r="D750" s="39"/>
    </row>
    <row r="751" spans="1:4" ht="15.75" customHeight="1" x14ac:dyDescent="0.2">
      <c r="A751" s="36"/>
      <c r="B751" s="36"/>
      <c r="C751" s="39"/>
      <c r="D751" s="39"/>
    </row>
    <row r="752" spans="1:4" ht="15.75" customHeight="1" x14ac:dyDescent="0.2">
      <c r="A752" s="36"/>
      <c r="B752" s="36"/>
      <c r="C752" s="39"/>
      <c r="D752" s="39"/>
    </row>
    <row r="753" spans="1:4" ht="15.75" customHeight="1" x14ac:dyDescent="0.2">
      <c r="A753" s="36"/>
      <c r="B753" s="36"/>
      <c r="C753" s="39"/>
      <c r="D753" s="39"/>
    </row>
    <row r="754" spans="1:4" ht="15.75" customHeight="1" x14ac:dyDescent="0.2">
      <c r="A754" s="36"/>
      <c r="B754" s="36"/>
      <c r="C754" s="39"/>
      <c r="D754" s="39"/>
    </row>
    <row r="755" spans="1:4" ht="15.75" customHeight="1" x14ac:dyDescent="0.2">
      <c r="A755" s="36"/>
      <c r="B755" s="36"/>
      <c r="C755" s="39"/>
      <c r="D755" s="39"/>
    </row>
    <row r="756" spans="1:4" ht="15.75" customHeight="1" x14ac:dyDescent="0.2">
      <c r="A756" s="36"/>
      <c r="B756" s="36"/>
      <c r="C756" s="39"/>
      <c r="D756" s="39"/>
    </row>
    <row r="757" spans="1:4" ht="15.75" customHeight="1" x14ac:dyDescent="0.2">
      <c r="A757" s="36"/>
      <c r="B757" s="36"/>
      <c r="C757" s="39"/>
      <c r="D757" s="39"/>
    </row>
    <row r="758" spans="1:4" ht="15.75" customHeight="1" x14ac:dyDescent="0.2">
      <c r="A758" s="36"/>
      <c r="B758" s="36"/>
      <c r="C758" s="39"/>
      <c r="D758" s="39"/>
    </row>
    <row r="759" spans="1:4" ht="15.75" customHeight="1" x14ac:dyDescent="0.2">
      <c r="A759" s="36"/>
      <c r="B759" s="36"/>
      <c r="C759" s="39"/>
      <c r="D759" s="39"/>
    </row>
    <row r="760" spans="1:4" ht="15.75" customHeight="1" x14ac:dyDescent="0.2">
      <c r="A760" s="36"/>
      <c r="B760" s="36"/>
      <c r="C760" s="39"/>
      <c r="D760" s="39"/>
    </row>
    <row r="761" spans="1:4" ht="15.75" customHeight="1" x14ac:dyDescent="0.2">
      <c r="A761" s="36"/>
      <c r="B761" s="36"/>
      <c r="C761" s="39"/>
      <c r="D761" s="39"/>
    </row>
    <row r="762" spans="1:4" ht="15.75" customHeight="1" x14ac:dyDescent="0.2">
      <c r="A762" s="36"/>
      <c r="B762" s="36"/>
      <c r="C762" s="39"/>
      <c r="D762" s="39"/>
    </row>
    <row r="763" spans="1:4" ht="15.75" customHeight="1" x14ac:dyDescent="0.2">
      <c r="A763" s="36"/>
      <c r="B763" s="36"/>
      <c r="C763" s="39"/>
      <c r="D763" s="39"/>
    </row>
    <row r="764" spans="1:4" ht="15.75" customHeight="1" x14ac:dyDescent="0.2">
      <c r="A764" s="36"/>
      <c r="B764" s="36"/>
      <c r="C764" s="39"/>
      <c r="D764" s="39"/>
    </row>
    <row r="765" spans="1:4" ht="15.75" customHeight="1" x14ac:dyDescent="0.2">
      <c r="A765" s="36"/>
      <c r="B765" s="36"/>
      <c r="C765" s="39"/>
      <c r="D765" s="39"/>
    </row>
    <row r="766" spans="1:4" ht="15.75" customHeight="1" x14ac:dyDescent="0.2">
      <c r="A766" s="36"/>
      <c r="B766" s="36"/>
      <c r="C766" s="39"/>
      <c r="D766" s="39"/>
    </row>
    <row r="767" spans="1:4" ht="15.75" customHeight="1" x14ac:dyDescent="0.2">
      <c r="A767" s="36"/>
      <c r="B767" s="36"/>
      <c r="C767" s="39"/>
      <c r="D767" s="39"/>
    </row>
    <row r="768" spans="1:4" ht="15.75" customHeight="1" x14ac:dyDescent="0.2">
      <c r="A768" s="36"/>
      <c r="B768" s="36"/>
      <c r="C768" s="39"/>
      <c r="D768" s="39"/>
    </row>
    <row r="769" spans="1:4" ht="15.75" customHeight="1" x14ac:dyDescent="0.2">
      <c r="A769" s="36"/>
      <c r="B769" s="36"/>
      <c r="C769" s="39"/>
      <c r="D769" s="39"/>
    </row>
    <row r="770" spans="1:4" ht="15.75" customHeight="1" x14ac:dyDescent="0.2">
      <c r="A770" s="36"/>
      <c r="B770" s="36"/>
      <c r="C770" s="39"/>
      <c r="D770" s="39"/>
    </row>
    <row r="771" spans="1:4" ht="15.75" customHeight="1" x14ac:dyDescent="0.2">
      <c r="A771" s="36"/>
      <c r="B771" s="36"/>
      <c r="C771" s="39"/>
      <c r="D771" s="39"/>
    </row>
    <row r="772" spans="1:4" ht="15.75" customHeight="1" x14ac:dyDescent="0.2">
      <c r="A772" s="36"/>
      <c r="B772" s="36"/>
      <c r="C772" s="39"/>
      <c r="D772" s="39"/>
    </row>
    <row r="773" spans="1:4" ht="15.75" customHeight="1" x14ac:dyDescent="0.2">
      <c r="A773" s="36"/>
      <c r="B773" s="36"/>
      <c r="C773" s="39"/>
      <c r="D773" s="39"/>
    </row>
    <row r="774" spans="1:4" ht="15.75" customHeight="1" x14ac:dyDescent="0.2">
      <c r="A774" s="36"/>
      <c r="B774" s="36"/>
      <c r="C774" s="39"/>
      <c r="D774" s="39"/>
    </row>
    <row r="775" spans="1:4" ht="15.75" customHeight="1" x14ac:dyDescent="0.2">
      <c r="A775" s="36"/>
      <c r="B775" s="36"/>
      <c r="C775" s="39"/>
      <c r="D775" s="39"/>
    </row>
    <row r="776" spans="1:4" ht="15.75" customHeight="1" x14ac:dyDescent="0.2">
      <c r="A776" s="36"/>
      <c r="B776" s="36"/>
      <c r="C776" s="39"/>
      <c r="D776" s="39"/>
    </row>
    <row r="777" spans="1:4" ht="15.75" customHeight="1" x14ac:dyDescent="0.2">
      <c r="A777" s="36"/>
      <c r="B777" s="36"/>
      <c r="C777" s="39"/>
      <c r="D777" s="39"/>
    </row>
    <row r="778" spans="1:4" ht="15.75" customHeight="1" x14ac:dyDescent="0.2">
      <c r="A778" s="36"/>
      <c r="B778" s="36"/>
      <c r="C778" s="39"/>
      <c r="D778" s="39"/>
    </row>
    <row r="779" spans="1:4" ht="15.75" customHeight="1" x14ac:dyDescent="0.2">
      <c r="A779" s="36"/>
      <c r="B779" s="36"/>
      <c r="C779" s="39"/>
      <c r="D779" s="39"/>
    </row>
    <row r="780" spans="1:4" ht="15.75" customHeight="1" x14ac:dyDescent="0.2">
      <c r="A780" s="36"/>
      <c r="B780" s="36"/>
      <c r="C780" s="39"/>
      <c r="D780" s="39"/>
    </row>
    <row r="781" spans="1:4" ht="15.75" customHeight="1" x14ac:dyDescent="0.2">
      <c r="A781" s="36"/>
      <c r="B781" s="36"/>
      <c r="C781" s="39"/>
      <c r="D781" s="39"/>
    </row>
    <row r="782" spans="1:4" ht="15.75" customHeight="1" x14ac:dyDescent="0.2">
      <c r="A782" s="36"/>
      <c r="B782" s="36"/>
      <c r="C782" s="39"/>
      <c r="D782" s="39"/>
    </row>
    <row r="783" spans="1:4" ht="15.75" customHeight="1" x14ac:dyDescent="0.2">
      <c r="A783" s="36"/>
      <c r="B783" s="36"/>
      <c r="C783" s="39"/>
      <c r="D783" s="39"/>
    </row>
    <row r="784" spans="1:4" ht="15.75" customHeight="1" x14ac:dyDescent="0.2">
      <c r="A784" s="36"/>
      <c r="B784" s="36"/>
      <c r="C784" s="39"/>
      <c r="D784" s="39"/>
    </row>
    <row r="785" spans="1:4" ht="15.75" customHeight="1" x14ac:dyDescent="0.2">
      <c r="A785" s="36"/>
      <c r="B785" s="36"/>
      <c r="C785" s="39"/>
      <c r="D785" s="39"/>
    </row>
    <row r="786" spans="1:4" ht="15.75" customHeight="1" x14ac:dyDescent="0.2">
      <c r="A786" s="36"/>
      <c r="B786" s="36"/>
      <c r="C786" s="39"/>
      <c r="D786" s="39"/>
    </row>
    <row r="787" spans="1:4" ht="15.75" customHeight="1" x14ac:dyDescent="0.2">
      <c r="A787" s="36"/>
      <c r="B787" s="36"/>
      <c r="C787" s="39"/>
      <c r="D787" s="39"/>
    </row>
    <row r="788" spans="1:4" ht="15.75" customHeight="1" x14ac:dyDescent="0.2">
      <c r="A788" s="36"/>
      <c r="B788" s="36"/>
      <c r="C788" s="39"/>
      <c r="D788" s="39"/>
    </row>
    <row r="789" spans="1:4" ht="15.75" customHeight="1" x14ac:dyDescent="0.2">
      <c r="A789" s="36"/>
      <c r="B789" s="36"/>
      <c r="C789" s="39"/>
      <c r="D789" s="39"/>
    </row>
    <row r="790" spans="1:4" ht="15.75" customHeight="1" x14ac:dyDescent="0.2">
      <c r="A790" s="36"/>
      <c r="B790" s="36"/>
      <c r="C790" s="39"/>
      <c r="D790" s="39"/>
    </row>
    <row r="791" spans="1:4" ht="15.75" customHeight="1" x14ac:dyDescent="0.2">
      <c r="A791" s="36"/>
      <c r="B791" s="36"/>
      <c r="C791" s="39"/>
      <c r="D791" s="39"/>
    </row>
    <row r="792" spans="1:4" ht="15.75" customHeight="1" x14ac:dyDescent="0.2">
      <c r="A792" s="36"/>
      <c r="B792" s="36"/>
      <c r="C792" s="39"/>
      <c r="D792" s="39"/>
    </row>
    <row r="793" spans="1:4" ht="15.75" customHeight="1" x14ac:dyDescent="0.2">
      <c r="A793" s="36"/>
      <c r="B793" s="36"/>
      <c r="C793" s="39"/>
      <c r="D793" s="39"/>
    </row>
    <row r="794" spans="1:4" ht="15.75" customHeight="1" x14ac:dyDescent="0.2">
      <c r="A794" s="36"/>
      <c r="B794" s="36"/>
      <c r="C794" s="39"/>
      <c r="D794" s="39"/>
    </row>
    <row r="795" spans="1:4" ht="15.75" customHeight="1" x14ac:dyDescent="0.2">
      <c r="A795" s="36"/>
      <c r="B795" s="36"/>
      <c r="C795" s="39"/>
      <c r="D795" s="39"/>
    </row>
    <row r="796" spans="1:4" ht="15.75" customHeight="1" x14ac:dyDescent="0.2">
      <c r="A796" s="36"/>
      <c r="B796" s="36"/>
      <c r="C796" s="39"/>
      <c r="D796" s="39"/>
    </row>
    <row r="797" spans="1:4" ht="15.75" customHeight="1" x14ac:dyDescent="0.2">
      <c r="A797" s="36"/>
      <c r="B797" s="36"/>
      <c r="C797" s="39"/>
      <c r="D797" s="39"/>
    </row>
    <row r="798" spans="1:4" ht="15.75" customHeight="1" x14ac:dyDescent="0.2">
      <c r="A798" s="36"/>
      <c r="B798" s="36"/>
      <c r="C798" s="39"/>
      <c r="D798" s="39"/>
    </row>
    <row r="799" spans="1:4" ht="15.75" customHeight="1" x14ac:dyDescent="0.2">
      <c r="A799" s="36"/>
      <c r="B799" s="36"/>
      <c r="C799" s="39"/>
      <c r="D799" s="39"/>
    </row>
    <row r="800" spans="1:4" ht="15.75" customHeight="1" x14ac:dyDescent="0.2">
      <c r="A800" s="36"/>
      <c r="B800" s="36"/>
      <c r="C800" s="39"/>
      <c r="D800" s="39"/>
    </row>
    <row r="801" spans="1:4" ht="15.75" customHeight="1" x14ac:dyDescent="0.2">
      <c r="A801" s="36"/>
      <c r="B801" s="36"/>
      <c r="C801" s="39"/>
      <c r="D801" s="39"/>
    </row>
    <row r="802" spans="1:4" ht="15.75" customHeight="1" x14ac:dyDescent="0.2">
      <c r="A802" s="36"/>
      <c r="B802" s="36"/>
      <c r="C802" s="39"/>
      <c r="D802" s="39"/>
    </row>
    <row r="803" spans="1:4" ht="15.75" customHeight="1" x14ac:dyDescent="0.2">
      <c r="A803" s="36"/>
      <c r="B803" s="36"/>
      <c r="C803" s="39"/>
      <c r="D803" s="39"/>
    </row>
    <row r="804" spans="1:4" ht="15.75" customHeight="1" x14ac:dyDescent="0.2">
      <c r="A804" s="36"/>
      <c r="B804" s="36"/>
      <c r="C804" s="39"/>
      <c r="D804" s="39"/>
    </row>
    <row r="805" spans="1:4" ht="15.75" customHeight="1" x14ac:dyDescent="0.2">
      <c r="A805" s="36"/>
      <c r="B805" s="36"/>
      <c r="C805" s="39"/>
      <c r="D805" s="39"/>
    </row>
    <row r="806" spans="1:4" ht="15.75" customHeight="1" x14ac:dyDescent="0.2">
      <c r="A806" s="36"/>
      <c r="B806" s="36"/>
      <c r="C806" s="39"/>
      <c r="D806" s="39"/>
    </row>
    <row r="807" spans="1:4" ht="15.75" customHeight="1" x14ac:dyDescent="0.2">
      <c r="A807" s="36"/>
      <c r="B807" s="36"/>
      <c r="C807" s="39"/>
      <c r="D807" s="39"/>
    </row>
    <row r="808" spans="1:4" ht="15.75" customHeight="1" x14ac:dyDescent="0.2">
      <c r="A808" s="36"/>
      <c r="B808" s="36"/>
      <c r="C808" s="39"/>
      <c r="D808" s="39"/>
    </row>
    <row r="809" spans="1:4" ht="15.75" customHeight="1" x14ac:dyDescent="0.2">
      <c r="A809" s="36"/>
      <c r="B809" s="36"/>
      <c r="C809" s="39"/>
      <c r="D809" s="39"/>
    </row>
    <row r="810" spans="1:4" ht="15.75" customHeight="1" x14ac:dyDescent="0.2">
      <c r="A810" s="36"/>
      <c r="B810" s="36"/>
      <c r="C810" s="39"/>
      <c r="D810" s="39"/>
    </row>
    <row r="811" spans="1:4" ht="15.75" customHeight="1" x14ac:dyDescent="0.2">
      <c r="A811" s="36"/>
      <c r="B811" s="36"/>
      <c r="C811" s="39"/>
      <c r="D811" s="39"/>
    </row>
    <row r="812" spans="1:4" ht="15.75" customHeight="1" x14ac:dyDescent="0.2">
      <c r="A812" s="36"/>
      <c r="B812" s="36"/>
      <c r="C812" s="39"/>
      <c r="D812" s="39"/>
    </row>
    <row r="813" spans="1:4" ht="15.75" customHeight="1" x14ac:dyDescent="0.2">
      <c r="A813" s="36"/>
      <c r="B813" s="36"/>
      <c r="C813" s="39"/>
      <c r="D813" s="39"/>
    </row>
    <row r="814" spans="1:4" ht="15.75" customHeight="1" x14ac:dyDescent="0.2">
      <c r="A814" s="36"/>
      <c r="B814" s="36"/>
      <c r="C814" s="39"/>
      <c r="D814" s="39"/>
    </row>
    <row r="815" spans="1:4" ht="15.75" customHeight="1" x14ac:dyDescent="0.2">
      <c r="A815" s="36"/>
      <c r="B815" s="36"/>
      <c r="C815" s="39"/>
      <c r="D815" s="39"/>
    </row>
    <row r="816" spans="1:4" ht="15.75" customHeight="1" x14ac:dyDescent="0.2">
      <c r="A816" s="36"/>
      <c r="B816" s="36"/>
      <c r="C816" s="39"/>
      <c r="D816" s="39"/>
    </row>
    <row r="817" spans="1:4" ht="15.75" customHeight="1" x14ac:dyDescent="0.2">
      <c r="A817" s="36"/>
      <c r="B817" s="36"/>
      <c r="C817" s="39"/>
      <c r="D817" s="39"/>
    </row>
    <row r="818" spans="1:4" ht="15.75" customHeight="1" x14ac:dyDescent="0.2">
      <c r="A818" s="36"/>
      <c r="B818" s="36"/>
      <c r="C818" s="39"/>
      <c r="D818" s="39"/>
    </row>
    <row r="819" spans="1:4" ht="15.75" customHeight="1" x14ac:dyDescent="0.2">
      <c r="A819" s="36"/>
      <c r="B819" s="36"/>
      <c r="C819" s="39"/>
      <c r="D819" s="39"/>
    </row>
    <row r="820" spans="1:4" ht="15.75" customHeight="1" x14ac:dyDescent="0.2">
      <c r="A820" s="36"/>
      <c r="B820" s="36"/>
      <c r="C820" s="39"/>
      <c r="D820" s="39"/>
    </row>
    <row r="821" spans="1:4" ht="15.75" customHeight="1" x14ac:dyDescent="0.2">
      <c r="A821" s="36"/>
      <c r="B821" s="36"/>
      <c r="C821" s="39"/>
      <c r="D821" s="39"/>
    </row>
    <row r="822" spans="1:4" ht="15.75" customHeight="1" x14ac:dyDescent="0.2">
      <c r="A822" s="36"/>
      <c r="B822" s="36"/>
      <c r="C822" s="39"/>
      <c r="D822" s="39"/>
    </row>
    <row r="823" spans="1:4" ht="15.75" customHeight="1" x14ac:dyDescent="0.2">
      <c r="A823" s="36"/>
      <c r="B823" s="36"/>
      <c r="C823" s="39"/>
      <c r="D823" s="39"/>
    </row>
    <row r="824" spans="1:4" ht="15.75" customHeight="1" x14ac:dyDescent="0.2">
      <c r="A824" s="36"/>
      <c r="B824" s="36"/>
      <c r="C824" s="39"/>
      <c r="D824" s="39"/>
    </row>
    <row r="825" spans="1:4" ht="15.75" customHeight="1" x14ac:dyDescent="0.2">
      <c r="A825" s="36"/>
      <c r="B825" s="36"/>
      <c r="C825" s="39"/>
      <c r="D825" s="39"/>
    </row>
    <row r="826" spans="1:4" ht="15.75" customHeight="1" x14ac:dyDescent="0.2">
      <c r="A826" s="36"/>
      <c r="B826" s="36"/>
      <c r="C826" s="39"/>
      <c r="D826" s="39"/>
    </row>
    <row r="827" spans="1:4" ht="15.75" customHeight="1" x14ac:dyDescent="0.2">
      <c r="A827" s="36"/>
      <c r="B827" s="36"/>
      <c r="C827" s="39"/>
      <c r="D827" s="39"/>
    </row>
    <row r="828" spans="1:4" ht="15.75" customHeight="1" x14ac:dyDescent="0.2">
      <c r="A828" s="36"/>
      <c r="B828" s="36"/>
      <c r="C828" s="39"/>
      <c r="D828" s="39"/>
    </row>
    <row r="829" spans="1:4" ht="15.75" customHeight="1" x14ac:dyDescent="0.2">
      <c r="A829" s="36"/>
      <c r="B829" s="36"/>
      <c r="C829" s="39"/>
      <c r="D829" s="39"/>
    </row>
    <row r="830" spans="1:4" ht="15.75" customHeight="1" x14ac:dyDescent="0.2">
      <c r="A830" s="36"/>
      <c r="B830" s="36"/>
      <c r="C830" s="39"/>
      <c r="D830" s="39"/>
    </row>
    <row r="831" spans="1:4" ht="15.75" customHeight="1" x14ac:dyDescent="0.2">
      <c r="A831" s="36"/>
      <c r="B831" s="36"/>
      <c r="C831" s="39"/>
      <c r="D831" s="39"/>
    </row>
    <row r="832" spans="1:4" ht="15.75" customHeight="1" x14ac:dyDescent="0.2">
      <c r="A832" s="36"/>
      <c r="B832" s="36"/>
      <c r="C832" s="39"/>
      <c r="D832" s="39"/>
    </row>
    <row r="833" spans="1:4" ht="15.75" customHeight="1" x14ac:dyDescent="0.2">
      <c r="A833" s="36"/>
      <c r="B833" s="36"/>
      <c r="C833" s="39"/>
      <c r="D833" s="39"/>
    </row>
    <row r="834" spans="1:4" ht="15.75" customHeight="1" x14ac:dyDescent="0.2">
      <c r="A834" s="36"/>
      <c r="B834" s="36"/>
      <c r="C834" s="39"/>
      <c r="D834" s="39"/>
    </row>
    <row r="835" spans="1:4" ht="15.75" customHeight="1" x14ac:dyDescent="0.2">
      <c r="A835" s="36"/>
      <c r="B835" s="36"/>
      <c r="C835" s="39"/>
      <c r="D835" s="39"/>
    </row>
    <row r="836" spans="1:4" ht="15.75" customHeight="1" x14ac:dyDescent="0.2">
      <c r="A836" s="36"/>
      <c r="B836" s="36"/>
      <c r="C836" s="39"/>
      <c r="D836" s="39"/>
    </row>
    <row r="837" spans="1:4" ht="15.75" customHeight="1" x14ac:dyDescent="0.2">
      <c r="A837" s="36"/>
      <c r="B837" s="36"/>
      <c r="C837" s="39"/>
      <c r="D837" s="39"/>
    </row>
    <row r="838" spans="1:4" ht="15.75" customHeight="1" x14ac:dyDescent="0.2">
      <c r="A838" s="36"/>
      <c r="B838" s="36"/>
      <c r="C838" s="39"/>
      <c r="D838" s="39"/>
    </row>
    <row r="839" spans="1:4" ht="15.75" customHeight="1" x14ac:dyDescent="0.2">
      <c r="A839" s="36"/>
      <c r="B839" s="36"/>
      <c r="C839" s="39"/>
      <c r="D839" s="39"/>
    </row>
    <row r="840" spans="1:4" ht="15.75" customHeight="1" x14ac:dyDescent="0.2">
      <c r="A840" s="36"/>
      <c r="B840" s="36"/>
      <c r="C840" s="39"/>
      <c r="D840" s="39"/>
    </row>
    <row r="841" spans="1:4" ht="15.75" customHeight="1" x14ac:dyDescent="0.2">
      <c r="A841" s="36"/>
      <c r="B841" s="36"/>
      <c r="C841" s="39"/>
      <c r="D841" s="39"/>
    </row>
    <row r="842" spans="1:4" ht="15.75" customHeight="1" x14ac:dyDescent="0.2">
      <c r="A842" s="36"/>
      <c r="B842" s="36"/>
      <c r="C842" s="39"/>
      <c r="D842" s="39"/>
    </row>
    <row r="843" spans="1:4" ht="15.75" customHeight="1" x14ac:dyDescent="0.2">
      <c r="A843" s="36"/>
      <c r="B843" s="36"/>
      <c r="C843" s="39"/>
      <c r="D843" s="39"/>
    </row>
    <row r="844" spans="1:4" ht="15.75" customHeight="1" x14ac:dyDescent="0.2">
      <c r="A844" s="36"/>
      <c r="B844" s="36"/>
      <c r="C844" s="39"/>
      <c r="D844" s="39"/>
    </row>
    <row r="845" spans="1:4" ht="15.75" customHeight="1" x14ac:dyDescent="0.2">
      <c r="A845" s="36"/>
      <c r="B845" s="36"/>
      <c r="C845" s="39"/>
      <c r="D845" s="39"/>
    </row>
    <row r="846" spans="1:4" ht="15.75" customHeight="1" x14ac:dyDescent="0.2">
      <c r="A846" s="36"/>
      <c r="B846" s="36"/>
      <c r="C846" s="39"/>
      <c r="D846" s="39"/>
    </row>
    <row r="847" spans="1:4" ht="15.75" customHeight="1" x14ac:dyDescent="0.2">
      <c r="A847" s="36"/>
      <c r="B847" s="36"/>
      <c r="C847" s="39"/>
      <c r="D847" s="39"/>
    </row>
    <row r="848" spans="1:4" ht="15.75" customHeight="1" x14ac:dyDescent="0.2">
      <c r="A848" s="36"/>
      <c r="B848" s="36"/>
      <c r="C848" s="39"/>
      <c r="D848" s="39"/>
    </row>
    <row r="849" spans="1:4" ht="15.75" customHeight="1" x14ac:dyDescent="0.2">
      <c r="A849" s="36"/>
      <c r="B849" s="36"/>
      <c r="C849" s="39"/>
      <c r="D849" s="39"/>
    </row>
    <row r="850" spans="1:4" ht="15.75" customHeight="1" x14ac:dyDescent="0.2">
      <c r="A850" s="36"/>
      <c r="B850" s="36"/>
      <c r="C850" s="39"/>
      <c r="D850" s="39"/>
    </row>
    <row r="851" spans="1:4" ht="15.75" customHeight="1" x14ac:dyDescent="0.2">
      <c r="A851" s="36"/>
      <c r="B851" s="36"/>
      <c r="C851" s="39"/>
      <c r="D851" s="39"/>
    </row>
    <row r="852" spans="1:4" ht="15.75" customHeight="1" x14ac:dyDescent="0.2">
      <c r="A852" s="36"/>
      <c r="B852" s="36"/>
      <c r="C852" s="39"/>
      <c r="D852" s="39"/>
    </row>
    <row r="853" spans="1:4" ht="15.75" customHeight="1" x14ac:dyDescent="0.2">
      <c r="A853" s="36"/>
      <c r="B853" s="36"/>
      <c r="C853" s="39"/>
      <c r="D853" s="39"/>
    </row>
    <row r="854" spans="1:4" ht="15.75" customHeight="1" x14ac:dyDescent="0.2">
      <c r="A854" s="36"/>
      <c r="B854" s="36"/>
      <c r="C854" s="39"/>
      <c r="D854" s="39"/>
    </row>
    <row r="855" spans="1:4" ht="15.75" customHeight="1" x14ac:dyDescent="0.2">
      <c r="A855" s="36"/>
      <c r="B855" s="36"/>
      <c r="C855" s="39"/>
      <c r="D855" s="39"/>
    </row>
    <row r="856" spans="1:4" ht="15.75" customHeight="1" x14ac:dyDescent="0.2">
      <c r="A856" s="36"/>
      <c r="B856" s="36"/>
      <c r="C856" s="39"/>
      <c r="D856" s="39"/>
    </row>
    <row r="857" spans="1:4" ht="15.75" customHeight="1" x14ac:dyDescent="0.2">
      <c r="A857" s="36"/>
      <c r="B857" s="36"/>
      <c r="C857" s="39"/>
      <c r="D857" s="39"/>
    </row>
    <row r="858" spans="1:4" ht="15.75" customHeight="1" x14ac:dyDescent="0.2">
      <c r="A858" s="36"/>
      <c r="B858" s="36"/>
      <c r="C858" s="39"/>
      <c r="D858" s="39"/>
    </row>
    <row r="859" spans="1:4" ht="15.75" customHeight="1" x14ac:dyDescent="0.2">
      <c r="A859" s="36"/>
      <c r="B859" s="36"/>
      <c r="C859" s="39"/>
      <c r="D859" s="39"/>
    </row>
    <row r="860" spans="1:4" ht="15.75" customHeight="1" x14ac:dyDescent="0.2">
      <c r="A860" s="36"/>
      <c r="B860" s="36"/>
      <c r="C860" s="39"/>
      <c r="D860" s="39"/>
    </row>
    <row r="861" spans="1:4" ht="15.75" customHeight="1" x14ac:dyDescent="0.2">
      <c r="A861" s="36"/>
      <c r="B861" s="36"/>
      <c r="C861" s="39"/>
      <c r="D861" s="39"/>
    </row>
    <row r="862" spans="1:4" ht="15.75" customHeight="1" x14ac:dyDescent="0.2">
      <c r="A862" s="36"/>
      <c r="B862" s="36"/>
      <c r="C862" s="39"/>
      <c r="D862" s="39"/>
    </row>
    <row r="863" spans="1:4" ht="15.75" customHeight="1" x14ac:dyDescent="0.2">
      <c r="A863" s="36"/>
      <c r="B863" s="36"/>
      <c r="C863" s="39"/>
      <c r="D863" s="39"/>
    </row>
    <row r="864" spans="1:4" ht="15.75" customHeight="1" x14ac:dyDescent="0.2">
      <c r="A864" s="36"/>
      <c r="B864" s="36"/>
      <c r="C864" s="39"/>
      <c r="D864" s="39"/>
    </row>
    <row r="865" spans="1:4" ht="15.75" customHeight="1" x14ac:dyDescent="0.2">
      <c r="A865" s="36"/>
      <c r="B865" s="36"/>
      <c r="C865" s="39"/>
      <c r="D865" s="39"/>
    </row>
    <row r="866" spans="1:4" ht="15.75" customHeight="1" x14ac:dyDescent="0.2">
      <c r="A866" s="36"/>
      <c r="B866" s="36"/>
      <c r="C866" s="39"/>
      <c r="D866" s="39"/>
    </row>
    <row r="867" spans="1:4" ht="15.75" customHeight="1" x14ac:dyDescent="0.2">
      <c r="A867" s="36"/>
      <c r="B867" s="36"/>
      <c r="C867" s="39"/>
      <c r="D867" s="39"/>
    </row>
    <row r="868" spans="1:4" ht="15.75" customHeight="1" x14ac:dyDescent="0.2">
      <c r="A868" s="36"/>
      <c r="B868" s="36"/>
      <c r="C868" s="39"/>
      <c r="D868" s="39"/>
    </row>
    <row r="869" spans="1:4" ht="15.75" customHeight="1" x14ac:dyDescent="0.2">
      <c r="A869" s="36"/>
      <c r="B869" s="36"/>
      <c r="C869" s="39"/>
      <c r="D869" s="39"/>
    </row>
    <row r="870" spans="1:4" ht="15.75" customHeight="1" x14ac:dyDescent="0.2">
      <c r="A870" s="36"/>
      <c r="B870" s="36"/>
      <c r="C870" s="39"/>
      <c r="D870" s="39"/>
    </row>
    <row r="871" spans="1:4" ht="15.75" customHeight="1" x14ac:dyDescent="0.2">
      <c r="A871" s="36"/>
      <c r="B871" s="36"/>
      <c r="C871" s="39"/>
      <c r="D871" s="39"/>
    </row>
    <row r="872" spans="1:4" ht="15.75" customHeight="1" x14ac:dyDescent="0.2">
      <c r="A872" s="36"/>
      <c r="B872" s="36"/>
      <c r="C872" s="39"/>
      <c r="D872" s="39"/>
    </row>
    <row r="873" spans="1:4" ht="15.75" customHeight="1" x14ac:dyDescent="0.2">
      <c r="A873" s="36"/>
      <c r="B873" s="36"/>
      <c r="C873" s="39"/>
      <c r="D873" s="39"/>
    </row>
    <row r="874" spans="1:4" ht="15.75" customHeight="1" x14ac:dyDescent="0.2">
      <c r="A874" s="36"/>
      <c r="B874" s="36"/>
      <c r="C874" s="39"/>
      <c r="D874" s="39"/>
    </row>
    <row r="875" spans="1:4" ht="15.75" customHeight="1" x14ac:dyDescent="0.2">
      <c r="A875" s="36"/>
      <c r="B875" s="36"/>
      <c r="C875" s="39"/>
      <c r="D875" s="39"/>
    </row>
    <row r="876" spans="1:4" ht="15.75" customHeight="1" x14ac:dyDescent="0.2">
      <c r="A876" s="36"/>
      <c r="B876" s="36"/>
      <c r="C876" s="39"/>
      <c r="D876" s="39"/>
    </row>
    <row r="877" spans="1:4" ht="15.75" customHeight="1" x14ac:dyDescent="0.2">
      <c r="A877" s="36"/>
      <c r="B877" s="36"/>
      <c r="C877" s="39"/>
      <c r="D877" s="39"/>
    </row>
    <row r="878" spans="1:4" ht="15.75" customHeight="1" x14ac:dyDescent="0.2">
      <c r="A878" s="36"/>
      <c r="B878" s="36"/>
      <c r="C878" s="39"/>
      <c r="D878" s="39"/>
    </row>
    <row r="879" spans="1:4" ht="15.75" customHeight="1" x14ac:dyDescent="0.2">
      <c r="A879" s="36"/>
      <c r="B879" s="36"/>
      <c r="C879" s="39"/>
      <c r="D879" s="39"/>
    </row>
    <row r="880" spans="1:4" ht="15.75" customHeight="1" x14ac:dyDescent="0.2">
      <c r="A880" s="36"/>
      <c r="B880" s="36"/>
      <c r="C880" s="39"/>
      <c r="D880" s="39"/>
    </row>
    <row r="881" spans="1:4" ht="15.75" customHeight="1" x14ac:dyDescent="0.2">
      <c r="A881" s="36"/>
      <c r="B881" s="36"/>
      <c r="C881" s="39"/>
      <c r="D881" s="39"/>
    </row>
    <row r="882" spans="1:4" ht="15.75" customHeight="1" x14ac:dyDescent="0.2">
      <c r="A882" s="36"/>
      <c r="B882" s="36"/>
      <c r="C882" s="39"/>
      <c r="D882" s="39"/>
    </row>
    <row r="883" spans="1:4" ht="15.75" customHeight="1" x14ac:dyDescent="0.2">
      <c r="A883" s="36"/>
      <c r="B883" s="36"/>
      <c r="C883" s="39"/>
      <c r="D883" s="39"/>
    </row>
    <row r="884" spans="1:4" ht="15.75" customHeight="1" x14ac:dyDescent="0.2">
      <c r="A884" s="36"/>
      <c r="B884" s="36"/>
      <c r="C884" s="39"/>
      <c r="D884" s="39"/>
    </row>
    <row r="885" spans="1:4" ht="15.75" customHeight="1" x14ac:dyDescent="0.2">
      <c r="A885" s="36"/>
      <c r="B885" s="36"/>
      <c r="C885" s="39"/>
      <c r="D885" s="39"/>
    </row>
    <row r="886" spans="1:4" ht="15.75" customHeight="1" x14ac:dyDescent="0.2">
      <c r="A886" s="36"/>
      <c r="B886" s="36"/>
      <c r="C886" s="39"/>
      <c r="D886" s="39"/>
    </row>
    <row r="887" spans="1:4" ht="15.75" customHeight="1" x14ac:dyDescent="0.2">
      <c r="A887" s="36"/>
      <c r="B887" s="36"/>
      <c r="C887" s="39"/>
      <c r="D887" s="39"/>
    </row>
    <row r="888" spans="1:4" ht="15.75" customHeight="1" x14ac:dyDescent="0.2">
      <c r="A888" s="36"/>
      <c r="B888" s="36"/>
      <c r="C888" s="39"/>
      <c r="D888" s="39"/>
    </row>
    <row r="889" spans="1:4" ht="15.75" customHeight="1" x14ac:dyDescent="0.2">
      <c r="A889" s="36"/>
      <c r="B889" s="36"/>
      <c r="C889" s="39"/>
      <c r="D889" s="39"/>
    </row>
    <row r="890" spans="1:4" ht="15.75" customHeight="1" x14ac:dyDescent="0.2">
      <c r="A890" s="36"/>
      <c r="B890" s="36"/>
      <c r="C890" s="39"/>
      <c r="D890" s="39"/>
    </row>
    <row r="891" spans="1:4" ht="15.75" customHeight="1" x14ac:dyDescent="0.2">
      <c r="A891" s="36"/>
      <c r="B891" s="36"/>
      <c r="C891" s="39"/>
      <c r="D891" s="39"/>
    </row>
    <row r="892" spans="1:4" ht="15.75" customHeight="1" x14ac:dyDescent="0.2">
      <c r="A892" s="36"/>
      <c r="B892" s="36"/>
      <c r="C892" s="39"/>
      <c r="D892" s="39"/>
    </row>
    <row r="893" spans="1:4" ht="15.75" customHeight="1" x14ac:dyDescent="0.2">
      <c r="A893" s="36"/>
      <c r="B893" s="36"/>
      <c r="C893" s="39"/>
      <c r="D893" s="39"/>
    </row>
    <row r="894" spans="1:4" ht="15.75" customHeight="1" x14ac:dyDescent="0.2">
      <c r="A894" s="36"/>
      <c r="B894" s="36"/>
      <c r="C894" s="39"/>
      <c r="D894" s="39"/>
    </row>
    <row r="895" spans="1:4" ht="15.75" customHeight="1" x14ac:dyDescent="0.2">
      <c r="A895" s="36"/>
      <c r="B895" s="36"/>
      <c r="C895" s="39"/>
      <c r="D895" s="39"/>
    </row>
    <row r="896" spans="1:4" ht="15.75" customHeight="1" x14ac:dyDescent="0.2">
      <c r="A896" s="36"/>
      <c r="B896" s="36"/>
      <c r="C896" s="39"/>
      <c r="D896" s="39"/>
    </row>
    <row r="897" spans="1:4" ht="15.75" customHeight="1" x14ac:dyDescent="0.2">
      <c r="A897" s="36"/>
      <c r="B897" s="36"/>
      <c r="C897" s="39"/>
      <c r="D897" s="39"/>
    </row>
    <row r="898" spans="1:4" ht="15.75" customHeight="1" x14ac:dyDescent="0.2">
      <c r="A898" s="36"/>
      <c r="B898" s="36"/>
      <c r="C898" s="39"/>
      <c r="D898" s="39"/>
    </row>
    <row r="899" spans="1:4" ht="15.75" customHeight="1" x14ac:dyDescent="0.2">
      <c r="A899" s="36"/>
      <c r="B899" s="36"/>
      <c r="C899" s="39"/>
      <c r="D899" s="39"/>
    </row>
    <row r="900" spans="1:4" ht="15.75" customHeight="1" x14ac:dyDescent="0.2">
      <c r="A900" s="36"/>
      <c r="B900" s="36"/>
      <c r="C900" s="39"/>
      <c r="D900" s="39"/>
    </row>
    <row r="901" spans="1:4" ht="15.75" customHeight="1" x14ac:dyDescent="0.2">
      <c r="A901" s="36"/>
      <c r="B901" s="36"/>
      <c r="C901" s="39"/>
      <c r="D901" s="39"/>
    </row>
    <row r="902" spans="1:4" ht="15.75" customHeight="1" x14ac:dyDescent="0.2">
      <c r="A902" s="36"/>
      <c r="B902" s="36"/>
      <c r="C902" s="39"/>
      <c r="D902" s="39"/>
    </row>
    <row r="903" spans="1:4" ht="15.75" customHeight="1" x14ac:dyDescent="0.2">
      <c r="A903" s="36"/>
      <c r="B903" s="36"/>
      <c r="C903" s="39"/>
      <c r="D903" s="39"/>
    </row>
    <row r="904" spans="1:4" ht="15.75" customHeight="1" x14ac:dyDescent="0.2">
      <c r="A904" s="36"/>
      <c r="B904" s="36"/>
      <c r="C904" s="39"/>
      <c r="D904" s="39"/>
    </row>
    <row r="905" spans="1:4" ht="15.75" customHeight="1" x14ac:dyDescent="0.2">
      <c r="A905" s="36"/>
      <c r="B905" s="36"/>
      <c r="C905" s="39"/>
      <c r="D905" s="39"/>
    </row>
    <row r="906" spans="1:4" ht="15.75" customHeight="1" x14ac:dyDescent="0.2">
      <c r="A906" s="36"/>
      <c r="B906" s="36"/>
      <c r="C906" s="39"/>
      <c r="D906" s="39"/>
    </row>
    <row r="907" spans="1:4" ht="15.75" customHeight="1" x14ac:dyDescent="0.2">
      <c r="A907" s="36"/>
      <c r="B907" s="36"/>
      <c r="C907" s="39"/>
      <c r="D907" s="39"/>
    </row>
    <row r="908" spans="1:4" ht="15.75" customHeight="1" x14ac:dyDescent="0.2">
      <c r="A908" s="36"/>
      <c r="B908" s="36"/>
      <c r="C908" s="39"/>
      <c r="D908" s="39"/>
    </row>
    <row r="909" spans="1:4" ht="15.75" customHeight="1" x14ac:dyDescent="0.2">
      <c r="A909" s="36"/>
      <c r="B909" s="36"/>
      <c r="C909" s="39"/>
      <c r="D909" s="39"/>
    </row>
    <row r="910" spans="1:4" ht="15.75" customHeight="1" x14ac:dyDescent="0.2">
      <c r="A910" s="36"/>
      <c r="B910" s="36"/>
      <c r="C910" s="39"/>
      <c r="D910" s="39"/>
    </row>
    <row r="911" spans="1:4" ht="15.75" customHeight="1" x14ac:dyDescent="0.2">
      <c r="A911" s="36"/>
      <c r="B911" s="36"/>
      <c r="C911" s="39"/>
      <c r="D911" s="39"/>
    </row>
    <row r="912" spans="1:4" ht="15.75" customHeight="1" x14ac:dyDescent="0.2">
      <c r="A912" s="36"/>
      <c r="B912" s="36"/>
      <c r="C912" s="39"/>
      <c r="D912" s="39"/>
    </row>
    <row r="913" spans="1:4" ht="15.75" customHeight="1" x14ac:dyDescent="0.2">
      <c r="A913" s="36"/>
      <c r="B913" s="36"/>
      <c r="C913" s="39"/>
      <c r="D913" s="39"/>
    </row>
    <row r="914" spans="1:4" ht="15.75" customHeight="1" x14ac:dyDescent="0.2">
      <c r="A914" s="36"/>
      <c r="B914" s="36"/>
      <c r="C914" s="39"/>
      <c r="D914" s="39"/>
    </row>
    <row r="915" spans="1:4" ht="15.75" customHeight="1" x14ac:dyDescent="0.2">
      <c r="A915" s="36"/>
      <c r="B915" s="36"/>
      <c r="C915" s="39"/>
      <c r="D915" s="39"/>
    </row>
    <row r="916" spans="1:4" ht="15.75" customHeight="1" x14ac:dyDescent="0.2">
      <c r="A916" s="36"/>
      <c r="B916" s="36"/>
      <c r="C916" s="39"/>
      <c r="D916" s="39"/>
    </row>
    <row r="917" spans="1:4" ht="15.75" customHeight="1" x14ac:dyDescent="0.2">
      <c r="A917" s="36"/>
      <c r="B917" s="36"/>
      <c r="C917" s="39"/>
      <c r="D917" s="39"/>
    </row>
    <row r="918" spans="1:4" ht="15.75" customHeight="1" x14ac:dyDescent="0.2">
      <c r="A918" s="36"/>
      <c r="B918" s="36"/>
      <c r="C918" s="39"/>
      <c r="D918" s="39"/>
    </row>
    <row r="919" spans="1:4" ht="15.75" customHeight="1" x14ac:dyDescent="0.2">
      <c r="A919" s="36"/>
      <c r="B919" s="36"/>
      <c r="C919" s="39"/>
      <c r="D919" s="39"/>
    </row>
    <row r="920" spans="1:4" ht="15.75" customHeight="1" x14ac:dyDescent="0.2">
      <c r="A920" s="36"/>
      <c r="B920" s="36"/>
      <c r="C920" s="39"/>
      <c r="D920" s="39"/>
    </row>
    <row r="921" spans="1:4" ht="15.75" customHeight="1" x14ac:dyDescent="0.2">
      <c r="A921" s="36"/>
      <c r="B921" s="36"/>
      <c r="C921" s="39"/>
      <c r="D921" s="39"/>
    </row>
    <row r="922" spans="1:4" ht="15.75" customHeight="1" x14ac:dyDescent="0.2">
      <c r="A922" s="36"/>
      <c r="B922" s="36"/>
      <c r="C922" s="39"/>
      <c r="D922" s="39"/>
    </row>
    <row r="923" spans="1:4" ht="15.75" customHeight="1" x14ac:dyDescent="0.2">
      <c r="A923" s="36"/>
      <c r="B923" s="36"/>
      <c r="C923" s="39"/>
      <c r="D923" s="39"/>
    </row>
    <row r="924" spans="1:4" ht="15.75" customHeight="1" x14ac:dyDescent="0.2">
      <c r="A924" s="36"/>
      <c r="B924" s="36"/>
      <c r="C924" s="39"/>
      <c r="D924" s="39"/>
    </row>
    <row r="925" spans="1:4" ht="15.75" customHeight="1" x14ac:dyDescent="0.2">
      <c r="A925" s="36"/>
      <c r="B925" s="36"/>
      <c r="C925" s="39"/>
      <c r="D925" s="39"/>
    </row>
    <row r="926" spans="1:4" ht="15.75" customHeight="1" x14ac:dyDescent="0.2">
      <c r="A926" s="36"/>
      <c r="B926" s="36"/>
      <c r="C926" s="39"/>
      <c r="D926" s="39"/>
    </row>
    <row r="927" spans="1:4" ht="15.75" customHeight="1" x14ac:dyDescent="0.2">
      <c r="A927" s="36"/>
      <c r="B927" s="36"/>
      <c r="C927" s="39"/>
      <c r="D927" s="39"/>
    </row>
    <row r="928" spans="1:4" ht="15.75" customHeight="1" x14ac:dyDescent="0.2">
      <c r="A928" s="36"/>
      <c r="B928" s="36"/>
      <c r="C928" s="39"/>
      <c r="D928" s="39"/>
    </row>
    <row r="929" spans="1:4" ht="15.75" customHeight="1" x14ac:dyDescent="0.2">
      <c r="A929" s="36"/>
      <c r="B929" s="36"/>
      <c r="C929" s="39"/>
      <c r="D929" s="39"/>
    </row>
    <row r="930" spans="1:4" ht="15.75" customHeight="1" x14ac:dyDescent="0.2">
      <c r="A930" s="36"/>
      <c r="B930" s="36"/>
      <c r="C930" s="39"/>
      <c r="D930" s="39"/>
    </row>
    <row r="931" spans="1:4" ht="15.75" customHeight="1" x14ac:dyDescent="0.2">
      <c r="A931" s="36"/>
      <c r="B931" s="36"/>
      <c r="C931" s="39"/>
      <c r="D931" s="39"/>
    </row>
    <row r="932" spans="1:4" ht="15.75" customHeight="1" x14ac:dyDescent="0.2">
      <c r="A932" s="36"/>
      <c r="B932" s="36"/>
      <c r="C932" s="39"/>
      <c r="D932" s="39"/>
    </row>
    <row r="933" spans="1:4" ht="15.75" customHeight="1" x14ac:dyDescent="0.2">
      <c r="A933" s="36"/>
      <c r="B933" s="36"/>
      <c r="C933" s="39"/>
      <c r="D933" s="39"/>
    </row>
    <row r="934" spans="1:4" ht="15.75" customHeight="1" x14ac:dyDescent="0.2">
      <c r="A934" s="36"/>
      <c r="B934" s="36"/>
      <c r="C934" s="39"/>
      <c r="D934" s="39"/>
    </row>
    <row r="935" spans="1:4" ht="15.75" customHeight="1" x14ac:dyDescent="0.2">
      <c r="A935" s="36"/>
      <c r="B935" s="36"/>
      <c r="C935" s="39"/>
      <c r="D935" s="39"/>
    </row>
    <row r="936" spans="1:4" ht="15.75" customHeight="1" x14ac:dyDescent="0.2">
      <c r="A936" s="36"/>
      <c r="B936" s="36"/>
      <c r="C936" s="39"/>
      <c r="D936" s="39"/>
    </row>
    <row r="937" spans="1:4" ht="15.75" customHeight="1" x14ac:dyDescent="0.2">
      <c r="A937" s="36"/>
      <c r="B937" s="36"/>
      <c r="C937" s="39"/>
      <c r="D937" s="39"/>
    </row>
    <row r="938" spans="1:4" ht="15.75" customHeight="1" x14ac:dyDescent="0.2">
      <c r="A938" s="36"/>
      <c r="B938" s="36"/>
      <c r="C938" s="39"/>
      <c r="D938" s="39"/>
    </row>
    <row r="939" spans="1:4" ht="15.75" customHeight="1" x14ac:dyDescent="0.2">
      <c r="A939" s="36"/>
      <c r="B939" s="36"/>
      <c r="C939" s="39"/>
      <c r="D939" s="39"/>
    </row>
    <row r="940" spans="1:4" ht="15.75" customHeight="1" x14ac:dyDescent="0.2">
      <c r="A940" s="36"/>
      <c r="B940" s="36"/>
      <c r="C940" s="39"/>
      <c r="D940" s="39"/>
    </row>
    <row r="941" spans="1:4" ht="15.75" customHeight="1" x14ac:dyDescent="0.2">
      <c r="A941" s="36"/>
      <c r="B941" s="36"/>
      <c r="C941" s="39"/>
      <c r="D941" s="39"/>
    </row>
    <row r="942" spans="1:4" ht="15.75" customHeight="1" x14ac:dyDescent="0.2">
      <c r="A942" s="36"/>
      <c r="B942" s="36"/>
      <c r="C942" s="39"/>
      <c r="D942" s="39"/>
    </row>
    <row r="943" spans="1:4" ht="15.75" customHeight="1" x14ac:dyDescent="0.2">
      <c r="A943" s="36"/>
      <c r="B943" s="36"/>
      <c r="C943" s="39"/>
      <c r="D943" s="39"/>
    </row>
    <row r="944" spans="1:4" ht="15.75" customHeight="1" x14ac:dyDescent="0.2">
      <c r="A944" s="36"/>
      <c r="B944" s="36"/>
      <c r="C944" s="39"/>
      <c r="D944" s="39"/>
    </row>
    <row r="945" spans="1:4" ht="15.75" customHeight="1" x14ac:dyDescent="0.2">
      <c r="A945" s="36"/>
      <c r="B945" s="36"/>
      <c r="C945" s="39"/>
      <c r="D945" s="39"/>
    </row>
    <row r="946" spans="1:4" ht="15.75" customHeight="1" x14ac:dyDescent="0.2">
      <c r="A946" s="36"/>
      <c r="B946" s="36"/>
      <c r="C946" s="39"/>
      <c r="D946" s="39"/>
    </row>
    <row r="947" spans="1:4" ht="15.75" customHeight="1" x14ac:dyDescent="0.2">
      <c r="A947" s="36"/>
      <c r="B947" s="36"/>
      <c r="C947" s="39"/>
      <c r="D947" s="39"/>
    </row>
    <row r="948" spans="1:4" ht="15.75" customHeight="1" x14ac:dyDescent="0.2">
      <c r="A948" s="36"/>
      <c r="B948" s="36"/>
      <c r="C948" s="39"/>
      <c r="D948" s="39"/>
    </row>
    <row r="949" spans="1:4" ht="15.75" customHeight="1" x14ac:dyDescent="0.2">
      <c r="A949" s="36"/>
      <c r="B949" s="36"/>
      <c r="C949" s="39"/>
      <c r="D949" s="39"/>
    </row>
    <row r="950" spans="1:4" ht="15.75" customHeight="1" x14ac:dyDescent="0.2">
      <c r="A950" s="36"/>
      <c r="B950" s="36"/>
      <c r="C950" s="39"/>
      <c r="D950" s="39"/>
    </row>
    <row r="951" spans="1:4" ht="15.75" customHeight="1" x14ac:dyDescent="0.2">
      <c r="A951" s="36"/>
      <c r="B951" s="36"/>
      <c r="C951" s="39"/>
      <c r="D951" s="39"/>
    </row>
    <row r="952" spans="1:4" ht="15.75" customHeight="1" x14ac:dyDescent="0.2">
      <c r="A952" s="36"/>
      <c r="B952" s="36"/>
      <c r="C952" s="39"/>
      <c r="D952" s="39"/>
    </row>
    <row r="953" spans="1:4" ht="15.75" customHeight="1" x14ac:dyDescent="0.2">
      <c r="A953" s="36"/>
      <c r="B953" s="36"/>
      <c r="C953" s="39"/>
      <c r="D953" s="39"/>
    </row>
    <row r="954" spans="1:4" ht="15.75" customHeight="1" x14ac:dyDescent="0.2">
      <c r="A954" s="36"/>
      <c r="B954" s="36"/>
      <c r="C954" s="39"/>
      <c r="D954" s="39"/>
    </row>
    <row r="955" spans="1:4" ht="15.75" customHeight="1" x14ac:dyDescent="0.2">
      <c r="A955" s="36"/>
      <c r="B955" s="36"/>
      <c r="C955" s="39"/>
      <c r="D955" s="39"/>
    </row>
    <row r="956" spans="1:4" ht="15.75" customHeight="1" x14ac:dyDescent="0.2">
      <c r="A956" s="36"/>
      <c r="B956" s="36"/>
      <c r="C956" s="39"/>
      <c r="D956" s="39"/>
    </row>
    <row r="957" spans="1:4" ht="15.75" customHeight="1" x14ac:dyDescent="0.2">
      <c r="A957" s="36"/>
      <c r="B957" s="36"/>
      <c r="C957" s="39"/>
      <c r="D957" s="39"/>
    </row>
    <row r="958" spans="1:4" ht="15.75" customHeight="1" x14ac:dyDescent="0.2">
      <c r="A958" s="36"/>
      <c r="B958" s="36"/>
      <c r="C958" s="39"/>
      <c r="D958" s="39"/>
    </row>
    <row r="959" spans="1:4" ht="15.75" customHeight="1" x14ac:dyDescent="0.2">
      <c r="A959" s="36"/>
      <c r="B959" s="36"/>
      <c r="C959" s="39"/>
      <c r="D959" s="39"/>
    </row>
    <row r="960" spans="1:4" ht="15.75" customHeight="1" x14ac:dyDescent="0.2">
      <c r="A960" s="36"/>
      <c r="B960" s="36"/>
      <c r="C960" s="39"/>
      <c r="D960" s="39"/>
    </row>
    <row r="961" spans="1:4" ht="15.75" customHeight="1" x14ac:dyDescent="0.2">
      <c r="A961" s="36"/>
      <c r="B961" s="36"/>
      <c r="C961" s="39"/>
      <c r="D961" s="39"/>
    </row>
    <row r="962" spans="1:4" ht="15.75" customHeight="1" x14ac:dyDescent="0.2">
      <c r="A962" s="36"/>
      <c r="B962" s="36"/>
      <c r="C962" s="39"/>
      <c r="D962" s="39"/>
    </row>
    <row r="963" spans="1:4" ht="15.75" customHeight="1" x14ac:dyDescent="0.2">
      <c r="A963" s="36"/>
      <c r="B963" s="36"/>
      <c r="C963" s="39"/>
      <c r="D963" s="39"/>
    </row>
    <row r="964" spans="1:4" ht="15.75" customHeight="1" x14ac:dyDescent="0.2">
      <c r="A964" s="36"/>
      <c r="B964" s="36"/>
      <c r="C964" s="39"/>
      <c r="D964" s="39"/>
    </row>
    <row r="965" spans="1:4" ht="15.75" customHeight="1" x14ac:dyDescent="0.2">
      <c r="A965" s="36"/>
      <c r="B965" s="36"/>
      <c r="C965" s="39"/>
      <c r="D965" s="39"/>
    </row>
    <row r="966" spans="1:4" ht="15.75" customHeight="1" x14ac:dyDescent="0.2">
      <c r="A966" s="36"/>
      <c r="B966" s="36"/>
      <c r="C966" s="39"/>
      <c r="D966" s="39"/>
    </row>
    <row r="967" spans="1:4" ht="15.75" customHeight="1" x14ac:dyDescent="0.2">
      <c r="A967" s="36"/>
      <c r="B967" s="36"/>
      <c r="C967" s="39"/>
      <c r="D967" s="39"/>
    </row>
    <row r="968" spans="1:4" ht="15.75" customHeight="1" x14ac:dyDescent="0.2">
      <c r="A968" s="36"/>
      <c r="B968" s="36"/>
      <c r="C968" s="39"/>
      <c r="D968" s="39"/>
    </row>
    <row r="969" spans="1:4" ht="15.75" customHeight="1" x14ac:dyDescent="0.2">
      <c r="A969" s="36"/>
      <c r="B969" s="36"/>
      <c r="C969" s="39"/>
      <c r="D969" s="39"/>
    </row>
    <row r="970" spans="1:4" ht="15.75" customHeight="1" x14ac:dyDescent="0.2">
      <c r="A970" s="36"/>
      <c r="B970" s="36"/>
      <c r="C970" s="39"/>
      <c r="D970" s="39"/>
    </row>
    <row r="971" spans="1:4" ht="15.75" customHeight="1" x14ac:dyDescent="0.2">
      <c r="A971" s="36"/>
      <c r="B971" s="36"/>
      <c r="C971" s="39"/>
      <c r="D971" s="39"/>
    </row>
    <row r="972" spans="1:4" ht="15.75" customHeight="1" x14ac:dyDescent="0.2">
      <c r="A972" s="36"/>
      <c r="B972" s="36"/>
      <c r="C972" s="39"/>
      <c r="D972" s="39"/>
    </row>
    <row r="973" spans="1:4" ht="15.75" customHeight="1" x14ac:dyDescent="0.2">
      <c r="A973" s="36"/>
      <c r="B973" s="36"/>
      <c r="C973" s="39"/>
      <c r="D973" s="39"/>
    </row>
    <row r="974" spans="1:4" ht="15.75" customHeight="1" x14ac:dyDescent="0.2">
      <c r="A974" s="36"/>
      <c r="B974" s="36"/>
      <c r="C974" s="39"/>
      <c r="D974" s="39"/>
    </row>
    <row r="975" spans="1:4" ht="15.75" customHeight="1" x14ac:dyDescent="0.2">
      <c r="A975" s="36"/>
      <c r="B975" s="36"/>
      <c r="C975" s="39"/>
      <c r="D975" s="39"/>
    </row>
    <row r="976" spans="1:4" ht="15.75" customHeight="1" x14ac:dyDescent="0.2">
      <c r="A976" s="36"/>
      <c r="B976" s="36"/>
      <c r="C976" s="39"/>
      <c r="D976" s="39"/>
    </row>
    <row r="977" spans="1:4" ht="15.75" customHeight="1" x14ac:dyDescent="0.2">
      <c r="A977" s="36"/>
      <c r="B977" s="36"/>
      <c r="C977" s="39"/>
      <c r="D977" s="39"/>
    </row>
    <row r="978" spans="1:4" ht="15.75" customHeight="1" x14ac:dyDescent="0.2">
      <c r="A978" s="36"/>
      <c r="B978" s="36"/>
      <c r="C978" s="39"/>
      <c r="D978" s="39"/>
    </row>
    <row r="979" spans="1:4" ht="15.75" customHeight="1" x14ac:dyDescent="0.2">
      <c r="A979" s="36"/>
      <c r="B979" s="36"/>
      <c r="C979" s="39"/>
      <c r="D979" s="39"/>
    </row>
    <row r="980" spans="1:4" ht="15.75" customHeight="1" x14ac:dyDescent="0.2">
      <c r="A980" s="36"/>
      <c r="B980" s="36"/>
      <c r="C980" s="39"/>
      <c r="D980" s="39"/>
    </row>
    <row r="981" spans="1:4" ht="15.75" customHeight="1" x14ac:dyDescent="0.2">
      <c r="A981" s="36"/>
      <c r="B981" s="36"/>
      <c r="C981" s="39"/>
      <c r="D981" s="39"/>
    </row>
    <row r="982" spans="1:4" ht="15.75" customHeight="1" x14ac:dyDescent="0.2">
      <c r="A982" s="36"/>
      <c r="B982" s="36"/>
      <c r="C982" s="39"/>
      <c r="D982" s="39"/>
    </row>
    <row r="983" spans="1:4" ht="15.75" customHeight="1" x14ac:dyDescent="0.2">
      <c r="A983" s="36"/>
      <c r="B983" s="36"/>
      <c r="C983" s="39"/>
      <c r="D983" s="39"/>
    </row>
    <row r="984" spans="1:4" ht="15.75" customHeight="1" x14ac:dyDescent="0.2">
      <c r="A984" s="36"/>
      <c r="B984" s="36"/>
      <c r="C984" s="39"/>
      <c r="D984" s="39"/>
    </row>
    <row r="985" spans="1:4" ht="15.75" customHeight="1" x14ac:dyDescent="0.2">
      <c r="A985" s="36"/>
      <c r="B985" s="36"/>
      <c r="C985" s="39"/>
      <c r="D985" s="39"/>
    </row>
    <row r="986" spans="1:4" ht="15.75" customHeight="1" x14ac:dyDescent="0.2">
      <c r="A986" s="36"/>
      <c r="B986" s="36"/>
      <c r="C986" s="39"/>
      <c r="D986" s="39"/>
    </row>
    <row r="987" spans="1:4" ht="15.75" customHeight="1" x14ac:dyDescent="0.2">
      <c r="A987" s="36"/>
      <c r="B987" s="36"/>
      <c r="C987" s="39"/>
      <c r="D987" s="39"/>
    </row>
    <row r="988" spans="1:4" ht="15.75" customHeight="1" x14ac:dyDescent="0.2">
      <c r="A988" s="36"/>
      <c r="B988" s="36"/>
      <c r="C988" s="39"/>
      <c r="D988" s="39"/>
    </row>
    <row r="989" spans="1:4" ht="15.75" customHeight="1" x14ac:dyDescent="0.2">
      <c r="A989" s="36"/>
      <c r="B989" s="36"/>
      <c r="C989" s="39"/>
      <c r="D989" s="39"/>
    </row>
    <row r="990" spans="1:4" ht="15.75" customHeight="1" x14ac:dyDescent="0.2">
      <c r="A990" s="36"/>
      <c r="B990" s="36"/>
      <c r="C990" s="39"/>
      <c r="D990" s="39"/>
    </row>
    <row r="991" spans="1:4" ht="15.75" customHeight="1" x14ac:dyDescent="0.2">
      <c r="A991" s="36"/>
      <c r="B991" s="36"/>
      <c r="C991" s="39"/>
      <c r="D991" s="39"/>
    </row>
    <row r="992" spans="1:4" ht="15.75" customHeight="1" x14ac:dyDescent="0.2">
      <c r="A992" s="36"/>
      <c r="B992" s="36"/>
      <c r="C992" s="39"/>
      <c r="D992" s="39"/>
    </row>
    <row r="993" spans="1:4" ht="15.75" customHeight="1" x14ac:dyDescent="0.2">
      <c r="A993" s="36"/>
      <c r="B993" s="36"/>
      <c r="C993" s="39"/>
      <c r="D993" s="39"/>
    </row>
    <row r="994" spans="1:4" ht="15.75" customHeight="1" x14ac:dyDescent="0.2">
      <c r="A994" s="36"/>
      <c r="B994" s="36"/>
      <c r="C994" s="39"/>
      <c r="D994" s="39"/>
    </row>
    <row r="995" spans="1:4" ht="15.75" customHeight="1" x14ac:dyDescent="0.2">
      <c r="A995" s="36"/>
      <c r="B995" s="36"/>
      <c r="C995" s="39"/>
      <c r="D995" s="39"/>
    </row>
    <row r="996" spans="1:4" ht="15.75" customHeight="1" x14ac:dyDescent="0.2">
      <c r="A996" s="36"/>
      <c r="B996" s="36"/>
      <c r="C996" s="39"/>
      <c r="D996" s="39"/>
    </row>
    <row r="997" spans="1:4" ht="15.75" customHeight="1" x14ac:dyDescent="0.2">
      <c r="A997" s="36"/>
      <c r="B997" s="36"/>
      <c r="C997" s="39"/>
      <c r="D997" s="39"/>
    </row>
    <row r="998" spans="1:4" ht="15.75" customHeight="1" x14ac:dyDescent="0.2">
      <c r="A998" s="36"/>
      <c r="B998" s="36"/>
      <c r="C998" s="39"/>
      <c r="D998" s="39"/>
    </row>
    <row r="999" spans="1:4" ht="15.75" customHeight="1" x14ac:dyDescent="0.2">
      <c r="A999" s="36"/>
      <c r="B999" s="36"/>
      <c r="C999" s="39"/>
      <c r="D999" s="39"/>
    </row>
    <row r="1000" spans="1:4" ht="15.75" customHeight="1" x14ac:dyDescent="0.2">
      <c r="A1000" s="36"/>
      <c r="B1000" s="36"/>
      <c r="C1000" s="39"/>
      <c r="D1000" s="3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E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5" customWidth="1"/>
    <col min="3" max="3" width="63.1640625" customWidth="1"/>
    <col min="4" max="4" width="34.33203125" customWidth="1"/>
    <col min="5" max="5" width="32.5" customWidth="1"/>
    <col min="6" max="26" width="10.5" customWidth="1"/>
  </cols>
  <sheetData>
    <row r="1" spans="1:5" ht="15.75" customHeight="1" x14ac:dyDescent="0.2">
      <c r="A1" s="40" t="s">
        <v>592</v>
      </c>
      <c r="B1" s="40" t="s">
        <v>22</v>
      </c>
      <c r="C1" s="41" t="s">
        <v>593</v>
      </c>
      <c r="D1" s="41" t="s">
        <v>594</v>
      </c>
      <c r="E1" s="41" t="s">
        <v>595</v>
      </c>
    </row>
    <row r="2" spans="1:5" ht="15.75" customHeight="1" x14ac:dyDescent="0.2">
      <c r="A2" s="42">
        <v>1</v>
      </c>
      <c r="B2" s="42">
        <v>17311</v>
      </c>
      <c r="C2" s="39" t="s">
        <v>596</v>
      </c>
      <c r="D2" s="39" t="s">
        <v>597</v>
      </c>
      <c r="E2" s="39" t="s">
        <v>528</v>
      </c>
    </row>
    <row r="3" spans="1:5" ht="15.75" customHeight="1" x14ac:dyDescent="0.2">
      <c r="A3" s="42">
        <v>2</v>
      </c>
      <c r="B3" s="42">
        <v>17312</v>
      </c>
      <c r="C3" s="39" t="s">
        <v>598</v>
      </c>
      <c r="D3" s="39" t="s">
        <v>599</v>
      </c>
      <c r="E3" s="39" t="s">
        <v>528</v>
      </c>
    </row>
    <row r="4" spans="1:5" ht="15.75" customHeight="1" x14ac:dyDescent="0.2">
      <c r="A4" s="42">
        <v>3</v>
      </c>
      <c r="B4" s="42">
        <v>17312</v>
      </c>
      <c r="C4" s="39" t="s">
        <v>600</v>
      </c>
      <c r="D4" s="39" t="s">
        <v>599</v>
      </c>
      <c r="E4" s="39" t="s">
        <v>528</v>
      </c>
    </row>
    <row r="5" spans="1:5" ht="15.75" customHeight="1" x14ac:dyDescent="0.2">
      <c r="A5" s="42">
        <v>4</v>
      </c>
      <c r="B5" s="42">
        <v>17312</v>
      </c>
      <c r="C5" s="39" t="s">
        <v>601</v>
      </c>
      <c r="D5" s="39" t="s">
        <v>602</v>
      </c>
      <c r="E5" s="39" t="s">
        <v>603</v>
      </c>
    </row>
    <row r="6" spans="1:5" ht="15.75" customHeight="1" x14ac:dyDescent="0.2">
      <c r="A6" s="42">
        <v>5</v>
      </c>
      <c r="B6" s="42">
        <v>17312</v>
      </c>
      <c r="C6" s="39" t="s">
        <v>604</v>
      </c>
      <c r="D6" s="39" t="s">
        <v>599</v>
      </c>
      <c r="E6" s="39" t="s">
        <v>528</v>
      </c>
    </row>
    <row r="7" spans="1:5" ht="15.75" customHeight="1" x14ac:dyDescent="0.2">
      <c r="A7" s="42">
        <v>6</v>
      </c>
      <c r="B7" s="42">
        <v>17312</v>
      </c>
      <c r="C7" s="39" t="s">
        <v>605</v>
      </c>
      <c r="D7" s="39" t="s">
        <v>599</v>
      </c>
      <c r="E7" s="39" t="s">
        <v>528</v>
      </c>
    </row>
    <row r="8" spans="1:5" ht="15.75" customHeight="1" x14ac:dyDescent="0.2">
      <c r="A8" s="42">
        <v>7</v>
      </c>
      <c r="B8" s="42">
        <v>17312</v>
      </c>
      <c r="C8" s="39" t="s">
        <v>606</v>
      </c>
      <c r="D8" s="39" t="s">
        <v>599</v>
      </c>
      <c r="E8" s="39" t="s">
        <v>528</v>
      </c>
    </row>
    <row r="9" spans="1:5" ht="15.75" customHeight="1" x14ac:dyDescent="0.2">
      <c r="A9" s="42">
        <v>8</v>
      </c>
      <c r="B9" s="42">
        <v>17312</v>
      </c>
      <c r="C9" s="39" t="s">
        <v>607</v>
      </c>
      <c r="D9" s="39" t="s">
        <v>599</v>
      </c>
      <c r="E9" s="39" t="s">
        <v>528</v>
      </c>
    </row>
    <row r="10" spans="1:5" ht="15.75" customHeight="1" x14ac:dyDescent="0.2">
      <c r="A10" s="42">
        <v>9</v>
      </c>
      <c r="B10" s="42">
        <v>17313</v>
      </c>
      <c r="C10" s="39" t="s">
        <v>608</v>
      </c>
      <c r="D10" s="39" t="s">
        <v>609</v>
      </c>
      <c r="E10" s="39" t="s">
        <v>610</v>
      </c>
    </row>
    <row r="11" spans="1:5" ht="15.75" customHeight="1" x14ac:dyDescent="0.2">
      <c r="A11" s="42">
        <v>10</v>
      </c>
      <c r="B11" s="42">
        <v>17314</v>
      </c>
      <c r="C11" s="39" t="s">
        <v>611</v>
      </c>
      <c r="D11" s="39" t="s">
        <v>612</v>
      </c>
      <c r="E11" s="39" t="s">
        <v>613</v>
      </c>
    </row>
    <row r="12" spans="1:5" ht="15.75" customHeight="1" x14ac:dyDescent="0.2">
      <c r="A12" s="42">
        <v>11</v>
      </c>
      <c r="B12" s="42">
        <v>17314</v>
      </c>
      <c r="C12" s="39" t="s">
        <v>614</v>
      </c>
      <c r="D12" s="39" t="s">
        <v>615</v>
      </c>
      <c r="E12" s="39" t="s">
        <v>616</v>
      </c>
    </row>
    <row r="13" spans="1:5" ht="15.75" customHeight="1" x14ac:dyDescent="0.2">
      <c r="A13" s="42">
        <v>12</v>
      </c>
      <c r="B13" s="42">
        <v>17314</v>
      </c>
      <c r="C13" s="39" t="s">
        <v>617</v>
      </c>
      <c r="D13" s="39" t="s">
        <v>618</v>
      </c>
      <c r="E13" s="39" t="s">
        <v>619</v>
      </c>
    </row>
    <row r="14" spans="1:5" ht="15.75" customHeight="1" x14ac:dyDescent="0.2">
      <c r="A14" s="42">
        <v>13</v>
      </c>
      <c r="B14" s="42">
        <v>17314</v>
      </c>
      <c r="C14" s="39" t="s">
        <v>620</v>
      </c>
      <c r="D14" s="39" t="s">
        <v>621</v>
      </c>
      <c r="E14" s="39" t="s">
        <v>622</v>
      </c>
    </row>
    <row r="15" spans="1:5" ht="15.75" customHeight="1" x14ac:dyDescent="0.2">
      <c r="A15" s="42">
        <v>14</v>
      </c>
      <c r="B15" s="42">
        <v>17314</v>
      </c>
      <c r="C15" s="39" t="s">
        <v>623</v>
      </c>
      <c r="D15" s="39" t="s">
        <v>624</v>
      </c>
      <c r="E15" s="39" t="s">
        <v>528</v>
      </c>
    </row>
    <row r="16" spans="1:5" ht="15.75" customHeight="1" x14ac:dyDescent="0.2">
      <c r="A16" s="42">
        <v>15</v>
      </c>
      <c r="B16" s="42">
        <v>17314</v>
      </c>
      <c r="C16" s="39" t="s">
        <v>625</v>
      </c>
      <c r="D16" s="39" t="s">
        <v>612</v>
      </c>
      <c r="E16" s="39" t="s">
        <v>613</v>
      </c>
    </row>
    <row r="17" spans="1:5" ht="15.75" customHeight="1" x14ac:dyDescent="0.2">
      <c r="A17" s="42">
        <v>16</v>
      </c>
      <c r="B17" s="42">
        <v>17314</v>
      </c>
      <c r="C17" s="39" t="s">
        <v>626</v>
      </c>
      <c r="D17" s="39" t="s">
        <v>621</v>
      </c>
      <c r="E17" s="39" t="s">
        <v>622</v>
      </c>
    </row>
    <row r="18" spans="1:5" ht="15.75" customHeight="1" x14ac:dyDescent="0.2">
      <c r="A18" s="42">
        <v>17</v>
      </c>
      <c r="B18" s="42">
        <v>17315</v>
      </c>
      <c r="C18" s="39" t="s">
        <v>627</v>
      </c>
      <c r="D18" s="39" t="s">
        <v>628</v>
      </c>
      <c r="E18" s="39" t="s">
        <v>528</v>
      </c>
    </row>
    <row r="19" spans="1:5" ht="15.75" customHeight="1" x14ac:dyDescent="0.2">
      <c r="A19" s="42">
        <v>18</v>
      </c>
      <c r="B19" s="42">
        <v>17315</v>
      </c>
      <c r="C19" s="39" t="s">
        <v>629</v>
      </c>
      <c r="D19" s="39" t="s">
        <v>630</v>
      </c>
      <c r="E19" s="39" t="s">
        <v>631</v>
      </c>
    </row>
    <row r="20" spans="1:5" ht="15.75" customHeight="1" x14ac:dyDescent="0.2">
      <c r="A20" s="42">
        <v>19</v>
      </c>
      <c r="B20" s="42">
        <v>17315</v>
      </c>
      <c r="C20" s="39" t="s">
        <v>632</v>
      </c>
      <c r="D20" s="39" t="s">
        <v>628</v>
      </c>
      <c r="E20" s="39" t="s">
        <v>528</v>
      </c>
    </row>
    <row r="21" spans="1:5" ht="15.75" customHeight="1" x14ac:dyDescent="0.2">
      <c r="A21" s="42">
        <v>20</v>
      </c>
      <c r="B21" s="42">
        <v>17315</v>
      </c>
      <c r="C21" s="39" t="s">
        <v>633</v>
      </c>
      <c r="D21" s="39" t="s">
        <v>630</v>
      </c>
      <c r="E21" s="39" t="s">
        <v>631</v>
      </c>
    </row>
    <row r="22" spans="1:5" ht="15.75" customHeight="1" x14ac:dyDescent="0.2">
      <c r="A22" s="42">
        <v>21</v>
      </c>
      <c r="B22" s="42">
        <v>17315</v>
      </c>
      <c r="C22" s="39" t="s">
        <v>634</v>
      </c>
      <c r="D22" s="39" t="s">
        <v>635</v>
      </c>
      <c r="E22" s="39" t="s">
        <v>636</v>
      </c>
    </row>
    <row r="23" spans="1:5" ht="15.75" customHeight="1" x14ac:dyDescent="0.2">
      <c r="A23" s="42">
        <v>22</v>
      </c>
      <c r="B23" s="42">
        <v>17316</v>
      </c>
      <c r="C23" s="39" t="s">
        <v>637</v>
      </c>
      <c r="D23" s="39" t="s">
        <v>638</v>
      </c>
      <c r="E23" s="39" t="s">
        <v>639</v>
      </c>
    </row>
    <row r="24" spans="1:5" ht="15.75" customHeight="1" x14ac:dyDescent="0.2">
      <c r="A24" s="42">
        <v>23</v>
      </c>
      <c r="B24" s="42">
        <v>17316</v>
      </c>
      <c r="C24" s="39" t="s">
        <v>640</v>
      </c>
      <c r="D24" s="39" t="s">
        <v>641</v>
      </c>
      <c r="E24" s="39" t="s">
        <v>528</v>
      </c>
    </row>
    <row r="25" spans="1:5" ht="15.75" customHeight="1" x14ac:dyDescent="0.2">
      <c r="A25" s="42">
        <v>24</v>
      </c>
      <c r="B25" s="42">
        <v>17316</v>
      </c>
      <c r="C25" s="39" t="s">
        <v>642</v>
      </c>
      <c r="D25" s="39" t="s">
        <v>641</v>
      </c>
      <c r="E25" s="39" t="s">
        <v>528</v>
      </c>
    </row>
    <row r="26" spans="1:5" ht="15.75" customHeight="1" x14ac:dyDescent="0.2">
      <c r="A26" s="42">
        <v>25</v>
      </c>
      <c r="B26" s="42">
        <v>17316</v>
      </c>
      <c r="C26" s="39" t="s">
        <v>643</v>
      </c>
      <c r="D26" s="39" t="s">
        <v>641</v>
      </c>
      <c r="E26" s="39" t="s">
        <v>528</v>
      </c>
    </row>
    <row r="27" spans="1:5" ht="15.75" customHeight="1" x14ac:dyDescent="0.2">
      <c r="A27" s="42">
        <v>26</v>
      </c>
      <c r="B27" s="42">
        <v>17317</v>
      </c>
      <c r="C27" s="39" t="s">
        <v>644</v>
      </c>
      <c r="D27" s="39" t="s">
        <v>645</v>
      </c>
      <c r="E27" s="39" t="s">
        <v>646</v>
      </c>
    </row>
    <row r="28" spans="1:5" ht="15.75" customHeight="1" x14ac:dyDescent="0.2">
      <c r="A28" s="42">
        <v>27</v>
      </c>
      <c r="B28" s="42">
        <v>17318</v>
      </c>
      <c r="C28" s="39" t="s">
        <v>647</v>
      </c>
      <c r="D28" s="39" t="s">
        <v>648</v>
      </c>
      <c r="E28" s="39" t="s">
        <v>528</v>
      </c>
    </row>
    <row r="29" spans="1:5" ht="15.75" customHeight="1" x14ac:dyDescent="0.2">
      <c r="A29" s="42">
        <v>28</v>
      </c>
      <c r="B29" s="42">
        <v>17318</v>
      </c>
      <c r="C29" s="39" t="s">
        <v>649</v>
      </c>
      <c r="D29" s="39" t="s">
        <v>648</v>
      </c>
      <c r="E29" s="39" t="s">
        <v>528</v>
      </c>
    </row>
    <row r="30" spans="1:5" ht="15.75" customHeight="1" x14ac:dyDescent="0.2">
      <c r="A30" s="42">
        <v>29</v>
      </c>
      <c r="B30" s="42">
        <v>17318</v>
      </c>
      <c r="C30" s="39" t="s">
        <v>650</v>
      </c>
      <c r="D30" s="39" t="s">
        <v>648</v>
      </c>
      <c r="E30" s="39" t="s">
        <v>528</v>
      </c>
    </row>
    <row r="31" spans="1:5" ht="15.75" customHeight="1" x14ac:dyDescent="0.2">
      <c r="A31" s="42">
        <v>30</v>
      </c>
      <c r="B31" s="42">
        <v>17318</v>
      </c>
      <c r="C31" s="39" t="s">
        <v>651</v>
      </c>
      <c r="D31" s="39" t="s">
        <v>652</v>
      </c>
      <c r="E31" s="39" t="s">
        <v>653</v>
      </c>
    </row>
    <row r="32" spans="1:5" ht="15.75" customHeight="1" x14ac:dyDescent="0.2">
      <c r="A32" s="42">
        <v>31</v>
      </c>
      <c r="B32" s="42">
        <v>17319</v>
      </c>
      <c r="C32" s="39" t="s">
        <v>654</v>
      </c>
      <c r="D32" s="39" t="s">
        <v>655</v>
      </c>
      <c r="E32" s="39" t="s">
        <v>528</v>
      </c>
    </row>
    <row r="33" spans="1:5" ht="15.75" customHeight="1" x14ac:dyDescent="0.2">
      <c r="A33" s="42">
        <v>32</v>
      </c>
      <c r="B33" s="42">
        <v>17320</v>
      </c>
      <c r="C33" s="39" t="s">
        <v>656</v>
      </c>
      <c r="D33" s="39" t="s">
        <v>657</v>
      </c>
      <c r="E33" s="39" t="s">
        <v>528</v>
      </c>
    </row>
    <row r="34" spans="1:5" ht="15.75" customHeight="1" x14ac:dyDescent="0.2">
      <c r="A34" s="42">
        <v>33</v>
      </c>
      <c r="B34" s="42">
        <v>17320</v>
      </c>
      <c r="C34" s="39" t="s">
        <v>658</v>
      </c>
      <c r="D34" s="39" t="s">
        <v>657</v>
      </c>
      <c r="E34" s="39" t="s">
        <v>528</v>
      </c>
    </row>
    <row r="35" spans="1:5" ht="15.75" customHeight="1" x14ac:dyDescent="0.2">
      <c r="A35" s="42">
        <v>34</v>
      </c>
      <c r="B35" s="42">
        <v>17322</v>
      </c>
      <c r="C35" s="39" t="s">
        <v>659</v>
      </c>
      <c r="D35" s="39" t="s">
        <v>660</v>
      </c>
      <c r="E35" s="39" t="s">
        <v>528</v>
      </c>
    </row>
    <row r="36" spans="1:5" ht="15.75" customHeight="1" x14ac:dyDescent="0.2">
      <c r="A36" s="42">
        <v>35</v>
      </c>
      <c r="B36" s="42">
        <v>17323</v>
      </c>
      <c r="C36" s="39" t="s">
        <v>661</v>
      </c>
      <c r="D36" s="39" t="s">
        <v>662</v>
      </c>
      <c r="E36" s="39" t="s">
        <v>663</v>
      </c>
    </row>
    <row r="37" spans="1:5" ht="15.75" customHeight="1" x14ac:dyDescent="0.2">
      <c r="A37" s="42">
        <v>36</v>
      </c>
      <c r="B37" s="42">
        <v>17323</v>
      </c>
      <c r="C37" s="39" t="s">
        <v>664</v>
      </c>
      <c r="D37" s="39" t="s">
        <v>665</v>
      </c>
      <c r="E37" s="39" t="s">
        <v>528</v>
      </c>
    </row>
    <row r="38" spans="1:5" ht="15.75" customHeight="1" x14ac:dyDescent="0.2">
      <c r="A38" s="42">
        <v>37</v>
      </c>
      <c r="B38" s="42">
        <v>17324</v>
      </c>
      <c r="C38" s="39" t="s">
        <v>666</v>
      </c>
      <c r="D38" s="39" t="s">
        <v>667</v>
      </c>
      <c r="E38" s="39" t="s">
        <v>668</v>
      </c>
    </row>
    <row r="39" spans="1:5" ht="15.75" customHeight="1" x14ac:dyDescent="0.2">
      <c r="A39" s="42">
        <v>38</v>
      </c>
      <c r="B39" s="42">
        <v>17324</v>
      </c>
      <c r="C39" s="39" t="s">
        <v>669</v>
      </c>
      <c r="D39" s="39" t="s">
        <v>670</v>
      </c>
      <c r="E39" s="39" t="s">
        <v>528</v>
      </c>
    </row>
    <row r="40" spans="1:5" ht="15.75" customHeight="1" x14ac:dyDescent="0.2">
      <c r="A40" s="42">
        <v>39</v>
      </c>
      <c r="B40" s="42">
        <v>17325</v>
      </c>
      <c r="C40" s="39" t="s">
        <v>671</v>
      </c>
      <c r="D40" s="39" t="s">
        <v>672</v>
      </c>
      <c r="E40" s="39" t="s">
        <v>673</v>
      </c>
    </row>
    <row r="41" spans="1:5" ht="15.75" customHeight="1" x14ac:dyDescent="0.2">
      <c r="A41" s="42">
        <v>40</v>
      </c>
      <c r="B41" s="42">
        <v>17326</v>
      </c>
      <c r="C41" s="39" t="s">
        <v>674</v>
      </c>
      <c r="D41" s="39" t="s">
        <v>675</v>
      </c>
      <c r="E41" s="39" t="s">
        <v>528</v>
      </c>
    </row>
    <row r="42" spans="1:5" ht="15.75" customHeight="1" x14ac:dyDescent="0.2">
      <c r="A42" s="42">
        <v>41</v>
      </c>
      <c r="B42" s="42">
        <v>17327</v>
      </c>
      <c r="C42" s="39" t="s">
        <v>676</v>
      </c>
      <c r="D42" s="39" t="s">
        <v>677</v>
      </c>
      <c r="E42" s="39" t="s">
        <v>528</v>
      </c>
    </row>
    <row r="43" spans="1:5" ht="15.75" customHeight="1" x14ac:dyDescent="0.2">
      <c r="A43" s="42">
        <v>42</v>
      </c>
      <c r="B43" s="42">
        <v>17329</v>
      </c>
      <c r="C43" s="39" t="s">
        <v>678</v>
      </c>
      <c r="D43" s="39" t="s">
        <v>679</v>
      </c>
      <c r="E43" s="39" t="s">
        <v>528</v>
      </c>
    </row>
    <row r="44" spans="1:5" ht="15.75" customHeight="1" x14ac:dyDescent="0.2">
      <c r="A44" s="42">
        <v>43</v>
      </c>
      <c r="B44" s="42">
        <v>17329</v>
      </c>
      <c r="C44" s="39" t="s">
        <v>680</v>
      </c>
      <c r="D44" s="39" t="s">
        <v>681</v>
      </c>
      <c r="E44" s="39" t="s">
        <v>682</v>
      </c>
    </row>
    <row r="45" spans="1:5" ht="15.75" customHeight="1" x14ac:dyDescent="0.2">
      <c r="A45" s="42">
        <v>44</v>
      </c>
      <c r="B45" s="42">
        <v>17329</v>
      </c>
      <c r="C45" s="39" t="s">
        <v>683</v>
      </c>
      <c r="D45" s="39" t="s">
        <v>681</v>
      </c>
      <c r="E45" s="39" t="s">
        <v>682</v>
      </c>
    </row>
    <row r="46" spans="1:5" ht="15.75" customHeight="1" x14ac:dyDescent="0.2">
      <c r="A46" s="42">
        <v>45</v>
      </c>
      <c r="B46" s="42">
        <v>17329</v>
      </c>
      <c r="C46" s="39" t="s">
        <v>684</v>
      </c>
      <c r="D46" s="39" t="s">
        <v>685</v>
      </c>
      <c r="E46" s="39" t="s">
        <v>686</v>
      </c>
    </row>
    <row r="47" spans="1:5" ht="15.75" customHeight="1" x14ac:dyDescent="0.2">
      <c r="A47" s="42">
        <v>46</v>
      </c>
      <c r="B47" s="42">
        <v>17329</v>
      </c>
      <c r="C47" s="39" t="s">
        <v>687</v>
      </c>
      <c r="D47" s="39" t="s">
        <v>679</v>
      </c>
      <c r="E47" s="39" t="s">
        <v>528</v>
      </c>
    </row>
    <row r="48" spans="1:5" ht="15.75" customHeight="1" x14ac:dyDescent="0.2">
      <c r="A48" s="42">
        <v>47</v>
      </c>
      <c r="B48" s="42">
        <v>17330</v>
      </c>
      <c r="C48" s="39" t="s">
        <v>688</v>
      </c>
      <c r="D48" s="39" t="s">
        <v>689</v>
      </c>
      <c r="E48" s="39" t="s">
        <v>690</v>
      </c>
    </row>
    <row r="49" spans="1:5" ht="15.75" customHeight="1" x14ac:dyDescent="0.2">
      <c r="A49" s="42">
        <v>48</v>
      </c>
      <c r="B49" s="42">
        <v>17330</v>
      </c>
      <c r="C49" s="39" t="s">
        <v>691</v>
      </c>
      <c r="D49" s="39" t="s">
        <v>692</v>
      </c>
      <c r="E49" s="39" t="s">
        <v>528</v>
      </c>
    </row>
    <row r="50" spans="1:5" ht="15.75" customHeight="1" x14ac:dyDescent="0.2">
      <c r="A50" s="42">
        <v>49</v>
      </c>
      <c r="B50" s="42">
        <v>17330</v>
      </c>
      <c r="C50" s="39" t="s">
        <v>693</v>
      </c>
      <c r="D50" s="39" t="s">
        <v>694</v>
      </c>
      <c r="E50" s="39" t="s">
        <v>695</v>
      </c>
    </row>
    <row r="51" spans="1:5" ht="15.75" customHeight="1" x14ac:dyDescent="0.2">
      <c r="A51" s="42">
        <v>50</v>
      </c>
      <c r="B51" s="42">
        <v>17330</v>
      </c>
      <c r="C51" s="39" t="s">
        <v>696</v>
      </c>
      <c r="D51" s="39" t="s">
        <v>697</v>
      </c>
      <c r="E51" s="39" t="s">
        <v>698</v>
      </c>
    </row>
    <row r="52" spans="1:5" ht="15.75" customHeight="1" x14ac:dyDescent="0.2">
      <c r="A52" s="42">
        <v>51</v>
      </c>
      <c r="B52" s="42">
        <v>17330</v>
      </c>
      <c r="C52" s="39" t="s">
        <v>699</v>
      </c>
      <c r="D52" s="39" t="s">
        <v>689</v>
      </c>
      <c r="E52" s="39" t="s">
        <v>690</v>
      </c>
    </row>
    <row r="53" spans="1:5" ht="15.75" customHeight="1" x14ac:dyDescent="0.2">
      <c r="A53" s="42">
        <v>52</v>
      </c>
      <c r="B53" s="42">
        <v>17330</v>
      </c>
      <c r="C53" s="39" t="s">
        <v>700</v>
      </c>
      <c r="D53" s="39" t="s">
        <v>701</v>
      </c>
      <c r="E53" s="39" t="s">
        <v>702</v>
      </c>
    </row>
    <row r="54" spans="1:5" ht="15.75" customHeight="1" x14ac:dyDescent="0.2">
      <c r="A54" s="42">
        <v>53</v>
      </c>
      <c r="B54" s="42">
        <v>17330</v>
      </c>
      <c r="C54" s="39" t="s">
        <v>703</v>
      </c>
      <c r="D54" s="39" t="s">
        <v>692</v>
      </c>
      <c r="E54" s="39" t="s">
        <v>528</v>
      </c>
    </row>
    <row r="55" spans="1:5" ht="15.75" customHeight="1" x14ac:dyDescent="0.2">
      <c r="A55" s="42">
        <v>54</v>
      </c>
      <c r="B55" s="42">
        <v>17330</v>
      </c>
      <c r="C55" s="39" t="s">
        <v>704</v>
      </c>
      <c r="D55" s="39" t="s">
        <v>705</v>
      </c>
      <c r="E55" s="39" t="s">
        <v>706</v>
      </c>
    </row>
    <row r="56" spans="1:5" ht="15.75" customHeight="1" x14ac:dyDescent="0.2">
      <c r="A56" s="42">
        <v>55</v>
      </c>
      <c r="B56" s="42">
        <v>17330</v>
      </c>
      <c r="C56" s="39" t="s">
        <v>707</v>
      </c>
      <c r="D56" s="39" t="s">
        <v>692</v>
      </c>
      <c r="E56" s="39" t="s">
        <v>528</v>
      </c>
    </row>
    <row r="57" spans="1:5" ht="15.75" customHeight="1" x14ac:dyDescent="0.2">
      <c r="A57" s="42">
        <v>56</v>
      </c>
      <c r="B57" s="42">
        <v>17330</v>
      </c>
      <c r="C57" s="39" t="s">
        <v>708</v>
      </c>
      <c r="D57" s="39" t="s">
        <v>697</v>
      </c>
      <c r="E57" s="39" t="s">
        <v>698</v>
      </c>
    </row>
    <row r="58" spans="1:5" ht="15.75" customHeight="1" x14ac:dyDescent="0.2">
      <c r="A58" s="42">
        <v>57</v>
      </c>
      <c r="B58" s="42">
        <v>17330</v>
      </c>
      <c r="C58" s="39" t="s">
        <v>709</v>
      </c>
      <c r="D58" s="39" t="s">
        <v>692</v>
      </c>
      <c r="E58" s="39" t="s">
        <v>528</v>
      </c>
    </row>
    <row r="59" spans="1:5" ht="15.75" customHeight="1" x14ac:dyDescent="0.2">
      <c r="A59" s="42">
        <v>58</v>
      </c>
      <c r="B59" s="42">
        <v>17330</v>
      </c>
      <c r="C59" s="39" t="s">
        <v>710</v>
      </c>
      <c r="D59" s="39" t="s">
        <v>692</v>
      </c>
      <c r="E59" s="39" t="s">
        <v>528</v>
      </c>
    </row>
    <row r="60" spans="1:5" ht="15.75" customHeight="1" x14ac:dyDescent="0.2">
      <c r="A60" s="42">
        <v>59</v>
      </c>
      <c r="B60" s="42">
        <v>17330</v>
      </c>
      <c r="C60" s="39" t="s">
        <v>711</v>
      </c>
      <c r="D60" s="39" t="s">
        <v>692</v>
      </c>
      <c r="E60" s="39" t="s">
        <v>528</v>
      </c>
    </row>
    <row r="61" spans="1:5" ht="15.75" customHeight="1" x14ac:dyDescent="0.2">
      <c r="A61" s="42">
        <v>60</v>
      </c>
      <c r="B61" s="42">
        <v>17330</v>
      </c>
      <c r="C61" s="39" t="s">
        <v>712</v>
      </c>
      <c r="D61" s="39" t="s">
        <v>697</v>
      </c>
      <c r="E61" s="39" t="s">
        <v>698</v>
      </c>
    </row>
    <row r="62" spans="1:5" ht="15.75" customHeight="1" x14ac:dyDescent="0.2">
      <c r="A62" s="42">
        <v>61</v>
      </c>
      <c r="B62" s="42">
        <v>17330</v>
      </c>
      <c r="C62" s="39" t="s">
        <v>713</v>
      </c>
      <c r="D62" s="39" t="s">
        <v>689</v>
      </c>
      <c r="E62" s="39" t="s">
        <v>690</v>
      </c>
    </row>
    <row r="63" spans="1:5" ht="15.75" customHeight="1" x14ac:dyDescent="0.2">
      <c r="A63" s="42">
        <v>62</v>
      </c>
      <c r="B63" s="42">
        <v>17330</v>
      </c>
      <c r="C63" s="39" t="s">
        <v>714</v>
      </c>
      <c r="D63" s="39" t="s">
        <v>705</v>
      </c>
      <c r="E63" s="39" t="s">
        <v>706</v>
      </c>
    </row>
    <row r="64" spans="1:5" ht="15.75" customHeight="1" x14ac:dyDescent="0.2">
      <c r="A64" s="42">
        <v>63</v>
      </c>
      <c r="B64" s="42">
        <v>17331</v>
      </c>
      <c r="C64" s="39" t="s">
        <v>715</v>
      </c>
      <c r="D64" s="39" t="s">
        <v>716</v>
      </c>
      <c r="E64" s="39" t="s">
        <v>528</v>
      </c>
    </row>
    <row r="65" spans="1:5" ht="15.75" customHeight="1" x14ac:dyDescent="0.2">
      <c r="A65" s="42">
        <v>64</v>
      </c>
      <c r="B65" s="42">
        <v>17331</v>
      </c>
      <c r="C65" s="39" t="s">
        <v>717</v>
      </c>
      <c r="D65" s="39" t="s">
        <v>716</v>
      </c>
      <c r="E65" s="39" t="s">
        <v>528</v>
      </c>
    </row>
    <row r="66" spans="1:5" ht="15.75" customHeight="1" x14ac:dyDescent="0.2">
      <c r="A66" s="42">
        <v>65</v>
      </c>
      <c r="B66" s="42">
        <v>17331</v>
      </c>
      <c r="C66" s="39" t="s">
        <v>718</v>
      </c>
      <c r="D66" s="39" t="s">
        <v>716</v>
      </c>
      <c r="E66" s="39" t="s">
        <v>528</v>
      </c>
    </row>
    <row r="67" spans="1:5" ht="15.75" customHeight="1" x14ac:dyDescent="0.2">
      <c r="A67" s="42">
        <v>66</v>
      </c>
      <c r="B67" s="42">
        <v>17331</v>
      </c>
      <c r="C67" s="39" t="s">
        <v>719</v>
      </c>
      <c r="D67" s="39" t="s">
        <v>720</v>
      </c>
      <c r="E67" s="39" t="s">
        <v>721</v>
      </c>
    </row>
    <row r="68" spans="1:5" ht="15.75" customHeight="1" x14ac:dyDescent="0.2">
      <c r="A68" s="42">
        <v>67</v>
      </c>
      <c r="B68" s="42">
        <v>17331</v>
      </c>
      <c r="C68" s="39" t="s">
        <v>722</v>
      </c>
      <c r="D68" s="39" t="s">
        <v>716</v>
      </c>
      <c r="E68" s="39" t="s">
        <v>528</v>
      </c>
    </row>
    <row r="69" spans="1:5" ht="15.75" customHeight="1" x14ac:dyDescent="0.2">
      <c r="A69" s="42">
        <v>68</v>
      </c>
      <c r="B69" s="42">
        <v>17332</v>
      </c>
      <c r="C69" s="39" t="s">
        <v>723</v>
      </c>
      <c r="D69" s="39" t="s">
        <v>724</v>
      </c>
      <c r="E69" s="39" t="s">
        <v>528</v>
      </c>
    </row>
    <row r="70" spans="1:5" ht="15.75" customHeight="1" x14ac:dyDescent="0.2">
      <c r="A70" s="42">
        <v>69</v>
      </c>
      <c r="B70" s="42">
        <v>17332</v>
      </c>
      <c r="C70" s="39" t="s">
        <v>725</v>
      </c>
      <c r="D70" s="39" t="s">
        <v>726</v>
      </c>
      <c r="E70" s="39" t="s">
        <v>727</v>
      </c>
    </row>
    <row r="71" spans="1:5" ht="15.75" customHeight="1" x14ac:dyDescent="0.2">
      <c r="A71" s="42">
        <v>70</v>
      </c>
      <c r="B71" s="42">
        <v>17332</v>
      </c>
      <c r="C71" s="39" t="s">
        <v>728</v>
      </c>
      <c r="D71" s="39" t="s">
        <v>729</v>
      </c>
      <c r="E71" s="39" t="s">
        <v>730</v>
      </c>
    </row>
    <row r="72" spans="1:5" ht="15.75" customHeight="1" x14ac:dyDescent="0.2">
      <c r="A72" s="42">
        <v>71</v>
      </c>
      <c r="B72" s="42">
        <v>17332</v>
      </c>
      <c r="C72" s="39" t="s">
        <v>731</v>
      </c>
      <c r="D72" s="39" t="s">
        <v>724</v>
      </c>
      <c r="E72" s="39" t="s">
        <v>528</v>
      </c>
    </row>
    <row r="73" spans="1:5" ht="15.75" customHeight="1" x14ac:dyDescent="0.2">
      <c r="A73" s="42">
        <v>72</v>
      </c>
      <c r="B73" s="42">
        <v>17337</v>
      </c>
      <c r="C73" s="39" t="s">
        <v>732</v>
      </c>
      <c r="D73" s="39" t="s">
        <v>733</v>
      </c>
      <c r="E73" s="39" t="s">
        <v>528</v>
      </c>
    </row>
    <row r="74" spans="1:5" ht="15.75" customHeight="1" x14ac:dyDescent="0.2">
      <c r="A74" s="42">
        <v>73</v>
      </c>
      <c r="B74" s="42">
        <v>17338</v>
      </c>
      <c r="C74" s="39" t="s">
        <v>734</v>
      </c>
      <c r="D74" s="39" t="s">
        <v>735</v>
      </c>
      <c r="E74" s="39" t="s">
        <v>528</v>
      </c>
    </row>
    <row r="75" spans="1:5" ht="15.75" customHeight="1" x14ac:dyDescent="0.2">
      <c r="A75" s="42">
        <v>74</v>
      </c>
      <c r="B75" s="42">
        <v>17339</v>
      </c>
      <c r="C75" s="39" t="s">
        <v>736</v>
      </c>
      <c r="D75" s="39" t="s">
        <v>737</v>
      </c>
      <c r="E75" s="39" t="s">
        <v>528</v>
      </c>
    </row>
    <row r="76" spans="1:5" ht="15.75" customHeight="1" x14ac:dyDescent="0.2">
      <c r="A76" s="42">
        <v>75</v>
      </c>
      <c r="B76" s="42">
        <v>17344</v>
      </c>
      <c r="C76" s="39" t="s">
        <v>738</v>
      </c>
      <c r="D76" s="39" t="s">
        <v>739</v>
      </c>
      <c r="E76" s="39" t="s">
        <v>528</v>
      </c>
    </row>
    <row r="77" spans="1:5" ht="15.75" customHeight="1" x14ac:dyDescent="0.2">
      <c r="A77" s="42">
        <v>76</v>
      </c>
      <c r="B77" s="42">
        <v>17344</v>
      </c>
      <c r="C77" s="39" t="s">
        <v>740</v>
      </c>
      <c r="D77" s="39" t="s">
        <v>739</v>
      </c>
      <c r="E77" s="39" t="s">
        <v>528</v>
      </c>
    </row>
    <row r="78" spans="1:5" ht="15.75" customHeight="1" x14ac:dyDescent="0.2">
      <c r="A78" s="42">
        <v>77</v>
      </c>
      <c r="B78" s="42">
        <v>17344</v>
      </c>
      <c r="C78" s="39" t="s">
        <v>741</v>
      </c>
      <c r="D78" s="39" t="s">
        <v>739</v>
      </c>
      <c r="E78" s="39" t="s">
        <v>528</v>
      </c>
    </row>
    <row r="79" spans="1:5" ht="15.75" customHeight="1" x14ac:dyDescent="0.2">
      <c r="A79" s="42">
        <v>78</v>
      </c>
      <c r="B79" s="42">
        <v>17345</v>
      </c>
      <c r="C79" s="39" t="s">
        <v>742</v>
      </c>
      <c r="D79" s="39" t="s">
        <v>743</v>
      </c>
      <c r="E79" s="39" t="s">
        <v>528</v>
      </c>
    </row>
    <row r="80" spans="1:5" ht="15.75" customHeight="1" x14ac:dyDescent="0.2">
      <c r="A80" s="42">
        <v>79</v>
      </c>
      <c r="B80" s="42">
        <v>17345</v>
      </c>
      <c r="C80" s="39" t="s">
        <v>744</v>
      </c>
      <c r="D80" s="39" t="s">
        <v>743</v>
      </c>
      <c r="E80" s="39" t="s">
        <v>528</v>
      </c>
    </row>
    <row r="81" spans="1:5" ht="15.75" customHeight="1" x14ac:dyDescent="0.2">
      <c r="A81" s="42">
        <v>80</v>
      </c>
      <c r="B81" s="42">
        <v>17345</v>
      </c>
      <c r="C81" s="39" t="s">
        <v>745</v>
      </c>
      <c r="D81" s="39" t="s">
        <v>743</v>
      </c>
      <c r="E81" s="39" t="s">
        <v>528</v>
      </c>
    </row>
    <row r="82" spans="1:5" ht="15.75" customHeight="1" x14ac:dyDescent="0.2">
      <c r="A82" s="42">
        <v>81</v>
      </c>
      <c r="B82" s="42">
        <v>17345</v>
      </c>
      <c r="C82" s="39" t="s">
        <v>746</v>
      </c>
      <c r="D82" s="39" t="s">
        <v>743</v>
      </c>
      <c r="E82" s="39" t="s">
        <v>528</v>
      </c>
    </row>
    <row r="83" spans="1:5" ht="15.75" customHeight="1" x14ac:dyDescent="0.2">
      <c r="A83" s="42">
        <v>82</v>
      </c>
      <c r="B83" s="42">
        <v>17346</v>
      </c>
      <c r="C83" s="39" t="s">
        <v>747</v>
      </c>
      <c r="D83" s="39" t="s">
        <v>748</v>
      </c>
      <c r="E83" s="39" t="s">
        <v>528</v>
      </c>
    </row>
    <row r="84" spans="1:5" ht="15.75" customHeight="1" x14ac:dyDescent="0.2">
      <c r="A84" s="42">
        <v>83</v>
      </c>
      <c r="B84" s="42">
        <v>17347</v>
      </c>
      <c r="C84" s="39" t="s">
        <v>749</v>
      </c>
      <c r="D84" s="39" t="s">
        <v>750</v>
      </c>
      <c r="E84" s="39" t="s">
        <v>528</v>
      </c>
    </row>
    <row r="85" spans="1:5" ht="15.75" customHeight="1" x14ac:dyDescent="0.2">
      <c r="A85" s="42">
        <v>84</v>
      </c>
      <c r="B85" s="42">
        <v>17348</v>
      </c>
      <c r="C85" s="39" t="s">
        <v>751</v>
      </c>
      <c r="D85" s="39" t="s">
        <v>752</v>
      </c>
      <c r="E85" s="39" t="s">
        <v>528</v>
      </c>
    </row>
    <row r="86" spans="1:5" ht="15.75" customHeight="1" x14ac:dyDescent="0.2">
      <c r="A86" s="42">
        <v>85</v>
      </c>
      <c r="B86" s="42">
        <v>17348</v>
      </c>
      <c r="C86" s="39" t="s">
        <v>753</v>
      </c>
      <c r="D86" s="39" t="s">
        <v>752</v>
      </c>
      <c r="E86" s="39" t="s">
        <v>528</v>
      </c>
    </row>
    <row r="87" spans="1:5" ht="15.75" customHeight="1" x14ac:dyDescent="0.2">
      <c r="A87" s="42">
        <v>86</v>
      </c>
      <c r="B87" s="42">
        <v>17348</v>
      </c>
      <c r="C87" s="39" t="s">
        <v>754</v>
      </c>
      <c r="D87" s="39" t="s">
        <v>752</v>
      </c>
      <c r="E87" s="39" t="s">
        <v>528</v>
      </c>
    </row>
    <row r="88" spans="1:5" ht="15.75" customHeight="1" x14ac:dyDescent="0.2">
      <c r="A88" s="42">
        <v>87</v>
      </c>
      <c r="B88" s="42">
        <v>17349</v>
      </c>
      <c r="C88" s="39" t="s">
        <v>755</v>
      </c>
      <c r="D88" s="39" t="s">
        <v>756</v>
      </c>
      <c r="E88" s="39" t="s">
        <v>528</v>
      </c>
    </row>
    <row r="89" spans="1:5" ht="15.75" customHeight="1" x14ac:dyDescent="0.2">
      <c r="A89" s="42">
        <v>88</v>
      </c>
      <c r="B89" s="42">
        <v>17349</v>
      </c>
      <c r="C89" s="39" t="s">
        <v>757</v>
      </c>
      <c r="D89" s="39" t="s">
        <v>756</v>
      </c>
      <c r="E89" s="39" t="s">
        <v>528</v>
      </c>
    </row>
    <row r="90" spans="1:5" ht="15.75" customHeight="1" x14ac:dyDescent="0.2">
      <c r="A90" s="42">
        <v>89</v>
      </c>
      <c r="B90" s="42">
        <v>17349</v>
      </c>
      <c r="C90" s="39" t="s">
        <v>758</v>
      </c>
      <c r="D90" s="39" t="s">
        <v>756</v>
      </c>
      <c r="E90" s="39" t="s">
        <v>528</v>
      </c>
    </row>
    <row r="91" spans="1:5" ht="15.75" customHeight="1" x14ac:dyDescent="0.2">
      <c r="A91" s="42">
        <v>90</v>
      </c>
      <c r="B91" s="42">
        <v>17350</v>
      </c>
      <c r="C91" s="39" t="s">
        <v>759</v>
      </c>
      <c r="D91" s="39" t="s">
        <v>760</v>
      </c>
      <c r="E91" s="39" t="s">
        <v>528</v>
      </c>
    </row>
    <row r="92" spans="1:5" ht="15.75" customHeight="1" x14ac:dyDescent="0.2">
      <c r="A92" s="42">
        <v>91</v>
      </c>
      <c r="B92" s="42">
        <v>17351</v>
      </c>
      <c r="C92" s="39" t="s">
        <v>761</v>
      </c>
      <c r="D92" s="39" t="s">
        <v>762</v>
      </c>
      <c r="E92" s="39" t="s">
        <v>528</v>
      </c>
    </row>
    <row r="93" spans="1:5" ht="15.75" customHeight="1" x14ac:dyDescent="0.2">
      <c r="A93" s="42">
        <v>92</v>
      </c>
      <c r="B93" s="42">
        <v>17351</v>
      </c>
      <c r="C93" s="39" t="s">
        <v>763</v>
      </c>
      <c r="D93" s="39" t="s">
        <v>762</v>
      </c>
      <c r="E93" s="39" t="s">
        <v>528</v>
      </c>
    </row>
    <row r="94" spans="1:5" ht="15.75" customHeight="1" x14ac:dyDescent="0.2">
      <c r="A94" s="42">
        <v>93</v>
      </c>
      <c r="B94" s="42">
        <v>17351</v>
      </c>
      <c r="C94" s="39" t="s">
        <v>764</v>
      </c>
      <c r="D94" s="39" t="s">
        <v>762</v>
      </c>
      <c r="E94" s="39" t="s">
        <v>528</v>
      </c>
    </row>
    <row r="95" spans="1:5" ht="15.75" customHeight="1" x14ac:dyDescent="0.2">
      <c r="A95" s="42">
        <v>94</v>
      </c>
      <c r="B95" s="42">
        <v>17352</v>
      </c>
      <c r="C95" s="39" t="s">
        <v>765</v>
      </c>
      <c r="D95" s="39" t="s">
        <v>766</v>
      </c>
      <c r="E95" s="39" t="s">
        <v>528</v>
      </c>
    </row>
    <row r="96" spans="1:5" ht="15.75" customHeight="1" x14ac:dyDescent="0.2">
      <c r="A96" s="42">
        <v>95</v>
      </c>
      <c r="B96" s="42">
        <v>17352</v>
      </c>
      <c r="C96" s="39" t="s">
        <v>767</v>
      </c>
      <c r="D96" s="39" t="s">
        <v>766</v>
      </c>
      <c r="E96" s="39" t="s">
        <v>528</v>
      </c>
    </row>
    <row r="97" spans="1:5" ht="15.75" customHeight="1" x14ac:dyDescent="0.2">
      <c r="A97" s="42">
        <v>96</v>
      </c>
      <c r="B97" s="42">
        <v>17352</v>
      </c>
      <c r="C97" s="39" t="s">
        <v>768</v>
      </c>
      <c r="D97" s="39" t="s">
        <v>766</v>
      </c>
      <c r="E97" s="39" t="s">
        <v>528</v>
      </c>
    </row>
    <row r="98" spans="1:5" ht="15.75" customHeight="1" x14ac:dyDescent="0.2">
      <c r="A98" s="42">
        <v>97</v>
      </c>
      <c r="B98" s="42">
        <v>17352</v>
      </c>
      <c r="C98" s="39" t="s">
        <v>769</v>
      </c>
      <c r="D98" s="39" t="s">
        <v>766</v>
      </c>
      <c r="E98" s="39" t="s">
        <v>528</v>
      </c>
    </row>
    <row r="99" spans="1:5" ht="15.75" customHeight="1" x14ac:dyDescent="0.2">
      <c r="A99" s="42">
        <v>98</v>
      </c>
      <c r="B99" s="42">
        <v>17352</v>
      </c>
      <c r="C99" s="39" t="s">
        <v>770</v>
      </c>
      <c r="D99" s="39" t="s">
        <v>766</v>
      </c>
      <c r="E99" s="39" t="s">
        <v>528</v>
      </c>
    </row>
    <row r="100" spans="1:5" ht="15.75" customHeight="1" x14ac:dyDescent="0.2">
      <c r="A100" s="42">
        <v>99</v>
      </c>
      <c r="B100" s="42">
        <v>17352</v>
      </c>
      <c r="C100" s="39" t="s">
        <v>771</v>
      </c>
      <c r="D100" s="39" t="s">
        <v>766</v>
      </c>
      <c r="E100" s="39" t="s">
        <v>528</v>
      </c>
    </row>
    <row r="101" spans="1:5" ht="15.75" customHeight="1" x14ac:dyDescent="0.2">
      <c r="A101" s="42">
        <v>100</v>
      </c>
      <c r="B101" s="42">
        <v>17352</v>
      </c>
      <c r="C101" s="39" t="s">
        <v>772</v>
      </c>
      <c r="D101" s="39" t="s">
        <v>766</v>
      </c>
      <c r="E101" s="39" t="s">
        <v>528</v>
      </c>
    </row>
    <row r="102" spans="1:5" ht="15.75" customHeight="1" x14ac:dyDescent="0.2">
      <c r="A102" s="42">
        <v>101</v>
      </c>
      <c r="B102" s="42">
        <v>17352</v>
      </c>
      <c r="C102" s="39" t="s">
        <v>773</v>
      </c>
      <c r="D102" s="39" t="s">
        <v>766</v>
      </c>
      <c r="E102" s="39" t="s">
        <v>528</v>
      </c>
    </row>
    <row r="103" spans="1:5" ht="15.75" customHeight="1" x14ac:dyDescent="0.2">
      <c r="A103" s="42">
        <v>102</v>
      </c>
      <c r="B103" s="42">
        <v>17352</v>
      </c>
      <c r="C103" s="39" t="s">
        <v>774</v>
      </c>
      <c r="D103" s="39" t="s">
        <v>766</v>
      </c>
      <c r="E103" s="39" t="s">
        <v>528</v>
      </c>
    </row>
    <row r="104" spans="1:5" ht="15.75" customHeight="1" x14ac:dyDescent="0.2">
      <c r="A104" s="42">
        <v>103</v>
      </c>
      <c r="B104" s="42">
        <v>17353</v>
      </c>
      <c r="C104" s="39" t="s">
        <v>775</v>
      </c>
      <c r="D104" s="39" t="s">
        <v>776</v>
      </c>
      <c r="E104" s="39" t="s">
        <v>528</v>
      </c>
    </row>
    <row r="105" spans="1:5" ht="15.75" customHeight="1" x14ac:dyDescent="0.2">
      <c r="A105" s="42">
        <v>104</v>
      </c>
      <c r="B105" s="42">
        <v>17353</v>
      </c>
      <c r="C105" s="39" t="s">
        <v>777</v>
      </c>
      <c r="D105" s="39" t="s">
        <v>776</v>
      </c>
      <c r="E105" s="39" t="s">
        <v>528</v>
      </c>
    </row>
    <row r="106" spans="1:5" ht="15.75" customHeight="1" x14ac:dyDescent="0.2">
      <c r="A106" s="42">
        <v>105</v>
      </c>
      <c r="B106" s="42">
        <v>17353</v>
      </c>
      <c r="C106" s="39" t="s">
        <v>778</v>
      </c>
      <c r="D106" s="39" t="s">
        <v>776</v>
      </c>
      <c r="E106" s="39" t="s">
        <v>528</v>
      </c>
    </row>
    <row r="107" spans="1:5" ht="15.75" customHeight="1" x14ac:dyDescent="0.2">
      <c r="A107" s="42">
        <v>106</v>
      </c>
      <c r="B107" s="42">
        <v>17353</v>
      </c>
      <c r="C107" s="39" t="s">
        <v>779</v>
      </c>
      <c r="D107" s="39" t="s">
        <v>776</v>
      </c>
      <c r="E107" s="39" t="s">
        <v>528</v>
      </c>
    </row>
    <row r="108" spans="1:5" ht="15.75" customHeight="1" x14ac:dyDescent="0.2">
      <c r="A108" s="42">
        <v>107</v>
      </c>
      <c r="B108" s="42">
        <v>17354</v>
      </c>
      <c r="C108" s="39" t="s">
        <v>780</v>
      </c>
      <c r="D108" s="39" t="s">
        <v>781</v>
      </c>
      <c r="E108" s="39" t="s">
        <v>782</v>
      </c>
    </row>
    <row r="109" spans="1:5" ht="15.75" customHeight="1" x14ac:dyDescent="0.2">
      <c r="A109" s="42">
        <v>108</v>
      </c>
      <c r="B109" s="42">
        <v>17354</v>
      </c>
      <c r="C109" s="39" t="s">
        <v>783</v>
      </c>
      <c r="D109" s="39" t="s">
        <v>781</v>
      </c>
      <c r="E109" s="39" t="s">
        <v>782</v>
      </c>
    </row>
    <row r="110" spans="1:5" ht="15.75" customHeight="1" x14ac:dyDescent="0.2">
      <c r="A110" s="42">
        <v>109</v>
      </c>
      <c r="B110" s="42">
        <v>17354</v>
      </c>
      <c r="C110" s="39" t="s">
        <v>784</v>
      </c>
      <c r="D110" s="39" t="s">
        <v>781</v>
      </c>
      <c r="E110" s="39" t="s">
        <v>782</v>
      </c>
    </row>
    <row r="111" spans="1:5" ht="15.75" customHeight="1" x14ac:dyDescent="0.2">
      <c r="A111" s="42">
        <v>110</v>
      </c>
      <c r="B111" s="42">
        <v>17354</v>
      </c>
      <c r="C111" s="39" t="s">
        <v>785</v>
      </c>
      <c r="D111" s="39" t="s">
        <v>781</v>
      </c>
      <c r="E111" s="39" t="s">
        <v>782</v>
      </c>
    </row>
    <row r="112" spans="1:5" ht="15.75" customHeight="1" x14ac:dyDescent="0.2">
      <c r="A112" s="42">
        <v>111</v>
      </c>
      <c r="B112" s="42">
        <v>17354</v>
      </c>
      <c r="C112" s="39" t="s">
        <v>786</v>
      </c>
      <c r="D112" s="39" t="s">
        <v>782</v>
      </c>
      <c r="E112" s="39" t="s">
        <v>781</v>
      </c>
    </row>
    <row r="113" spans="1:5" ht="15.75" customHeight="1" x14ac:dyDescent="0.2">
      <c r="A113" s="42">
        <v>112</v>
      </c>
      <c r="B113" s="42">
        <v>17354</v>
      </c>
      <c r="C113" s="39" t="s">
        <v>787</v>
      </c>
      <c r="D113" s="39" t="s">
        <v>781</v>
      </c>
      <c r="E113" s="39" t="s">
        <v>782</v>
      </c>
    </row>
    <row r="114" spans="1:5" ht="15.75" customHeight="1" x14ac:dyDescent="0.2">
      <c r="A114" s="42">
        <v>113</v>
      </c>
      <c r="B114" s="42">
        <v>17355</v>
      </c>
      <c r="C114" s="39" t="s">
        <v>788</v>
      </c>
      <c r="D114" s="39" t="s">
        <v>789</v>
      </c>
      <c r="E114" s="39" t="s">
        <v>528</v>
      </c>
    </row>
    <row r="115" spans="1:5" ht="15.75" customHeight="1" x14ac:dyDescent="0.2">
      <c r="A115" s="42">
        <v>114</v>
      </c>
      <c r="B115" s="42">
        <v>17355</v>
      </c>
      <c r="C115" s="39" t="s">
        <v>790</v>
      </c>
      <c r="D115" s="39" t="s">
        <v>789</v>
      </c>
      <c r="E115" s="39" t="s">
        <v>528</v>
      </c>
    </row>
    <row r="116" spans="1:5" ht="15.75" customHeight="1" x14ac:dyDescent="0.2">
      <c r="A116" s="42">
        <v>115</v>
      </c>
      <c r="B116" s="42">
        <v>17355</v>
      </c>
      <c r="C116" s="39" t="s">
        <v>791</v>
      </c>
      <c r="D116" s="39" t="s">
        <v>789</v>
      </c>
      <c r="E116" s="39" t="s">
        <v>528</v>
      </c>
    </row>
    <row r="117" spans="1:5" ht="15.75" customHeight="1" x14ac:dyDescent="0.2">
      <c r="A117" s="42">
        <v>116</v>
      </c>
      <c r="B117" s="42">
        <v>17355</v>
      </c>
      <c r="C117" s="39" t="s">
        <v>792</v>
      </c>
      <c r="D117" s="39" t="s">
        <v>789</v>
      </c>
      <c r="E117" s="39" t="s">
        <v>528</v>
      </c>
    </row>
    <row r="118" spans="1:5" ht="15.75" customHeight="1" x14ac:dyDescent="0.2">
      <c r="A118" s="42">
        <v>117</v>
      </c>
      <c r="B118" s="42">
        <v>17355</v>
      </c>
      <c r="C118" s="39" t="s">
        <v>793</v>
      </c>
      <c r="D118" s="39" t="s">
        <v>789</v>
      </c>
      <c r="E118" s="39" t="s">
        <v>528</v>
      </c>
    </row>
    <row r="119" spans="1:5" ht="15.75" customHeight="1" x14ac:dyDescent="0.2">
      <c r="A119" s="42">
        <v>118</v>
      </c>
      <c r="B119" s="42">
        <v>17355</v>
      </c>
      <c r="C119" s="39" t="s">
        <v>794</v>
      </c>
      <c r="D119" s="39" t="s">
        <v>789</v>
      </c>
      <c r="E119" s="39" t="s">
        <v>528</v>
      </c>
    </row>
    <row r="120" spans="1:5" ht="15.75" customHeight="1" x14ac:dyDescent="0.2">
      <c r="A120" s="42">
        <v>119</v>
      </c>
      <c r="B120" s="42">
        <v>17355</v>
      </c>
      <c r="C120" s="39" t="s">
        <v>795</v>
      </c>
      <c r="D120" s="39" t="s">
        <v>789</v>
      </c>
      <c r="E120" s="39" t="s">
        <v>528</v>
      </c>
    </row>
    <row r="121" spans="1:5" ht="15.75" customHeight="1" x14ac:dyDescent="0.2">
      <c r="A121" s="42">
        <v>120</v>
      </c>
      <c r="B121" s="42">
        <v>17355</v>
      </c>
      <c r="C121" s="39" t="s">
        <v>796</v>
      </c>
      <c r="D121" s="39" t="s">
        <v>789</v>
      </c>
      <c r="E121" s="39" t="s">
        <v>528</v>
      </c>
    </row>
    <row r="122" spans="1:5" ht="15.75" customHeight="1" x14ac:dyDescent="0.2">
      <c r="A122" s="42">
        <v>121</v>
      </c>
      <c r="B122" s="42">
        <v>17355</v>
      </c>
      <c r="C122" s="39" t="s">
        <v>797</v>
      </c>
      <c r="D122" s="39" t="s">
        <v>789</v>
      </c>
      <c r="E122" s="39" t="s">
        <v>528</v>
      </c>
    </row>
    <row r="123" spans="1:5" ht="15.75" customHeight="1" x14ac:dyDescent="0.2">
      <c r="A123" s="42">
        <v>122</v>
      </c>
      <c r="B123" s="42">
        <v>17356</v>
      </c>
      <c r="C123" s="39" t="s">
        <v>798</v>
      </c>
      <c r="D123" s="39" t="s">
        <v>799</v>
      </c>
      <c r="E123" s="39" t="s">
        <v>528</v>
      </c>
    </row>
    <row r="124" spans="1:5" ht="15.75" customHeight="1" x14ac:dyDescent="0.2">
      <c r="A124" s="42">
        <v>123</v>
      </c>
      <c r="B124" s="42">
        <v>17356</v>
      </c>
      <c r="C124" s="39" t="s">
        <v>800</v>
      </c>
      <c r="D124" s="39" t="s">
        <v>799</v>
      </c>
      <c r="E124" s="39" t="s">
        <v>528</v>
      </c>
    </row>
    <row r="125" spans="1:5" ht="15.75" customHeight="1" x14ac:dyDescent="0.2">
      <c r="A125" s="42">
        <v>124</v>
      </c>
      <c r="B125" s="42">
        <v>17356</v>
      </c>
      <c r="C125" s="39" t="s">
        <v>801</v>
      </c>
      <c r="D125" s="39" t="s">
        <v>799</v>
      </c>
      <c r="E125" s="39" t="s">
        <v>528</v>
      </c>
    </row>
    <row r="126" spans="1:5" ht="15.75" customHeight="1" x14ac:dyDescent="0.2">
      <c r="A126" s="42">
        <v>125</v>
      </c>
      <c r="B126" s="42">
        <v>17356</v>
      </c>
      <c r="C126" s="39" t="s">
        <v>801</v>
      </c>
      <c r="D126" s="39" t="s">
        <v>799</v>
      </c>
      <c r="E126" s="39" t="s">
        <v>528</v>
      </c>
    </row>
    <row r="127" spans="1:5" ht="15.75" customHeight="1" x14ac:dyDescent="0.2">
      <c r="A127" s="42">
        <v>126</v>
      </c>
      <c r="B127" s="42">
        <v>17356</v>
      </c>
      <c r="C127" s="39" t="s">
        <v>801</v>
      </c>
      <c r="D127" s="39" t="s">
        <v>799</v>
      </c>
      <c r="E127" s="39" t="s">
        <v>528</v>
      </c>
    </row>
    <row r="128" spans="1:5" ht="15.75" customHeight="1" x14ac:dyDescent="0.2">
      <c r="A128" s="42">
        <v>127</v>
      </c>
      <c r="B128" s="42">
        <v>17357</v>
      </c>
      <c r="C128" s="39" t="s">
        <v>802</v>
      </c>
      <c r="D128" s="39" t="s">
        <v>803</v>
      </c>
      <c r="E128" s="39" t="s">
        <v>528</v>
      </c>
    </row>
    <row r="129" spans="1:5" ht="15.75" customHeight="1" x14ac:dyDescent="0.2">
      <c r="A129" s="42">
        <v>128</v>
      </c>
      <c r="B129" s="42">
        <v>17357</v>
      </c>
      <c r="C129" s="39" t="s">
        <v>804</v>
      </c>
      <c r="D129" s="39" t="s">
        <v>803</v>
      </c>
      <c r="E129" s="39" t="s">
        <v>528</v>
      </c>
    </row>
    <row r="130" spans="1:5" ht="15.75" customHeight="1" x14ac:dyDescent="0.2">
      <c r="A130" s="42">
        <v>129</v>
      </c>
      <c r="B130" s="42">
        <v>17357</v>
      </c>
      <c r="C130" s="39" t="s">
        <v>805</v>
      </c>
      <c r="D130" s="39" t="s">
        <v>803</v>
      </c>
      <c r="E130" s="39" t="s">
        <v>528</v>
      </c>
    </row>
    <row r="131" spans="1:5" ht="15.75" customHeight="1" x14ac:dyDescent="0.2">
      <c r="A131" s="42">
        <v>130</v>
      </c>
      <c r="B131" s="42">
        <v>17357</v>
      </c>
      <c r="C131" s="39" t="s">
        <v>806</v>
      </c>
      <c r="D131" s="39" t="s">
        <v>807</v>
      </c>
      <c r="E131" s="39" t="s">
        <v>808</v>
      </c>
    </row>
    <row r="132" spans="1:5" ht="15.75" customHeight="1" x14ac:dyDescent="0.2">
      <c r="A132" s="42">
        <v>131</v>
      </c>
      <c r="B132" s="42">
        <v>17357</v>
      </c>
      <c r="C132" s="39" t="s">
        <v>809</v>
      </c>
      <c r="D132" s="39" t="s">
        <v>810</v>
      </c>
      <c r="E132" s="39" t="s">
        <v>811</v>
      </c>
    </row>
    <row r="133" spans="1:5" ht="15.75" customHeight="1" x14ac:dyDescent="0.2">
      <c r="A133" s="42">
        <v>132</v>
      </c>
      <c r="B133" s="42">
        <v>17357</v>
      </c>
      <c r="C133" s="39" t="s">
        <v>812</v>
      </c>
      <c r="D133" s="39" t="s">
        <v>803</v>
      </c>
      <c r="E133" s="39" t="s">
        <v>528</v>
      </c>
    </row>
    <row r="134" spans="1:5" ht="15.75" customHeight="1" x14ac:dyDescent="0.2">
      <c r="A134" s="42">
        <v>133</v>
      </c>
      <c r="B134" s="42">
        <v>17358</v>
      </c>
      <c r="C134" s="39" t="s">
        <v>813</v>
      </c>
      <c r="D134" s="39" t="s">
        <v>814</v>
      </c>
      <c r="E134" s="39" t="s">
        <v>528</v>
      </c>
    </row>
    <row r="135" spans="1:5" ht="15.75" customHeight="1" x14ac:dyDescent="0.2">
      <c r="A135" s="42">
        <v>134</v>
      </c>
      <c r="B135" s="42">
        <v>17358</v>
      </c>
      <c r="C135" s="39" t="s">
        <v>815</v>
      </c>
      <c r="D135" s="39" t="s">
        <v>816</v>
      </c>
      <c r="E135" s="39" t="s">
        <v>817</v>
      </c>
    </row>
    <row r="136" spans="1:5" ht="15.75" customHeight="1" x14ac:dyDescent="0.2">
      <c r="A136" s="42">
        <v>135</v>
      </c>
      <c r="B136" s="42">
        <v>17358</v>
      </c>
      <c r="C136" s="39" t="s">
        <v>818</v>
      </c>
      <c r="D136" s="39" t="s">
        <v>814</v>
      </c>
      <c r="E136" s="39" t="s">
        <v>528</v>
      </c>
    </row>
    <row r="137" spans="1:5" ht="15.75" customHeight="1" x14ac:dyDescent="0.2">
      <c r="A137" s="42">
        <v>136</v>
      </c>
      <c r="B137" s="42">
        <v>17359</v>
      </c>
      <c r="C137" s="39" t="s">
        <v>819</v>
      </c>
      <c r="D137" s="39" t="s">
        <v>820</v>
      </c>
      <c r="E137" s="39" t="s">
        <v>528</v>
      </c>
    </row>
    <row r="138" spans="1:5" ht="15.75" customHeight="1" x14ac:dyDescent="0.2">
      <c r="A138" s="42">
        <v>137</v>
      </c>
      <c r="B138" s="42">
        <v>17365</v>
      </c>
      <c r="C138" s="39" t="s">
        <v>821</v>
      </c>
      <c r="D138" s="39" t="s">
        <v>822</v>
      </c>
      <c r="E138" s="39" t="s">
        <v>528</v>
      </c>
    </row>
    <row r="139" spans="1:5" ht="15.75" customHeight="1" x14ac:dyDescent="0.2">
      <c r="A139" s="42">
        <v>138</v>
      </c>
      <c r="B139" s="42">
        <v>17365</v>
      </c>
      <c r="C139" s="39" t="s">
        <v>823</v>
      </c>
      <c r="D139" s="39" t="s">
        <v>822</v>
      </c>
      <c r="E139" s="39" t="s">
        <v>528</v>
      </c>
    </row>
    <row r="140" spans="1:5" ht="15.75" customHeight="1" x14ac:dyDescent="0.2">
      <c r="A140" s="42">
        <v>139</v>
      </c>
      <c r="B140" s="42">
        <v>17365</v>
      </c>
      <c r="C140" s="39" t="s">
        <v>824</v>
      </c>
      <c r="D140" s="39" t="s">
        <v>822</v>
      </c>
      <c r="E140" s="39" t="s">
        <v>528</v>
      </c>
    </row>
    <row r="141" spans="1:5" ht="15.75" customHeight="1" x14ac:dyDescent="0.2">
      <c r="A141" s="42">
        <v>140</v>
      </c>
      <c r="B141" s="42">
        <v>17365</v>
      </c>
      <c r="C141" s="39" t="s">
        <v>825</v>
      </c>
      <c r="D141" s="39" t="s">
        <v>826</v>
      </c>
      <c r="E141" s="39" t="s">
        <v>827</v>
      </c>
    </row>
    <row r="142" spans="1:5" ht="15.75" customHeight="1" x14ac:dyDescent="0.2">
      <c r="A142" s="42">
        <v>141</v>
      </c>
      <c r="B142" s="42">
        <v>17366</v>
      </c>
      <c r="C142" s="39" t="s">
        <v>828</v>
      </c>
      <c r="D142" s="39" t="s">
        <v>829</v>
      </c>
      <c r="E142" s="39" t="s">
        <v>528</v>
      </c>
    </row>
    <row r="143" spans="1:5" ht="15.75" customHeight="1" x14ac:dyDescent="0.2">
      <c r="A143" s="42">
        <v>142</v>
      </c>
      <c r="B143" s="42">
        <v>17366</v>
      </c>
      <c r="C143" s="39" t="s">
        <v>830</v>
      </c>
      <c r="D143" s="39" t="s">
        <v>829</v>
      </c>
      <c r="E143" s="39" t="s">
        <v>528</v>
      </c>
    </row>
    <row r="144" spans="1:5" ht="15.75" customHeight="1" x14ac:dyDescent="0.2">
      <c r="A144" s="42">
        <v>143</v>
      </c>
      <c r="B144" s="42">
        <v>17384</v>
      </c>
      <c r="C144" s="39" t="s">
        <v>831</v>
      </c>
      <c r="D144" s="39" t="s">
        <v>832</v>
      </c>
      <c r="E144" s="39" t="s">
        <v>528</v>
      </c>
    </row>
    <row r="145" spans="1:5" ht="15.75" customHeight="1" x14ac:dyDescent="0.2">
      <c r="A145" s="42">
        <v>144</v>
      </c>
      <c r="B145" s="42">
        <v>17384</v>
      </c>
      <c r="C145" s="39" t="s">
        <v>833</v>
      </c>
      <c r="D145" s="39" t="s">
        <v>834</v>
      </c>
      <c r="E145" s="39" t="s">
        <v>835</v>
      </c>
    </row>
    <row r="146" spans="1:5" ht="15.75" customHeight="1" x14ac:dyDescent="0.2">
      <c r="A146" s="42">
        <v>145</v>
      </c>
      <c r="B146" s="42">
        <v>17384</v>
      </c>
      <c r="C146" s="39" t="s">
        <v>836</v>
      </c>
      <c r="D146" s="39" t="s">
        <v>832</v>
      </c>
      <c r="E146" s="39" t="s">
        <v>528</v>
      </c>
    </row>
    <row r="147" spans="1:5" ht="15.75" customHeight="1" x14ac:dyDescent="0.2">
      <c r="A147" s="42">
        <v>146</v>
      </c>
      <c r="B147" s="42">
        <v>17384</v>
      </c>
      <c r="C147" s="39" t="s">
        <v>837</v>
      </c>
      <c r="D147" s="39" t="s">
        <v>838</v>
      </c>
      <c r="E147" s="39" t="s">
        <v>839</v>
      </c>
    </row>
    <row r="148" spans="1:5" ht="15.75" customHeight="1" x14ac:dyDescent="0.2">
      <c r="A148" s="42">
        <v>147</v>
      </c>
      <c r="B148" s="42">
        <v>17384</v>
      </c>
      <c r="C148" s="39" t="s">
        <v>840</v>
      </c>
      <c r="D148" s="39" t="s">
        <v>838</v>
      </c>
      <c r="E148" s="39" t="s">
        <v>839</v>
      </c>
    </row>
    <row r="149" spans="1:5" ht="15.75" customHeight="1" x14ac:dyDescent="0.2">
      <c r="A149" s="42">
        <v>148</v>
      </c>
      <c r="B149" s="42">
        <v>17384</v>
      </c>
      <c r="C149" s="39" t="s">
        <v>841</v>
      </c>
      <c r="D149" s="39" t="s">
        <v>834</v>
      </c>
      <c r="E149" s="39" t="s">
        <v>835</v>
      </c>
    </row>
    <row r="150" spans="1:5" ht="15.75" customHeight="1" x14ac:dyDescent="0.2">
      <c r="A150" s="42">
        <v>149</v>
      </c>
      <c r="B150" s="42">
        <v>17384</v>
      </c>
      <c r="C150" s="39" t="s">
        <v>842</v>
      </c>
      <c r="D150" s="39" t="s">
        <v>832</v>
      </c>
      <c r="E150" s="39" t="s">
        <v>528</v>
      </c>
    </row>
    <row r="151" spans="1:5" ht="15.75" customHeight="1" x14ac:dyDescent="0.2">
      <c r="A151" s="42">
        <v>150</v>
      </c>
      <c r="B151" s="42">
        <v>17384</v>
      </c>
      <c r="C151" s="39" t="s">
        <v>843</v>
      </c>
      <c r="D151" s="39" t="s">
        <v>844</v>
      </c>
      <c r="E151" s="39" t="s">
        <v>845</v>
      </c>
    </row>
    <row r="152" spans="1:5" ht="15.75" customHeight="1" x14ac:dyDescent="0.2">
      <c r="A152" s="42">
        <v>151</v>
      </c>
      <c r="B152" s="42">
        <v>17384</v>
      </c>
      <c r="C152" s="39" t="s">
        <v>846</v>
      </c>
      <c r="D152" s="39" t="s">
        <v>847</v>
      </c>
      <c r="E152" s="39" t="s">
        <v>848</v>
      </c>
    </row>
    <row r="153" spans="1:5" ht="15.75" customHeight="1" x14ac:dyDescent="0.2">
      <c r="A153" s="42">
        <v>152</v>
      </c>
      <c r="B153" s="42">
        <v>17384</v>
      </c>
      <c r="C153" s="39" t="s">
        <v>849</v>
      </c>
      <c r="D153" s="39" t="s">
        <v>850</v>
      </c>
      <c r="E153" s="39" t="s">
        <v>851</v>
      </c>
    </row>
    <row r="154" spans="1:5" ht="15.75" customHeight="1" x14ac:dyDescent="0.2">
      <c r="A154" s="42">
        <v>153</v>
      </c>
      <c r="B154" s="42">
        <v>17384</v>
      </c>
      <c r="C154" s="39" t="s">
        <v>852</v>
      </c>
      <c r="D154" s="39" t="s">
        <v>838</v>
      </c>
      <c r="E154" s="39" t="s">
        <v>839</v>
      </c>
    </row>
    <row r="155" spans="1:5" ht="15.75" customHeight="1" x14ac:dyDescent="0.2">
      <c r="A155" s="42">
        <v>154</v>
      </c>
      <c r="B155" s="42">
        <v>17384</v>
      </c>
      <c r="C155" s="39" t="s">
        <v>853</v>
      </c>
      <c r="D155" s="39" t="s">
        <v>854</v>
      </c>
      <c r="E155" s="39" t="s">
        <v>855</v>
      </c>
    </row>
    <row r="156" spans="1:5" ht="15.75" customHeight="1" x14ac:dyDescent="0.2">
      <c r="A156" s="42">
        <v>155</v>
      </c>
      <c r="B156" s="42">
        <v>17384</v>
      </c>
      <c r="C156" s="39" t="s">
        <v>856</v>
      </c>
      <c r="D156" s="39" t="s">
        <v>854</v>
      </c>
      <c r="E156" s="39" t="s">
        <v>855</v>
      </c>
    </row>
    <row r="157" spans="1:5" ht="15.75" customHeight="1" x14ac:dyDescent="0.2">
      <c r="A157" s="42">
        <v>156</v>
      </c>
      <c r="B157" s="42">
        <v>17384</v>
      </c>
      <c r="C157" s="39" t="s">
        <v>857</v>
      </c>
      <c r="D157" s="39" t="s">
        <v>834</v>
      </c>
      <c r="E157" s="39" t="s">
        <v>835</v>
      </c>
    </row>
    <row r="158" spans="1:5" ht="15.75" customHeight="1" x14ac:dyDescent="0.2">
      <c r="A158" s="42">
        <v>157</v>
      </c>
      <c r="B158" s="42">
        <v>17384</v>
      </c>
      <c r="C158" s="39" t="s">
        <v>858</v>
      </c>
      <c r="D158" s="39" t="s">
        <v>854</v>
      </c>
      <c r="E158" s="39" t="s">
        <v>855</v>
      </c>
    </row>
    <row r="159" spans="1:5" ht="15.75" customHeight="1" x14ac:dyDescent="0.2">
      <c r="A159" s="42">
        <v>158</v>
      </c>
      <c r="B159" s="42">
        <v>17384</v>
      </c>
      <c r="C159" s="39" t="s">
        <v>859</v>
      </c>
      <c r="D159" s="39" t="s">
        <v>847</v>
      </c>
      <c r="E159" s="39" t="s">
        <v>848</v>
      </c>
    </row>
    <row r="160" spans="1:5" ht="15.75" customHeight="1" x14ac:dyDescent="0.2">
      <c r="A160" s="42">
        <v>159</v>
      </c>
      <c r="B160" s="42">
        <v>17384</v>
      </c>
      <c r="C160" s="39" t="s">
        <v>860</v>
      </c>
      <c r="D160" s="39" t="s">
        <v>861</v>
      </c>
      <c r="E160" s="39" t="s">
        <v>862</v>
      </c>
    </row>
    <row r="161" spans="1:5" ht="15.75" customHeight="1" x14ac:dyDescent="0.2">
      <c r="A161" s="42">
        <v>160</v>
      </c>
      <c r="B161" s="42">
        <v>17384</v>
      </c>
      <c r="C161" s="39" t="s">
        <v>863</v>
      </c>
      <c r="D161" s="39" t="s">
        <v>847</v>
      </c>
      <c r="E161" s="39" t="s">
        <v>848</v>
      </c>
    </row>
    <row r="162" spans="1:5" ht="15.75" customHeight="1" x14ac:dyDescent="0.2">
      <c r="A162" s="42">
        <v>161</v>
      </c>
      <c r="B162" s="42">
        <v>17384</v>
      </c>
      <c r="C162" s="39" t="s">
        <v>864</v>
      </c>
      <c r="D162" s="39" t="s">
        <v>832</v>
      </c>
      <c r="E162" s="39" t="s">
        <v>528</v>
      </c>
    </row>
    <row r="163" spans="1:5" ht="15.75" customHeight="1" x14ac:dyDescent="0.2">
      <c r="A163" s="42">
        <v>162</v>
      </c>
      <c r="B163" s="42">
        <v>17384</v>
      </c>
      <c r="C163" s="39" t="s">
        <v>865</v>
      </c>
      <c r="D163" s="39" t="s">
        <v>834</v>
      </c>
      <c r="E163" s="39" t="s">
        <v>835</v>
      </c>
    </row>
    <row r="164" spans="1:5" ht="15.75" customHeight="1" x14ac:dyDescent="0.2">
      <c r="A164" s="42">
        <v>163</v>
      </c>
      <c r="B164" s="42">
        <v>17384</v>
      </c>
      <c r="C164" s="39" t="s">
        <v>866</v>
      </c>
      <c r="D164" s="39" t="s">
        <v>867</v>
      </c>
      <c r="E164" s="39" t="s">
        <v>868</v>
      </c>
    </row>
    <row r="165" spans="1:5" ht="15.75" customHeight="1" x14ac:dyDescent="0.2">
      <c r="A165" s="42">
        <v>164</v>
      </c>
      <c r="B165" s="42">
        <v>17384</v>
      </c>
      <c r="C165" s="39" t="s">
        <v>869</v>
      </c>
      <c r="D165" s="39" t="s">
        <v>832</v>
      </c>
      <c r="E165" s="39" t="s">
        <v>528</v>
      </c>
    </row>
    <row r="166" spans="1:5" ht="15.75" customHeight="1" x14ac:dyDescent="0.2">
      <c r="A166" s="42">
        <v>165</v>
      </c>
      <c r="B166" s="42">
        <v>17384</v>
      </c>
      <c r="C166" s="39" t="s">
        <v>870</v>
      </c>
      <c r="D166" s="39" t="s">
        <v>832</v>
      </c>
      <c r="E166" s="39" t="s">
        <v>528</v>
      </c>
    </row>
    <row r="167" spans="1:5" ht="15.75" customHeight="1" x14ac:dyDescent="0.2">
      <c r="A167" s="42">
        <v>166</v>
      </c>
      <c r="B167" s="42">
        <v>17384</v>
      </c>
      <c r="C167" s="39" t="s">
        <v>871</v>
      </c>
      <c r="D167" s="39" t="s">
        <v>872</v>
      </c>
      <c r="E167" s="39" t="s">
        <v>873</v>
      </c>
    </row>
    <row r="168" spans="1:5" ht="15.75" customHeight="1" x14ac:dyDescent="0.2">
      <c r="A168" s="42">
        <v>167</v>
      </c>
      <c r="B168" s="42">
        <v>17384</v>
      </c>
      <c r="C168" s="39" t="s">
        <v>874</v>
      </c>
      <c r="D168" s="39" t="s">
        <v>832</v>
      </c>
      <c r="E168" s="39" t="s">
        <v>528</v>
      </c>
    </row>
    <row r="169" spans="1:5" ht="15.75" customHeight="1" x14ac:dyDescent="0.2">
      <c r="A169" s="42">
        <v>168</v>
      </c>
      <c r="B169" s="42">
        <v>17384</v>
      </c>
      <c r="C169" s="39" t="s">
        <v>875</v>
      </c>
      <c r="D169" s="39" t="s">
        <v>847</v>
      </c>
      <c r="E169" s="39" t="s">
        <v>848</v>
      </c>
    </row>
    <row r="170" spans="1:5" ht="15.75" customHeight="1" x14ac:dyDescent="0.2">
      <c r="A170" s="42">
        <v>169</v>
      </c>
      <c r="B170" s="42">
        <v>17384</v>
      </c>
      <c r="C170" s="39" t="s">
        <v>876</v>
      </c>
      <c r="D170" s="39" t="s">
        <v>877</v>
      </c>
      <c r="E170" s="39" t="s">
        <v>878</v>
      </c>
    </row>
    <row r="171" spans="1:5" ht="15.75" customHeight="1" x14ac:dyDescent="0.2">
      <c r="A171" s="42">
        <v>170</v>
      </c>
      <c r="B171" s="42">
        <v>17384</v>
      </c>
      <c r="C171" s="39" t="s">
        <v>879</v>
      </c>
      <c r="D171" s="39" t="s">
        <v>880</v>
      </c>
      <c r="E171" s="39" t="s">
        <v>881</v>
      </c>
    </row>
    <row r="172" spans="1:5" ht="15.75" customHeight="1" x14ac:dyDescent="0.2">
      <c r="A172" s="42">
        <v>171</v>
      </c>
      <c r="B172" s="42">
        <v>17384</v>
      </c>
      <c r="C172" s="39" t="s">
        <v>882</v>
      </c>
      <c r="D172" s="39" t="s">
        <v>834</v>
      </c>
      <c r="E172" s="39" t="s">
        <v>835</v>
      </c>
    </row>
    <row r="173" spans="1:5" ht="15.75" customHeight="1" x14ac:dyDescent="0.2">
      <c r="A173" s="42">
        <v>172</v>
      </c>
      <c r="B173" s="42">
        <v>17384</v>
      </c>
      <c r="C173" s="39" t="s">
        <v>883</v>
      </c>
      <c r="D173" s="39" t="s">
        <v>847</v>
      </c>
      <c r="E173" s="39" t="s">
        <v>848</v>
      </c>
    </row>
    <row r="174" spans="1:5" ht="15.75" customHeight="1" x14ac:dyDescent="0.2">
      <c r="A174" s="42">
        <v>173</v>
      </c>
      <c r="B174" s="42">
        <v>17384</v>
      </c>
      <c r="C174" s="39" t="s">
        <v>884</v>
      </c>
      <c r="D174" s="39" t="s">
        <v>834</v>
      </c>
      <c r="E174" s="39" t="s">
        <v>835</v>
      </c>
    </row>
    <row r="175" spans="1:5" ht="15.75" customHeight="1" x14ac:dyDescent="0.2">
      <c r="A175" s="42">
        <v>174</v>
      </c>
      <c r="B175" s="42">
        <v>17384</v>
      </c>
      <c r="C175" s="39" t="s">
        <v>885</v>
      </c>
      <c r="D175" s="39" t="s">
        <v>832</v>
      </c>
      <c r="E175" s="39" t="s">
        <v>528</v>
      </c>
    </row>
    <row r="176" spans="1:5" ht="15.75" customHeight="1" x14ac:dyDescent="0.2">
      <c r="A176" s="42">
        <v>175</v>
      </c>
      <c r="B176" s="42">
        <v>17384</v>
      </c>
      <c r="C176" s="39" t="s">
        <v>886</v>
      </c>
      <c r="D176" s="39" t="s">
        <v>834</v>
      </c>
      <c r="E176" s="39" t="s">
        <v>835</v>
      </c>
    </row>
    <row r="177" spans="1:5" ht="15.75" customHeight="1" x14ac:dyDescent="0.2">
      <c r="A177" s="42">
        <v>176</v>
      </c>
      <c r="B177" s="42">
        <v>17385</v>
      </c>
      <c r="C177" s="39" t="s">
        <v>887</v>
      </c>
      <c r="D177" s="39" t="s">
        <v>888</v>
      </c>
      <c r="E177" s="39" t="s">
        <v>889</v>
      </c>
    </row>
    <row r="178" spans="1:5" ht="15.75" customHeight="1" x14ac:dyDescent="0.2">
      <c r="A178" s="42">
        <v>177</v>
      </c>
      <c r="B178" s="42">
        <v>17385</v>
      </c>
      <c r="C178" s="39" t="s">
        <v>890</v>
      </c>
      <c r="D178" s="39" t="s">
        <v>891</v>
      </c>
      <c r="E178" s="39" t="s">
        <v>892</v>
      </c>
    </row>
    <row r="179" spans="1:5" ht="15.75" customHeight="1" x14ac:dyDescent="0.2">
      <c r="A179" s="42">
        <v>178</v>
      </c>
      <c r="B179" s="42">
        <v>17385</v>
      </c>
      <c r="C179" s="39" t="s">
        <v>893</v>
      </c>
      <c r="D179" s="39" t="s">
        <v>894</v>
      </c>
      <c r="E179" s="39" t="s">
        <v>895</v>
      </c>
    </row>
    <row r="180" spans="1:5" ht="15.75" customHeight="1" x14ac:dyDescent="0.2">
      <c r="A180" s="42">
        <v>179</v>
      </c>
      <c r="B180" s="42">
        <v>17385</v>
      </c>
      <c r="C180" s="39" t="s">
        <v>896</v>
      </c>
      <c r="D180" s="39" t="s">
        <v>897</v>
      </c>
      <c r="E180" s="39" t="s">
        <v>898</v>
      </c>
    </row>
    <row r="181" spans="1:5" ht="15.75" customHeight="1" x14ac:dyDescent="0.2">
      <c r="A181" s="42">
        <v>180</v>
      </c>
      <c r="B181" s="42">
        <v>17385</v>
      </c>
      <c r="C181" s="39" t="s">
        <v>899</v>
      </c>
      <c r="D181" s="39" t="s">
        <v>900</v>
      </c>
      <c r="E181" s="39" t="s">
        <v>901</v>
      </c>
    </row>
    <row r="182" spans="1:5" ht="15.75" customHeight="1" x14ac:dyDescent="0.2">
      <c r="A182" s="42">
        <v>181</v>
      </c>
      <c r="B182" s="42">
        <v>17385</v>
      </c>
      <c r="C182" s="39" t="s">
        <v>902</v>
      </c>
      <c r="D182" s="39" t="s">
        <v>903</v>
      </c>
      <c r="E182" s="39" t="s">
        <v>904</v>
      </c>
    </row>
    <row r="183" spans="1:5" ht="15.75" customHeight="1" x14ac:dyDescent="0.2">
      <c r="A183" s="42">
        <v>182</v>
      </c>
      <c r="B183" s="42">
        <v>17385</v>
      </c>
      <c r="C183" s="39" t="s">
        <v>905</v>
      </c>
      <c r="D183" s="39" t="s">
        <v>906</v>
      </c>
      <c r="E183" s="39" t="s">
        <v>907</v>
      </c>
    </row>
    <row r="184" spans="1:5" ht="15.75" customHeight="1" x14ac:dyDescent="0.2">
      <c r="A184" s="42">
        <v>183</v>
      </c>
      <c r="B184" s="42">
        <v>17385</v>
      </c>
      <c r="C184" s="39" t="s">
        <v>908</v>
      </c>
      <c r="D184" s="39" t="s">
        <v>909</v>
      </c>
      <c r="E184" s="39" t="s">
        <v>528</v>
      </c>
    </row>
    <row r="185" spans="1:5" ht="15.75" customHeight="1" x14ac:dyDescent="0.2">
      <c r="A185" s="42">
        <v>184</v>
      </c>
      <c r="B185" s="42">
        <v>17385</v>
      </c>
      <c r="C185" s="39" t="s">
        <v>910</v>
      </c>
      <c r="D185" s="39" t="s">
        <v>911</v>
      </c>
      <c r="E185" s="39" t="s">
        <v>912</v>
      </c>
    </row>
    <row r="186" spans="1:5" ht="15.75" customHeight="1" x14ac:dyDescent="0.2">
      <c r="A186" s="42">
        <v>185</v>
      </c>
      <c r="B186" s="42">
        <v>17385</v>
      </c>
      <c r="C186" s="39" t="s">
        <v>913</v>
      </c>
      <c r="D186" s="39" t="s">
        <v>914</v>
      </c>
      <c r="E186" s="39" t="s">
        <v>915</v>
      </c>
    </row>
    <row r="187" spans="1:5" ht="15.75" customHeight="1" x14ac:dyDescent="0.2">
      <c r="A187" s="42">
        <v>186</v>
      </c>
      <c r="B187" s="42">
        <v>17385</v>
      </c>
      <c r="C187" s="39" t="s">
        <v>916</v>
      </c>
      <c r="D187" s="39" t="s">
        <v>917</v>
      </c>
      <c r="E187" s="39" t="s">
        <v>918</v>
      </c>
    </row>
    <row r="188" spans="1:5" ht="15.75" customHeight="1" x14ac:dyDescent="0.2">
      <c r="A188" s="42">
        <v>187</v>
      </c>
      <c r="B188" s="42">
        <v>17385</v>
      </c>
      <c r="C188" s="39" t="s">
        <v>919</v>
      </c>
      <c r="D188" s="39" t="s">
        <v>909</v>
      </c>
      <c r="E188" s="39" t="s">
        <v>528</v>
      </c>
    </row>
    <row r="189" spans="1:5" ht="15.75" customHeight="1" x14ac:dyDescent="0.2">
      <c r="A189" s="42">
        <v>188</v>
      </c>
      <c r="B189" s="42">
        <v>17385</v>
      </c>
      <c r="C189" s="39" t="s">
        <v>920</v>
      </c>
      <c r="D189" s="39" t="s">
        <v>921</v>
      </c>
      <c r="E189" s="39" t="s">
        <v>922</v>
      </c>
    </row>
    <row r="190" spans="1:5" ht="15.75" customHeight="1" x14ac:dyDescent="0.2">
      <c r="A190" s="42">
        <v>189</v>
      </c>
      <c r="B190" s="42">
        <v>17385</v>
      </c>
      <c r="C190" s="39" t="s">
        <v>923</v>
      </c>
      <c r="D190" s="39" t="s">
        <v>924</v>
      </c>
      <c r="E190" s="39" t="s">
        <v>925</v>
      </c>
    </row>
    <row r="191" spans="1:5" ht="15.75" customHeight="1" x14ac:dyDescent="0.2">
      <c r="A191" s="42">
        <v>190</v>
      </c>
      <c r="B191" s="42">
        <v>17385</v>
      </c>
      <c r="C191" s="39" t="s">
        <v>926</v>
      </c>
      <c r="D191" s="39" t="s">
        <v>906</v>
      </c>
      <c r="E191" s="39" t="s">
        <v>907</v>
      </c>
    </row>
    <row r="192" spans="1:5" ht="15.75" customHeight="1" x14ac:dyDescent="0.2">
      <c r="A192" s="42">
        <v>191</v>
      </c>
      <c r="B192" s="42">
        <v>17385</v>
      </c>
      <c r="C192" s="39" t="s">
        <v>927</v>
      </c>
      <c r="D192" s="39" t="s">
        <v>909</v>
      </c>
      <c r="E192" s="39" t="s">
        <v>528</v>
      </c>
    </row>
    <row r="193" spans="1:5" ht="15.75" customHeight="1" x14ac:dyDescent="0.2">
      <c r="A193" s="42">
        <v>192</v>
      </c>
      <c r="B193" s="42">
        <v>17385</v>
      </c>
      <c r="C193" s="39" t="s">
        <v>928</v>
      </c>
      <c r="D193" s="39" t="s">
        <v>929</v>
      </c>
      <c r="E193" s="39" t="s">
        <v>930</v>
      </c>
    </row>
    <row r="194" spans="1:5" ht="15.75" customHeight="1" x14ac:dyDescent="0.2">
      <c r="A194" s="42">
        <v>193</v>
      </c>
      <c r="B194" s="42">
        <v>17385</v>
      </c>
      <c r="C194" s="39" t="s">
        <v>931</v>
      </c>
      <c r="D194" s="39" t="s">
        <v>906</v>
      </c>
      <c r="E194" s="39" t="s">
        <v>907</v>
      </c>
    </row>
    <row r="195" spans="1:5" ht="15.75" customHeight="1" x14ac:dyDescent="0.2">
      <c r="A195" s="42">
        <v>194</v>
      </c>
      <c r="B195" s="42">
        <v>17385</v>
      </c>
      <c r="C195" s="39" t="s">
        <v>932</v>
      </c>
      <c r="D195" s="39" t="s">
        <v>909</v>
      </c>
      <c r="E195" s="39" t="s">
        <v>528</v>
      </c>
    </row>
    <row r="196" spans="1:5" ht="15.75" customHeight="1" x14ac:dyDescent="0.2">
      <c r="A196" s="42">
        <v>195</v>
      </c>
      <c r="B196" s="42">
        <v>17386</v>
      </c>
      <c r="C196" s="39" t="s">
        <v>933</v>
      </c>
      <c r="D196" s="39" t="s">
        <v>934</v>
      </c>
      <c r="E196" s="39" t="s">
        <v>935</v>
      </c>
    </row>
    <row r="197" spans="1:5" ht="15.75" customHeight="1" x14ac:dyDescent="0.2">
      <c r="A197" s="42">
        <v>196</v>
      </c>
      <c r="B197" s="42">
        <v>17386</v>
      </c>
      <c r="C197" s="39" t="s">
        <v>936</v>
      </c>
      <c r="D197" s="39" t="s">
        <v>937</v>
      </c>
      <c r="E197" s="39" t="s">
        <v>938</v>
      </c>
    </row>
    <row r="198" spans="1:5" ht="15.75" customHeight="1" x14ac:dyDescent="0.2">
      <c r="A198" s="42">
        <v>197</v>
      </c>
      <c r="B198" s="42">
        <v>17386</v>
      </c>
      <c r="C198" s="39" t="s">
        <v>939</v>
      </c>
      <c r="D198" s="39" t="s">
        <v>940</v>
      </c>
      <c r="E198" s="39" t="s">
        <v>941</v>
      </c>
    </row>
    <row r="199" spans="1:5" ht="15.75" customHeight="1" x14ac:dyDescent="0.2">
      <c r="A199" s="42">
        <v>198</v>
      </c>
      <c r="B199" s="42">
        <v>17386</v>
      </c>
      <c r="C199" s="39" t="s">
        <v>942</v>
      </c>
      <c r="D199" s="39" t="s">
        <v>943</v>
      </c>
      <c r="E199" s="39" t="s">
        <v>944</v>
      </c>
    </row>
    <row r="200" spans="1:5" ht="15.75" customHeight="1" x14ac:dyDescent="0.2">
      <c r="A200" s="42">
        <v>199</v>
      </c>
      <c r="B200" s="42">
        <v>17386</v>
      </c>
      <c r="C200" s="39" t="s">
        <v>945</v>
      </c>
      <c r="D200" s="39" t="s">
        <v>934</v>
      </c>
      <c r="E200" s="39" t="s">
        <v>935</v>
      </c>
    </row>
    <row r="201" spans="1:5" ht="15.75" customHeight="1" x14ac:dyDescent="0.2">
      <c r="A201" s="42">
        <v>200</v>
      </c>
      <c r="B201" s="42">
        <v>17386</v>
      </c>
      <c r="C201" s="39" t="s">
        <v>946</v>
      </c>
      <c r="D201" s="39" t="s">
        <v>934</v>
      </c>
      <c r="E201" s="39" t="s">
        <v>935</v>
      </c>
    </row>
    <row r="202" spans="1:5" ht="15.75" customHeight="1" x14ac:dyDescent="0.2">
      <c r="A202" s="42">
        <v>201</v>
      </c>
      <c r="B202" s="42">
        <v>17386</v>
      </c>
      <c r="C202" s="39" t="s">
        <v>947</v>
      </c>
      <c r="D202" s="39" t="s">
        <v>948</v>
      </c>
      <c r="E202" s="39" t="s">
        <v>528</v>
      </c>
    </row>
    <row r="203" spans="1:5" ht="15.75" customHeight="1" x14ac:dyDescent="0.2">
      <c r="A203" s="42">
        <v>202</v>
      </c>
      <c r="B203" s="42">
        <v>17386</v>
      </c>
      <c r="C203" s="39" t="s">
        <v>949</v>
      </c>
      <c r="D203" s="39" t="s">
        <v>948</v>
      </c>
      <c r="E203" s="39" t="s">
        <v>528</v>
      </c>
    </row>
    <row r="204" spans="1:5" ht="15.75" customHeight="1" x14ac:dyDescent="0.2">
      <c r="A204" s="42">
        <v>203</v>
      </c>
      <c r="B204" s="42">
        <v>17386</v>
      </c>
      <c r="C204" s="39" t="s">
        <v>950</v>
      </c>
      <c r="D204" s="39" t="s">
        <v>948</v>
      </c>
      <c r="E204" s="39" t="s">
        <v>528</v>
      </c>
    </row>
    <row r="205" spans="1:5" ht="15.75" customHeight="1" x14ac:dyDescent="0.2">
      <c r="A205" s="42">
        <v>204</v>
      </c>
      <c r="B205" s="42">
        <v>17386</v>
      </c>
      <c r="C205" s="39" t="s">
        <v>951</v>
      </c>
      <c r="D205" s="39" t="s">
        <v>948</v>
      </c>
      <c r="E205" s="39" t="s">
        <v>528</v>
      </c>
    </row>
    <row r="206" spans="1:5" ht="15.75" customHeight="1" x14ac:dyDescent="0.2">
      <c r="A206" s="42">
        <v>205</v>
      </c>
      <c r="B206" s="42">
        <v>17386</v>
      </c>
      <c r="C206" s="39" t="s">
        <v>952</v>
      </c>
      <c r="D206" s="39" t="s">
        <v>948</v>
      </c>
      <c r="E206" s="39" t="s">
        <v>528</v>
      </c>
    </row>
    <row r="207" spans="1:5" ht="15.75" customHeight="1" x14ac:dyDescent="0.2">
      <c r="A207" s="42">
        <v>206</v>
      </c>
      <c r="B207" s="42">
        <v>17386</v>
      </c>
      <c r="C207" s="39" t="s">
        <v>953</v>
      </c>
      <c r="D207" s="39" t="s">
        <v>954</v>
      </c>
      <c r="E207" s="39" t="s">
        <v>955</v>
      </c>
    </row>
    <row r="208" spans="1:5" ht="15.75" customHeight="1" x14ac:dyDescent="0.2">
      <c r="A208" s="42">
        <v>207</v>
      </c>
      <c r="B208" s="42">
        <v>17386</v>
      </c>
      <c r="C208" s="39" t="s">
        <v>956</v>
      </c>
      <c r="D208" s="39" t="s">
        <v>957</v>
      </c>
      <c r="E208" s="39" t="s">
        <v>958</v>
      </c>
    </row>
    <row r="209" spans="1:5" ht="15.75" customHeight="1" x14ac:dyDescent="0.2">
      <c r="A209" s="42">
        <v>208</v>
      </c>
      <c r="B209" s="42">
        <v>17386</v>
      </c>
      <c r="C209" s="39" t="s">
        <v>959</v>
      </c>
      <c r="D209" s="39" t="s">
        <v>960</v>
      </c>
      <c r="E209" s="39" t="s">
        <v>961</v>
      </c>
    </row>
    <row r="210" spans="1:5" ht="15.75" customHeight="1" x14ac:dyDescent="0.2">
      <c r="A210" s="42">
        <v>209</v>
      </c>
      <c r="B210" s="42">
        <v>17386</v>
      </c>
      <c r="C210" s="39" t="s">
        <v>962</v>
      </c>
      <c r="D210" s="39" t="s">
        <v>963</v>
      </c>
      <c r="E210" s="39" t="s">
        <v>964</v>
      </c>
    </row>
    <row r="211" spans="1:5" ht="15.75" customHeight="1" x14ac:dyDescent="0.2">
      <c r="A211" s="42">
        <v>210</v>
      </c>
      <c r="B211" s="42">
        <v>17386</v>
      </c>
      <c r="C211" s="39" t="s">
        <v>965</v>
      </c>
      <c r="D211" s="39" t="s">
        <v>966</v>
      </c>
      <c r="E211" s="39" t="s">
        <v>967</v>
      </c>
    </row>
    <row r="212" spans="1:5" ht="15.75" customHeight="1" x14ac:dyDescent="0.2">
      <c r="A212" s="42">
        <v>211</v>
      </c>
      <c r="B212" s="42">
        <v>17387</v>
      </c>
      <c r="C212" s="39" t="s">
        <v>968</v>
      </c>
      <c r="D212" s="39" t="s">
        <v>969</v>
      </c>
      <c r="E212" s="39" t="s">
        <v>970</v>
      </c>
    </row>
    <row r="213" spans="1:5" ht="15.75" customHeight="1" x14ac:dyDescent="0.2">
      <c r="A213" s="42">
        <v>212</v>
      </c>
      <c r="B213" s="42">
        <v>17387</v>
      </c>
      <c r="C213" s="39" t="s">
        <v>971</v>
      </c>
      <c r="D213" s="39" t="s">
        <v>972</v>
      </c>
      <c r="E213" s="39" t="s">
        <v>528</v>
      </c>
    </row>
    <row r="214" spans="1:5" ht="15.75" customHeight="1" x14ac:dyDescent="0.2">
      <c r="A214" s="42">
        <v>213</v>
      </c>
      <c r="B214" s="42">
        <v>17387</v>
      </c>
      <c r="C214" s="39" t="s">
        <v>973</v>
      </c>
      <c r="D214" s="39" t="s">
        <v>974</v>
      </c>
      <c r="E214" s="39" t="s">
        <v>975</v>
      </c>
    </row>
    <row r="215" spans="1:5" ht="15.75" customHeight="1" x14ac:dyDescent="0.2">
      <c r="A215" s="42">
        <v>214</v>
      </c>
      <c r="B215" s="42">
        <v>17387</v>
      </c>
      <c r="C215" s="39" t="s">
        <v>976</v>
      </c>
      <c r="D215" s="39" t="s">
        <v>972</v>
      </c>
      <c r="E215" s="39" t="s">
        <v>528</v>
      </c>
    </row>
    <row r="216" spans="1:5" ht="15.75" customHeight="1" x14ac:dyDescent="0.2">
      <c r="A216" s="42">
        <v>215</v>
      </c>
      <c r="B216" s="42">
        <v>17387</v>
      </c>
      <c r="C216" s="39" t="s">
        <v>977</v>
      </c>
      <c r="D216" s="39" t="s">
        <v>972</v>
      </c>
      <c r="E216" s="39" t="s">
        <v>528</v>
      </c>
    </row>
    <row r="217" spans="1:5" ht="15.75" customHeight="1" x14ac:dyDescent="0.2">
      <c r="A217" s="42">
        <v>216</v>
      </c>
      <c r="B217" s="42">
        <v>17387</v>
      </c>
      <c r="C217" s="39" t="s">
        <v>978</v>
      </c>
      <c r="D217" s="39" t="s">
        <v>972</v>
      </c>
      <c r="E217" s="39" t="s">
        <v>528</v>
      </c>
    </row>
    <row r="218" spans="1:5" ht="15.75" customHeight="1" x14ac:dyDescent="0.2">
      <c r="A218" s="42">
        <v>217</v>
      </c>
      <c r="B218" s="42">
        <v>17387</v>
      </c>
      <c r="C218" s="39" t="s">
        <v>979</v>
      </c>
      <c r="D218" s="39" t="s">
        <v>972</v>
      </c>
      <c r="E218" s="39" t="s">
        <v>528</v>
      </c>
    </row>
    <row r="219" spans="1:5" ht="15.75" customHeight="1" x14ac:dyDescent="0.2">
      <c r="A219" s="42">
        <v>218</v>
      </c>
      <c r="B219" s="42">
        <v>17387</v>
      </c>
      <c r="C219" s="39" t="s">
        <v>980</v>
      </c>
      <c r="D219" s="39" t="s">
        <v>981</v>
      </c>
      <c r="E219" s="39" t="s">
        <v>982</v>
      </c>
    </row>
    <row r="220" spans="1:5" ht="15.75" customHeight="1" x14ac:dyDescent="0.2">
      <c r="A220" s="42">
        <v>219</v>
      </c>
      <c r="B220" s="42">
        <v>17387</v>
      </c>
      <c r="C220" s="39" t="s">
        <v>983</v>
      </c>
      <c r="D220" s="39" t="s">
        <v>972</v>
      </c>
      <c r="E220" s="39" t="s">
        <v>528</v>
      </c>
    </row>
    <row r="221" spans="1:5" ht="15.75" customHeight="1" x14ac:dyDescent="0.2">
      <c r="A221" s="42">
        <v>220</v>
      </c>
      <c r="B221" s="42">
        <v>17387</v>
      </c>
      <c r="C221" s="39" t="s">
        <v>984</v>
      </c>
      <c r="D221" s="39" t="s">
        <v>972</v>
      </c>
      <c r="E221" s="39" t="s">
        <v>528</v>
      </c>
    </row>
    <row r="222" spans="1:5" ht="15.75" customHeight="1" x14ac:dyDescent="0.2">
      <c r="A222" s="42">
        <v>221</v>
      </c>
      <c r="B222" s="42">
        <v>17387</v>
      </c>
      <c r="C222" s="39" t="s">
        <v>985</v>
      </c>
      <c r="D222" s="39" t="s">
        <v>972</v>
      </c>
      <c r="E222" s="39" t="s">
        <v>528</v>
      </c>
    </row>
    <row r="223" spans="1:5" ht="15.75" customHeight="1" x14ac:dyDescent="0.2">
      <c r="A223" s="42">
        <v>222</v>
      </c>
      <c r="B223" s="42">
        <v>17387</v>
      </c>
      <c r="C223" s="39" t="s">
        <v>986</v>
      </c>
      <c r="D223" s="39" t="s">
        <v>987</v>
      </c>
      <c r="E223" s="39" t="s">
        <v>988</v>
      </c>
    </row>
    <row r="224" spans="1:5" ht="15.75" customHeight="1" x14ac:dyDescent="0.2">
      <c r="A224" s="42">
        <v>223</v>
      </c>
      <c r="B224" s="42">
        <v>17387</v>
      </c>
      <c r="C224" s="39" t="s">
        <v>989</v>
      </c>
      <c r="D224" s="39" t="s">
        <v>972</v>
      </c>
      <c r="E224" s="39" t="s">
        <v>528</v>
      </c>
    </row>
    <row r="225" spans="1:5" ht="15.75" customHeight="1" x14ac:dyDescent="0.2">
      <c r="A225" s="42">
        <v>224</v>
      </c>
      <c r="B225" s="42">
        <v>17387</v>
      </c>
      <c r="C225" s="39" t="s">
        <v>990</v>
      </c>
      <c r="D225" s="39" t="s">
        <v>991</v>
      </c>
      <c r="E225" s="39" t="s">
        <v>992</v>
      </c>
    </row>
    <row r="226" spans="1:5" ht="15.75" customHeight="1" x14ac:dyDescent="0.2">
      <c r="A226" s="42">
        <v>225</v>
      </c>
      <c r="B226" s="42">
        <v>17387</v>
      </c>
      <c r="C226" s="39" t="s">
        <v>993</v>
      </c>
      <c r="D226" s="39" t="s">
        <v>994</v>
      </c>
      <c r="E226" s="39" t="s">
        <v>995</v>
      </c>
    </row>
    <row r="227" spans="1:5" ht="15.75" customHeight="1" x14ac:dyDescent="0.2">
      <c r="A227" s="42">
        <v>226</v>
      </c>
      <c r="B227" s="42">
        <v>17387</v>
      </c>
      <c r="C227" s="39" t="s">
        <v>996</v>
      </c>
      <c r="D227" s="39" t="s">
        <v>972</v>
      </c>
      <c r="E227" s="39" t="s">
        <v>528</v>
      </c>
    </row>
    <row r="228" spans="1:5" ht="15.75" customHeight="1" x14ac:dyDescent="0.2">
      <c r="A228" s="42">
        <v>227</v>
      </c>
      <c r="B228" s="42">
        <v>17387</v>
      </c>
      <c r="C228" s="39" t="s">
        <v>997</v>
      </c>
      <c r="D228" s="39" t="s">
        <v>998</v>
      </c>
      <c r="E228" s="39" t="s">
        <v>999</v>
      </c>
    </row>
    <row r="229" spans="1:5" ht="15.75" customHeight="1" x14ac:dyDescent="0.2">
      <c r="A229" s="42">
        <v>228</v>
      </c>
      <c r="B229" s="42">
        <v>17387</v>
      </c>
      <c r="C229" s="39" t="s">
        <v>1000</v>
      </c>
      <c r="D229" s="39" t="s">
        <v>1001</v>
      </c>
      <c r="E229" s="39" t="s">
        <v>1002</v>
      </c>
    </row>
    <row r="230" spans="1:5" ht="15.75" customHeight="1" x14ac:dyDescent="0.2">
      <c r="A230" s="42">
        <v>229</v>
      </c>
      <c r="B230" s="42">
        <v>17387</v>
      </c>
      <c r="C230" s="39" t="s">
        <v>1003</v>
      </c>
      <c r="D230" s="39" t="s">
        <v>972</v>
      </c>
      <c r="E230" s="39" t="s">
        <v>528</v>
      </c>
    </row>
    <row r="231" spans="1:5" ht="15.75" customHeight="1" x14ac:dyDescent="0.2">
      <c r="A231" s="42">
        <v>230</v>
      </c>
      <c r="B231" s="42">
        <v>17387</v>
      </c>
      <c r="C231" s="39" t="s">
        <v>1004</v>
      </c>
      <c r="D231" s="39" t="s">
        <v>972</v>
      </c>
      <c r="E231" s="39" t="s">
        <v>528</v>
      </c>
    </row>
    <row r="232" spans="1:5" ht="15.75" customHeight="1" x14ac:dyDescent="0.2">
      <c r="A232" s="42">
        <v>231</v>
      </c>
      <c r="B232" s="42">
        <v>17387</v>
      </c>
      <c r="C232" s="39" t="s">
        <v>1005</v>
      </c>
      <c r="D232" s="39" t="s">
        <v>1006</v>
      </c>
      <c r="E232" s="39" t="s">
        <v>1007</v>
      </c>
    </row>
    <row r="233" spans="1:5" ht="15.75" customHeight="1" x14ac:dyDescent="0.2">
      <c r="A233" s="42">
        <v>232</v>
      </c>
      <c r="B233" s="42">
        <v>17387</v>
      </c>
      <c r="C233" s="39" t="s">
        <v>1008</v>
      </c>
      <c r="D233" s="39" t="s">
        <v>994</v>
      </c>
      <c r="E233" s="39" t="s">
        <v>995</v>
      </c>
    </row>
    <row r="234" spans="1:5" ht="15.75" customHeight="1" x14ac:dyDescent="0.2">
      <c r="A234" s="42">
        <v>233</v>
      </c>
      <c r="B234" s="42">
        <v>17387</v>
      </c>
      <c r="C234" s="39" t="s">
        <v>1009</v>
      </c>
      <c r="D234" s="39" t="s">
        <v>972</v>
      </c>
      <c r="E234" s="39" t="s">
        <v>528</v>
      </c>
    </row>
    <row r="235" spans="1:5" ht="15.75" customHeight="1" x14ac:dyDescent="0.2">
      <c r="A235" s="42">
        <v>234</v>
      </c>
      <c r="B235" s="42">
        <v>17387</v>
      </c>
      <c r="C235" s="39" t="s">
        <v>1010</v>
      </c>
      <c r="D235" s="39" t="s">
        <v>972</v>
      </c>
      <c r="E235" s="39" t="s">
        <v>528</v>
      </c>
    </row>
    <row r="236" spans="1:5" ht="15.75" customHeight="1" x14ac:dyDescent="0.2">
      <c r="A236" s="42">
        <v>235</v>
      </c>
      <c r="B236" s="42">
        <v>17387</v>
      </c>
      <c r="C236" s="39" t="s">
        <v>1011</v>
      </c>
      <c r="D236" s="39" t="s">
        <v>998</v>
      </c>
      <c r="E236" s="39" t="s">
        <v>999</v>
      </c>
    </row>
    <row r="237" spans="1:5" ht="15.75" customHeight="1" x14ac:dyDescent="0.2">
      <c r="A237" s="42">
        <v>236</v>
      </c>
      <c r="B237" s="42">
        <v>17387</v>
      </c>
      <c r="C237" s="39" t="s">
        <v>1012</v>
      </c>
      <c r="D237" s="39" t="s">
        <v>992</v>
      </c>
      <c r="E237" s="39" t="s">
        <v>991</v>
      </c>
    </row>
    <row r="238" spans="1:5" ht="15.75" customHeight="1" x14ac:dyDescent="0.2">
      <c r="A238" s="42">
        <v>237</v>
      </c>
      <c r="B238" s="42">
        <v>17387</v>
      </c>
      <c r="C238" s="39" t="s">
        <v>1013</v>
      </c>
      <c r="D238" s="39" t="s">
        <v>1014</v>
      </c>
      <c r="E238" s="39" t="s">
        <v>1015</v>
      </c>
    </row>
    <row r="239" spans="1:5" ht="15.75" customHeight="1" x14ac:dyDescent="0.2">
      <c r="A239" s="42">
        <v>238</v>
      </c>
      <c r="B239" s="42">
        <v>17387</v>
      </c>
      <c r="C239" s="39" t="s">
        <v>1016</v>
      </c>
      <c r="D239" s="39" t="s">
        <v>1017</v>
      </c>
      <c r="E239" s="39" t="s">
        <v>1018</v>
      </c>
    </row>
    <row r="240" spans="1:5" ht="15.75" customHeight="1" x14ac:dyDescent="0.2">
      <c r="A240" s="42">
        <v>239</v>
      </c>
      <c r="B240" s="42">
        <v>17387</v>
      </c>
      <c r="C240" s="39" t="s">
        <v>1019</v>
      </c>
      <c r="D240" s="39" t="s">
        <v>994</v>
      </c>
      <c r="E240" s="39" t="s">
        <v>995</v>
      </c>
    </row>
    <row r="241" spans="1:5" ht="15.75" customHeight="1" x14ac:dyDescent="0.2">
      <c r="A241" s="42">
        <v>240</v>
      </c>
      <c r="B241" s="42">
        <v>17387</v>
      </c>
      <c r="C241" s="39" t="s">
        <v>1020</v>
      </c>
      <c r="D241" s="39" t="s">
        <v>987</v>
      </c>
      <c r="E241" s="39" t="s">
        <v>988</v>
      </c>
    </row>
    <row r="242" spans="1:5" ht="15.75" customHeight="1" x14ac:dyDescent="0.2">
      <c r="A242" s="42">
        <v>241</v>
      </c>
      <c r="B242" s="42">
        <v>17388</v>
      </c>
      <c r="C242" s="39" t="s">
        <v>1021</v>
      </c>
      <c r="D242" s="39" t="s">
        <v>1022</v>
      </c>
      <c r="E242" s="39" t="s">
        <v>528</v>
      </c>
    </row>
    <row r="243" spans="1:5" ht="15.75" customHeight="1" x14ac:dyDescent="0.2">
      <c r="A243" s="42">
        <v>242</v>
      </c>
      <c r="B243" s="42">
        <v>17388</v>
      </c>
      <c r="C243" s="39" t="s">
        <v>1023</v>
      </c>
      <c r="D243" s="39" t="s">
        <v>1024</v>
      </c>
      <c r="E243" s="39" t="s">
        <v>1025</v>
      </c>
    </row>
    <row r="244" spans="1:5" ht="15.75" customHeight="1" x14ac:dyDescent="0.2">
      <c r="A244" s="42">
        <v>243</v>
      </c>
      <c r="B244" s="42">
        <v>17388</v>
      </c>
      <c r="C244" s="39" t="s">
        <v>1026</v>
      </c>
      <c r="D244" s="39" t="s">
        <v>1027</v>
      </c>
      <c r="E244" s="39" t="s">
        <v>1028</v>
      </c>
    </row>
    <row r="245" spans="1:5" ht="15.75" customHeight="1" x14ac:dyDescent="0.2">
      <c r="A245" s="42">
        <v>244</v>
      </c>
      <c r="B245" s="42">
        <v>17388</v>
      </c>
      <c r="C245" s="39" t="s">
        <v>1029</v>
      </c>
      <c r="D245" s="39" t="s">
        <v>1030</v>
      </c>
      <c r="E245" s="39" t="s">
        <v>1031</v>
      </c>
    </row>
    <row r="246" spans="1:5" ht="15.75" customHeight="1" x14ac:dyDescent="0.2">
      <c r="A246" s="42">
        <v>245</v>
      </c>
      <c r="B246" s="42">
        <v>17388</v>
      </c>
      <c r="C246" s="39" t="s">
        <v>1032</v>
      </c>
      <c r="D246" s="39" t="s">
        <v>1033</v>
      </c>
      <c r="E246" s="39" t="s">
        <v>1034</v>
      </c>
    </row>
    <row r="247" spans="1:5" ht="15.75" customHeight="1" x14ac:dyDescent="0.2">
      <c r="A247" s="42">
        <v>246</v>
      </c>
      <c r="B247" s="42">
        <v>17388</v>
      </c>
      <c r="C247" s="39" t="s">
        <v>1035</v>
      </c>
      <c r="D247" s="39" t="s">
        <v>1036</v>
      </c>
      <c r="E247" s="39" t="s">
        <v>1037</v>
      </c>
    </row>
    <row r="248" spans="1:5" ht="15.75" customHeight="1" x14ac:dyDescent="0.2">
      <c r="A248" s="42">
        <v>247</v>
      </c>
      <c r="B248" s="42">
        <v>17388</v>
      </c>
      <c r="C248" s="39" t="s">
        <v>1038</v>
      </c>
      <c r="D248" s="39" t="s">
        <v>1022</v>
      </c>
      <c r="E248" s="39" t="s">
        <v>528</v>
      </c>
    </row>
    <row r="249" spans="1:5" ht="15.75" customHeight="1" x14ac:dyDescent="0.2">
      <c r="A249" s="42">
        <v>248</v>
      </c>
      <c r="B249" s="42">
        <v>17388</v>
      </c>
      <c r="C249" s="39" t="s">
        <v>1039</v>
      </c>
      <c r="D249" s="39" t="s">
        <v>1027</v>
      </c>
      <c r="E249" s="39" t="s">
        <v>1028</v>
      </c>
    </row>
    <row r="250" spans="1:5" ht="15.75" customHeight="1" x14ac:dyDescent="0.2">
      <c r="A250" s="42">
        <v>249</v>
      </c>
      <c r="B250" s="42">
        <v>17388</v>
      </c>
      <c r="C250" s="39" t="s">
        <v>1040</v>
      </c>
      <c r="D250" s="39" t="s">
        <v>1041</v>
      </c>
      <c r="E250" s="39" t="s">
        <v>1042</v>
      </c>
    </row>
    <row r="251" spans="1:5" ht="15.75" customHeight="1" x14ac:dyDescent="0.2">
      <c r="A251" s="42">
        <v>250</v>
      </c>
      <c r="B251" s="42">
        <v>17388</v>
      </c>
      <c r="C251" s="39" t="s">
        <v>1043</v>
      </c>
      <c r="D251" s="39" t="s">
        <v>1044</v>
      </c>
      <c r="E251" s="39" t="s">
        <v>1045</v>
      </c>
    </row>
    <row r="252" spans="1:5" ht="15.75" customHeight="1" x14ac:dyDescent="0.2">
      <c r="A252" s="42">
        <v>251</v>
      </c>
      <c r="B252" s="42">
        <v>17388</v>
      </c>
      <c r="C252" s="39" t="s">
        <v>1046</v>
      </c>
      <c r="D252" s="39" t="s">
        <v>1022</v>
      </c>
      <c r="E252" s="39" t="s">
        <v>528</v>
      </c>
    </row>
    <row r="253" spans="1:5" ht="15.75" customHeight="1" x14ac:dyDescent="0.2">
      <c r="A253" s="42">
        <v>252</v>
      </c>
      <c r="B253" s="42">
        <v>17388</v>
      </c>
      <c r="C253" s="39" t="s">
        <v>1047</v>
      </c>
      <c r="D253" s="39" t="s">
        <v>1022</v>
      </c>
      <c r="E253" s="39" t="s">
        <v>528</v>
      </c>
    </row>
    <row r="254" spans="1:5" ht="15.75" customHeight="1" x14ac:dyDescent="0.2">
      <c r="A254" s="42">
        <v>253</v>
      </c>
      <c r="B254" s="42">
        <v>17388</v>
      </c>
      <c r="C254" s="39" t="s">
        <v>1048</v>
      </c>
      <c r="D254" s="39" t="s">
        <v>1049</v>
      </c>
      <c r="E254" s="39" t="s">
        <v>1050</v>
      </c>
    </row>
    <row r="255" spans="1:5" ht="15.75" customHeight="1" x14ac:dyDescent="0.2">
      <c r="A255" s="42">
        <v>254</v>
      </c>
      <c r="B255" s="42">
        <v>17388</v>
      </c>
      <c r="C255" s="39" t="s">
        <v>1051</v>
      </c>
      <c r="D255" s="39" t="s">
        <v>1052</v>
      </c>
      <c r="E255" s="39" t="s">
        <v>1053</v>
      </c>
    </row>
    <row r="256" spans="1:5" ht="15.75" customHeight="1" x14ac:dyDescent="0.2">
      <c r="A256" s="42">
        <v>255</v>
      </c>
      <c r="B256" s="42">
        <v>17388</v>
      </c>
      <c r="C256" s="39" t="s">
        <v>1054</v>
      </c>
      <c r="D256" s="39" t="s">
        <v>1055</v>
      </c>
      <c r="E256" s="39" t="s">
        <v>1056</v>
      </c>
    </row>
    <row r="257" spans="1:5" ht="15.75" customHeight="1" x14ac:dyDescent="0.2">
      <c r="A257" s="42">
        <v>256</v>
      </c>
      <c r="B257" s="42">
        <v>17388</v>
      </c>
      <c r="C257" s="39" t="s">
        <v>1057</v>
      </c>
      <c r="D257" s="39" t="s">
        <v>1022</v>
      </c>
      <c r="E257" s="39" t="s">
        <v>528</v>
      </c>
    </row>
    <row r="258" spans="1:5" ht="15.75" customHeight="1" x14ac:dyDescent="0.2">
      <c r="A258" s="42">
        <v>257</v>
      </c>
      <c r="B258" s="42">
        <v>17388</v>
      </c>
      <c r="C258" s="39" t="s">
        <v>1058</v>
      </c>
      <c r="D258" s="39" t="s">
        <v>1022</v>
      </c>
      <c r="E258" s="39" t="s">
        <v>528</v>
      </c>
    </row>
    <row r="259" spans="1:5" ht="15.75" customHeight="1" x14ac:dyDescent="0.2">
      <c r="A259" s="42">
        <v>258</v>
      </c>
      <c r="B259" s="42">
        <v>17388</v>
      </c>
      <c r="C259" s="39" t="s">
        <v>1059</v>
      </c>
      <c r="D259" s="39" t="s">
        <v>1033</v>
      </c>
      <c r="E259" s="39" t="s">
        <v>1034</v>
      </c>
    </row>
    <row r="260" spans="1:5" ht="15.75" customHeight="1" x14ac:dyDescent="0.2">
      <c r="A260" s="42">
        <v>259</v>
      </c>
      <c r="B260" s="42">
        <v>17389</v>
      </c>
      <c r="C260" s="39" t="s">
        <v>1060</v>
      </c>
      <c r="D260" s="39" t="s">
        <v>1061</v>
      </c>
      <c r="E260" s="39" t="s">
        <v>1062</v>
      </c>
    </row>
    <row r="261" spans="1:5" ht="15.75" customHeight="1" x14ac:dyDescent="0.2">
      <c r="A261" s="42">
        <v>260</v>
      </c>
      <c r="B261" s="42">
        <v>17389</v>
      </c>
      <c r="C261" s="39" t="s">
        <v>1063</v>
      </c>
      <c r="D261" s="39" t="s">
        <v>1064</v>
      </c>
      <c r="E261" s="39" t="s">
        <v>528</v>
      </c>
    </row>
    <row r="262" spans="1:5" ht="15.75" customHeight="1" x14ac:dyDescent="0.2">
      <c r="A262" s="42">
        <v>261</v>
      </c>
      <c r="B262" s="42">
        <v>17389</v>
      </c>
      <c r="C262" s="39" t="s">
        <v>1065</v>
      </c>
      <c r="D262" s="39" t="s">
        <v>1064</v>
      </c>
      <c r="E262" s="39" t="s">
        <v>528</v>
      </c>
    </row>
    <row r="263" spans="1:5" ht="15.75" customHeight="1" x14ac:dyDescent="0.2">
      <c r="A263" s="42">
        <v>262</v>
      </c>
      <c r="B263" s="42">
        <v>17389</v>
      </c>
      <c r="C263" s="39" t="s">
        <v>1066</v>
      </c>
      <c r="D263" s="39" t="s">
        <v>1064</v>
      </c>
      <c r="E263" s="39" t="s">
        <v>528</v>
      </c>
    </row>
    <row r="264" spans="1:5" ht="15.75" customHeight="1" x14ac:dyDescent="0.2">
      <c r="A264" s="42">
        <v>263</v>
      </c>
      <c r="B264" s="42">
        <v>17389</v>
      </c>
      <c r="C264" s="39" t="s">
        <v>1067</v>
      </c>
      <c r="D264" s="39" t="s">
        <v>1064</v>
      </c>
      <c r="E264" s="39" t="s">
        <v>528</v>
      </c>
    </row>
    <row r="265" spans="1:5" ht="15.75" customHeight="1" x14ac:dyDescent="0.2">
      <c r="A265" s="42">
        <v>264</v>
      </c>
      <c r="B265" s="42">
        <v>17389</v>
      </c>
      <c r="C265" s="39" t="s">
        <v>1068</v>
      </c>
      <c r="D265" s="39" t="s">
        <v>1069</v>
      </c>
      <c r="E265" s="39" t="s">
        <v>1070</v>
      </c>
    </row>
    <row r="266" spans="1:5" ht="15.75" customHeight="1" x14ac:dyDescent="0.2">
      <c r="A266" s="42">
        <v>265</v>
      </c>
      <c r="B266" s="42">
        <v>17389</v>
      </c>
      <c r="C266" s="39" t="s">
        <v>1071</v>
      </c>
      <c r="D266" s="39" t="s">
        <v>1061</v>
      </c>
      <c r="E266" s="39" t="s">
        <v>1062</v>
      </c>
    </row>
    <row r="267" spans="1:5" ht="15.75" customHeight="1" x14ac:dyDescent="0.2">
      <c r="A267" s="42">
        <v>266</v>
      </c>
      <c r="B267" s="42">
        <v>17389</v>
      </c>
      <c r="C267" s="39" t="s">
        <v>1072</v>
      </c>
      <c r="D267" s="39" t="s">
        <v>1073</v>
      </c>
      <c r="E267" s="39" t="s">
        <v>1074</v>
      </c>
    </row>
    <row r="268" spans="1:5" ht="15.75" customHeight="1" x14ac:dyDescent="0.2">
      <c r="A268" s="42">
        <v>267</v>
      </c>
      <c r="B268" s="42">
        <v>17390</v>
      </c>
      <c r="C268" s="39" t="s">
        <v>1075</v>
      </c>
      <c r="D268" s="39" t="s">
        <v>1076</v>
      </c>
      <c r="E268" s="39" t="s">
        <v>528</v>
      </c>
    </row>
    <row r="269" spans="1:5" ht="15.75" customHeight="1" x14ac:dyDescent="0.2">
      <c r="A269" s="42">
        <v>268</v>
      </c>
      <c r="B269" s="42">
        <v>17390</v>
      </c>
      <c r="C269" s="39" t="s">
        <v>1077</v>
      </c>
      <c r="D269" s="39" t="s">
        <v>1076</v>
      </c>
      <c r="E269" s="39" t="s">
        <v>528</v>
      </c>
    </row>
    <row r="270" spans="1:5" ht="15.75" customHeight="1" x14ac:dyDescent="0.2">
      <c r="A270" s="42">
        <v>269</v>
      </c>
      <c r="B270" s="42">
        <v>17390</v>
      </c>
      <c r="C270" s="39" t="s">
        <v>1078</v>
      </c>
      <c r="D270" s="39" t="s">
        <v>1076</v>
      </c>
      <c r="E270" s="39" t="s">
        <v>528</v>
      </c>
    </row>
    <row r="271" spans="1:5" ht="15.75" customHeight="1" x14ac:dyDescent="0.2">
      <c r="A271" s="42">
        <v>270</v>
      </c>
      <c r="B271" s="42">
        <v>17390</v>
      </c>
      <c r="C271" s="39" t="s">
        <v>1079</v>
      </c>
      <c r="D271" s="39" t="s">
        <v>1076</v>
      </c>
      <c r="E271" s="39" t="s">
        <v>528</v>
      </c>
    </row>
    <row r="272" spans="1:5" ht="15.75" customHeight="1" x14ac:dyDescent="0.2">
      <c r="A272" s="42">
        <v>271</v>
      </c>
      <c r="B272" s="42">
        <v>17390</v>
      </c>
      <c r="C272" s="39" t="s">
        <v>1080</v>
      </c>
      <c r="D272" s="39" t="s">
        <v>1076</v>
      </c>
      <c r="E272" s="39" t="s">
        <v>528</v>
      </c>
    </row>
    <row r="273" spans="1:5" ht="15.75" customHeight="1" x14ac:dyDescent="0.2">
      <c r="A273" s="42">
        <v>272</v>
      </c>
      <c r="B273" s="42">
        <v>17390</v>
      </c>
      <c r="C273" s="39" t="s">
        <v>1081</v>
      </c>
      <c r="D273" s="39" t="s">
        <v>1082</v>
      </c>
      <c r="E273" s="39" t="s">
        <v>1083</v>
      </c>
    </row>
    <row r="274" spans="1:5" ht="15.75" customHeight="1" x14ac:dyDescent="0.2">
      <c r="A274" s="42">
        <v>273</v>
      </c>
      <c r="B274" s="42">
        <v>17391</v>
      </c>
      <c r="C274" s="39" t="s">
        <v>1084</v>
      </c>
      <c r="D274" s="39" t="s">
        <v>1085</v>
      </c>
      <c r="E274" s="39" t="s">
        <v>528</v>
      </c>
    </row>
    <row r="275" spans="1:5" ht="15.75" customHeight="1" x14ac:dyDescent="0.2">
      <c r="A275" s="42">
        <v>274</v>
      </c>
      <c r="B275" s="42">
        <v>17391</v>
      </c>
      <c r="C275" s="39" t="s">
        <v>1086</v>
      </c>
      <c r="D275" s="39" t="s">
        <v>1085</v>
      </c>
      <c r="E275" s="39" t="s">
        <v>528</v>
      </c>
    </row>
    <row r="276" spans="1:5" ht="15.75" customHeight="1" x14ac:dyDescent="0.2">
      <c r="A276" s="42">
        <v>275</v>
      </c>
      <c r="B276" s="42">
        <v>17391</v>
      </c>
      <c r="C276" s="39" t="s">
        <v>1087</v>
      </c>
      <c r="D276" s="39" t="s">
        <v>1088</v>
      </c>
      <c r="E276" s="39" t="s">
        <v>1089</v>
      </c>
    </row>
    <row r="277" spans="1:5" ht="15.75" customHeight="1" x14ac:dyDescent="0.2">
      <c r="A277" s="42">
        <v>276</v>
      </c>
      <c r="B277" s="42">
        <v>17392</v>
      </c>
      <c r="C277" s="39" t="s">
        <v>1090</v>
      </c>
      <c r="D277" s="39" t="s">
        <v>1091</v>
      </c>
      <c r="E277" s="39" t="s">
        <v>528</v>
      </c>
    </row>
    <row r="278" spans="1:5" ht="15.75" customHeight="1" x14ac:dyDescent="0.2">
      <c r="A278" s="42">
        <v>277</v>
      </c>
      <c r="B278" s="42">
        <v>17392</v>
      </c>
      <c r="C278" s="39" t="s">
        <v>1092</v>
      </c>
      <c r="D278" s="39" t="s">
        <v>1091</v>
      </c>
      <c r="E278" s="39" t="s">
        <v>528</v>
      </c>
    </row>
    <row r="279" spans="1:5" ht="15.75" customHeight="1" x14ac:dyDescent="0.2">
      <c r="A279" s="42">
        <v>278</v>
      </c>
      <c r="B279" s="42">
        <v>17392</v>
      </c>
      <c r="C279" s="39" t="s">
        <v>1093</v>
      </c>
      <c r="D279" s="39" t="s">
        <v>1091</v>
      </c>
      <c r="E279" s="39" t="s">
        <v>528</v>
      </c>
    </row>
    <row r="280" spans="1:5" ht="15.75" customHeight="1" x14ac:dyDescent="0.2">
      <c r="A280" s="42">
        <v>279</v>
      </c>
      <c r="B280" s="42">
        <v>17392</v>
      </c>
      <c r="C280" s="39" t="s">
        <v>1094</v>
      </c>
      <c r="D280" s="39" t="s">
        <v>1095</v>
      </c>
      <c r="E280" s="39" t="s">
        <v>1096</v>
      </c>
    </row>
    <row r="281" spans="1:5" ht="15.75" customHeight="1" x14ac:dyDescent="0.2">
      <c r="A281" s="42">
        <v>280</v>
      </c>
      <c r="B281" s="42">
        <v>17392</v>
      </c>
      <c r="C281" s="39" t="s">
        <v>1097</v>
      </c>
      <c r="D281" s="39" t="s">
        <v>1091</v>
      </c>
      <c r="E281" s="39" t="s">
        <v>528</v>
      </c>
    </row>
    <row r="282" spans="1:5" ht="15.75" customHeight="1" x14ac:dyDescent="0.2">
      <c r="A282" s="42">
        <v>281</v>
      </c>
      <c r="B282" s="42">
        <v>17393</v>
      </c>
      <c r="C282" s="39" t="s">
        <v>1098</v>
      </c>
      <c r="D282" s="39" t="s">
        <v>1099</v>
      </c>
      <c r="E282" s="39" t="s">
        <v>528</v>
      </c>
    </row>
    <row r="283" spans="1:5" ht="15.75" customHeight="1" x14ac:dyDescent="0.2">
      <c r="A283" s="42">
        <v>282</v>
      </c>
      <c r="B283" s="42">
        <v>17393</v>
      </c>
      <c r="C283" s="39" t="s">
        <v>1100</v>
      </c>
      <c r="D283" s="39" t="s">
        <v>1099</v>
      </c>
      <c r="E283" s="39" t="s">
        <v>528</v>
      </c>
    </row>
    <row r="284" spans="1:5" ht="15.75" customHeight="1" x14ac:dyDescent="0.2">
      <c r="A284" s="42">
        <v>283</v>
      </c>
      <c r="B284" s="42">
        <v>17393</v>
      </c>
      <c r="C284" s="39" t="s">
        <v>1101</v>
      </c>
      <c r="D284" s="39" t="s">
        <v>1099</v>
      </c>
      <c r="E284" s="39" t="s">
        <v>528</v>
      </c>
    </row>
    <row r="285" spans="1:5" ht="15.75" customHeight="1" x14ac:dyDescent="0.2">
      <c r="A285" s="42">
        <v>284</v>
      </c>
      <c r="B285" s="42">
        <v>17393</v>
      </c>
      <c r="C285" s="39" t="s">
        <v>1102</v>
      </c>
      <c r="D285" s="39" t="s">
        <v>1099</v>
      </c>
      <c r="E285" s="39" t="s">
        <v>528</v>
      </c>
    </row>
    <row r="286" spans="1:5" ht="15.75" customHeight="1" x14ac:dyDescent="0.2">
      <c r="A286" s="42">
        <v>285</v>
      </c>
      <c r="B286" s="42">
        <v>17393</v>
      </c>
      <c r="C286" s="39" t="s">
        <v>1103</v>
      </c>
      <c r="D286" s="39" t="s">
        <v>1099</v>
      </c>
      <c r="E286" s="39" t="s">
        <v>528</v>
      </c>
    </row>
    <row r="287" spans="1:5" ht="15.75" customHeight="1" x14ac:dyDescent="0.2">
      <c r="A287" s="42">
        <v>286</v>
      </c>
      <c r="B287" s="42">
        <v>17393</v>
      </c>
      <c r="C287" s="39" t="s">
        <v>1104</v>
      </c>
      <c r="D287" s="39" t="s">
        <v>1105</v>
      </c>
      <c r="E287" s="39" t="s">
        <v>1106</v>
      </c>
    </row>
    <row r="288" spans="1:5" ht="15.75" customHeight="1" x14ac:dyDescent="0.2">
      <c r="A288" s="42">
        <v>287</v>
      </c>
      <c r="B288" s="42">
        <v>17397</v>
      </c>
      <c r="C288" s="39" t="s">
        <v>1107</v>
      </c>
      <c r="D288" s="39" t="s">
        <v>1108</v>
      </c>
      <c r="E288" s="39" t="s">
        <v>528</v>
      </c>
    </row>
    <row r="289" spans="1:5" ht="15.75" customHeight="1" x14ac:dyDescent="0.2">
      <c r="A289" s="42">
        <v>288</v>
      </c>
      <c r="B289" s="42">
        <v>17397</v>
      </c>
      <c r="C289" s="39" t="s">
        <v>1109</v>
      </c>
      <c r="D289" s="39" t="s">
        <v>1108</v>
      </c>
      <c r="E289" s="39" t="s">
        <v>528</v>
      </c>
    </row>
    <row r="290" spans="1:5" ht="15.75" customHeight="1" x14ac:dyDescent="0.2">
      <c r="A290" s="42">
        <v>289</v>
      </c>
      <c r="B290" s="42">
        <v>17397</v>
      </c>
      <c r="C290" s="39" t="s">
        <v>1110</v>
      </c>
      <c r="D290" s="39" t="s">
        <v>1108</v>
      </c>
      <c r="E290" s="39" t="s">
        <v>528</v>
      </c>
    </row>
    <row r="291" spans="1:5" ht="15.75" customHeight="1" x14ac:dyDescent="0.2">
      <c r="A291" s="42">
        <v>290</v>
      </c>
      <c r="B291" s="42">
        <v>17397</v>
      </c>
      <c r="C291" s="39" t="s">
        <v>1111</v>
      </c>
      <c r="D291" s="39" t="s">
        <v>1112</v>
      </c>
      <c r="E291" s="39" t="s">
        <v>1113</v>
      </c>
    </row>
    <row r="292" spans="1:5" ht="15.75" customHeight="1" x14ac:dyDescent="0.2">
      <c r="A292" s="42">
        <v>291</v>
      </c>
      <c r="B292" s="42">
        <v>17398</v>
      </c>
      <c r="C292" s="39" t="s">
        <v>1114</v>
      </c>
      <c r="D292" s="39" t="s">
        <v>1115</v>
      </c>
      <c r="E292" s="39" t="s">
        <v>528</v>
      </c>
    </row>
    <row r="293" spans="1:5" ht="15.75" customHeight="1" x14ac:dyDescent="0.2">
      <c r="A293" s="42">
        <v>292</v>
      </c>
      <c r="B293" s="42">
        <v>17398</v>
      </c>
      <c r="C293" s="39" t="s">
        <v>1116</v>
      </c>
      <c r="D293" s="39" t="s">
        <v>1115</v>
      </c>
      <c r="E293" s="39" t="s">
        <v>528</v>
      </c>
    </row>
    <row r="294" spans="1:5" ht="15.75" customHeight="1" x14ac:dyDescent="0.2">
      <c r="A294" s="42">
        <v>293</v>
      </c>
      <c r="B294" s="42">
        <v>17398</v>
      </c>
      <c r="C294" s="39" t="s">
        <v>1117</v>
      </c>
      <c r="D294" s="39" t="s">
        <v>1115</v>
      </c>
      <c r="E294" s="39" t="s">
        <v>528</v>
      </c>
    </row>
    <row r="295" spans="1:5" ht="15.75" customHeight="1" x14ac:dyDescent="0.2">
      <c r="A295" s="42">
        <v>294</v>
      </c>
      <c r="B295" s="42">
        <v>17398</v>
      </c>
      <c r="C295" s="39" t="s">
        <v>1118</v>
      </c>
      <c r="D295" s="39" t="s">
        <v>1115</v>
      </c>
      <c r="E295" s="39" t="s">
        <v>528</v>
      </c>
    </row>
    <row r="296" spans="1:5" ht="15.75" customHeight="1" x14ac:dyDescent="0.2">
      <c r="A296" s="42">
        <v>295</v>
      </c>
      <c r="B296" s="42">
        <v>17398</v>
      </c>
      <c r="C296" s="39" t="s">
        <v>1119</v>
      </c>
      <c r="D296" s="39" t="s">
        <v>1115</v>
      </c>
      <c r="E296" s="39" t="s">
        <v>528</v>
      </c>
    </row>
    <row r="297" spans="1:5" ht="15.75" customHeight="1" x14ac:dyDescent="0.2">
      <c r="A297" s="42">
        <v>296</v>
      </c>
      <c r="B297" s="42">
        <v>17398</v>
      </c>
      <c r="C297" s="39" t="s">
        <v>1120</v>
      </c>
      <c r="D297" s="39" t="s">
        <v>1121</v>
      </c>
      <c r="E297" s="39" t="s">
        <v>1122</v>
      </c>
    </row>
    <row r="298" spans="1:5" ht="15.75" customHeight="1" x14ac:dyDescent="0.2">
      <c r="A298" s="42">
        <v>297</v>
      </c>
      <c r="B298" s="42">
        <v>17398</v>
      </c>
      <c r="C298" s="39" t="s">
        <v>1123</v>
      </c>
      <c r="D298" s="39" t="s">
        <v>1115</v>
      </c>
      <c r="E298" s="39" t="s">
        <v>528</v>
      </c>
    </row>
    <row r="299" spans="1:5" ht="15.75" customHeight="1" x14ac:dyDescent="0.2">
      <c r="A299" s="42">
        <v>298</v>
      </c>
      <c r="B299" s="42">
        <v>17398</v>
      </c>
      <c r="C299" s="39" t="s">
        <v>1124</v>
      </c>
      <c r="D299" s="39" t="s">
        <v>1121</v>
      </c>
      <c r="E299" s="39" t="s">
        <v>1122</v>
      </c>
    </row>
    <row r="300" spans="1:5" ht="15.75" customHeight="1" x14ac:dyDescent="0.2">
      <c r="A300" s="42">
        <v>299</v>
      </c>
      <c r="B300" s="42">
        <v>17398</v>
      </c>
      <c r="C300" s="39" t="s">
        <v>1125</v>
      </c>
      <c r="D300" s="39" t="s">
        <v>1115</v>
      </c>
      <c r="E300" s="39" t="s">
        <v>528</v>
      </c>
    </row>
    <row r="301" spans="1:5" ht="15.75" customHeight="1" x14ac:dyDescent="0.2">
      <c r="A301" s="42">
        <v>300</v>
      </c>
      <c r="B301" s="42">
        <v>17398</v>
      </c>
      <c r="C301" s="39" t="s">
        <v>1126</v>
      </c>
      <c r="D301" s="39" t="s">
        <v>1115</v>
      </c>
      <c r="E301" s="39" t="s">
        <v>528</v>
      </c>
    </row>
    <row r="302" spans="1:5" ht="15.75" customHeight="1" x14ac:dyDescent="0.2">
      <c r="A302" s="42">
        <v>301</v>
      </c>
      <c r="B302" s="42">
        <v>17399</v>
      </c>
      <c r="C302" s="39" t="s">
        <v>1127</v>
      </c>
      <c r="D302" s="39" t="s">
        <v>1128</v>
      </c>
      <c r="E302" s="39" t="s">
        <v>528</v>
      </c>
    </row>
    <row r="303" spans="1:5" ht="15.75" customHeight="1" x14ac:dyDescent="0.2">
      <c r="A303" s="42">
        <v>302</v>
      </c>
      <c r="B303" s="42">
        <v>17399</v>
      </c>
      <c r="C303" s="39" t="s">
        <v>1129</v>
      </c>
      <c r="D303" s="39" t="s">
        <v>1128</v>
      </c>
      <c r="E303" s="39" t="s">
        <v>528</v>
      </c>
    </row>
    <row r="304" spans="1:5" ht="15.75" customHeight="1" x14ac:dyDescent="0.2">
      <c r="A304" s="42">
        <v>303</v>
      </c>
      <c r="B304" s="42">
        <v>17399</v>
      </c>
      <c r="C304" s="39" t="s">
        <v>1130</v>
      </c>
      <c r="D304" s="39" t="s">
        <v>1128</v>
      </c>
      <c r="E304" s="39" t="s">
        <v>528</v>
      </c>
    </row>
    <row r="305" spans="1:5" ht="15.75" customHeight="1" x14ac:dyDescent="0.2">
      <c r="A305" s="42">
        <v>304</v>
      </c>
      <c r="B305" s="42">
        <v>17399</v>
      </c>
      <c r="C305" s="39" t="s">
        <v>1131</v>
      </c>
      <c r="D305" s="39" t="s">
        <v>1132</v>
      </c>
      <c r="E305" s="39" t="s">
        <v>1133</v>
      </c>
    </row>
    <row r="306" spans="1:5" ht="15.75" customHeight="1" x14ac:dyDescent="0.2">
      <c r="A306" s="42">
        <v>305</v>
      </c>
      <c r="B306" s="42">
        <v>17399</v>
      </c>
      <c r="C306" s="39" t="s">
        <v>1134</v>
      </c>
      <c r="D306" s="39" t="s">
        <v>1128</v>
      </c>
      <c r="E306" s="39" t="s">
        <v>528</v>
      </c>
    </row>
    <row r="307" spans="1:5" ht="15.75" customHeight="1" x14ac:dyDescent="0.2">
      <c r="A307" s="42">
        <v>306</v>
      </c>
      <c r="B307" s="42">
        <v>17399</v>
      </c>
      <c r="C307" s="39" t="s">
        <v>1135</v>
      </c>
      <c r="D307" s="39" t="s">
        <v>1132</v>
      </c>
      <c r="E307" s="39" t="s">
        <v>1133</v>
      </c>
    </row>
    <row r="308" spans="1:5" ht="15.75" customHeight="1" x14ac:dyDescent="0.2">
      <c r="A308" s="42">
        <v>307</v>
      </c>
      <c r="B308" s="42">
        <v>17399</v>
      </c>
      <c r="C308" s="39" t="s">
        <v>1136</v>
      </c>
      <c r="D308" s="39" t="s">
        <v>1128</v>
      </c>
      <c r="E308" s="39" t="s">
        <v>528</v>
      </c>
    </row>
    <row r="309" spans="1:5" ht="15.75" customHeight="1" x14ac:dyDescent="0.2">
      <c r="A309" s="42">
        <v>308</v>
      </c>
      <c r="B309" s="42">
        <v>17399</v>
      </c>
      <c r="C309" s="39" t="s">
        <v>1137</v>
      </c>
      <c r="D309" s="39" t="s">
        <v>1128</v>
      </c>
      <c r="E309" s="39" t="s">
        <v>528</v>
      </c>
    </row>
    <row r="310" spans="1:5" ht="15.75" customHeight="1" x14ac:dyDescent="0.2">
      <c r="A310" s="42">
        <v>309</v>
      </c>
      <c r="B310" s="42">
        <v>17399</v>
      </c>
      <c r="C310" s="39" t="s">
        <v>1138</v>
      </c>
      <c r="D310" s="39" t="s">
        <v>1128</v>
      </c>
      <c r="E310" s="39" t="s">
        <v>528</v>
      </c>
    </row>
    <row r="311" spans="1:5" ht="15.75" customHeight="1" x14ac:dyDescent="0.2">
      <c r="A311" s="42">
        <v>310</v>
      </c>
      <c r="B311" s="42">
        <v>17400</v>
      </c>
      <c r="C311" s="39" t="s">
        <v>1139</v>
      </c>
      <c r="D311" s="39" t="s">
        <v>1140</v>
      </c>
      <c r="E311" s="39" t="s">
        <v>1141</v>
      </c>
    </row>
    <row r="312" spans="1:5" ht="15.75" customHeight="1" x14ac:dyDescent="0.2">
      <c r="A312" s="42">
        <v>311</v>
      </c>
      <c r="B312" s="42">
        <v>17400</v>
      </c>
      <c r="C312" s="39" t="s">
        <v>1142</v>
      </c>
      <c r="D312" s="39" t="s">
        <v>1143</v>
      </c>
      <c r="E312" s="39" t="s">
        <v>528</v>
      </c>
    </row>
    <row r="313" spans="1:5" ht="15.75" customHeight="1" x14ac:dyDescent="0.2">
      <c r="A313" s="42">
        <v>312</v>
      </c>
      <c r="B313" s="42">
        <v>17400</v>
      </c>
      <c r="C313" s="39" t="s">
        <v>1144</v>
      </c>
      <c r="D313" s="39" t="s">
        <v>1143</v>
      </c>
      <c r="E313" s="39" t="s">
        <v>528</v>
      </c>
    </row>
    <row r="314" spans="1:5" ht="15.75" customHeight="1" x14ac:dyDescent="0.2">
      <c r="A314" s="42">
        <v>313</v>
      </c>
      <c r="B314" s="42">
        <v>17405</v>
      </c>
      <c r="C314" s="39" t="s">
        <v>1145</v>
      </c>
      <c r="D314" s="39" t="s">
        <v>1146</v>
      </c>
      <c r="E314" s="39" t="s">
        <v>1147</v>
      </c>
    </row>
    <row r="315" spans="1:5" ht="15.75" customHeight="1" x14ac:dyDescent="0.2">
      <c r="A315" s="42">
        <v>314</v>
      </c>
      <c r="B315" s="42">
        <v>17405</v>
      </c>
      <c r="C315" s="39" t="s">
        <v>1148</v>
      </c>
      <c r="D315" s="39" t="s">
        <v>1149</v>
      </c>
      <c r="E315" s="39" t="s">
        <v>1150</v>
      </c>
    </row>
    <row r="316" spans="1:5" ht="15.75" customHeight="1" x14ac:dyDescent="0.2">
      <c r="A316" s="42">
        <v>315</v>
      </c>
      <c r="B316" s="42">
        <v>17405</v>
      </c>
      <c r="C316" s="39" t="s">
        <v>1151</v>
      </c>
      <c r="D316" s="39" t="s">
        <v>1152</v>
      </c>
      <c r="E316" s="39" t="s">
        <v>1153</v>
      </c>
    </row>
    <row r="317" spans="1:5" ht="15.75" customHeight="1" x14ac:dyDescent="0.2">
      <c r="A317" s="42">
        <v>316</v>
      </c>
      <c r="B317" s="42">
        <v>17405</v>
      </c>
      <c r="C317" s="39" t="s">
        <v>1154</v>
      </c>
      <c r="D317" s="39" t="s">
        <v>1155</v>
      </c>
      <c r="E317" s="39" t="s">
        <v>1156</v>
      </c>
    </row>
    <row r="318" spans="1:5" ht="15.75" customHeight="1" x14ac:dyDescent="0.2">
      <c r="A318" s="42">
        <v>317</v>
      </c>
      <c r="B318" s="42">
        <v>17405</v>
      </c>
      <c r="C318" s="39" t="s">
        <v>1157</v>
      </c>
      <c r="D318" s="39" t="s">
        <v>1158</v>
      </c>
      <c r="E318" s="39" t="s">
        <v>1159</v>
      </c>
    </row>
    <row r="319" spans="1:5" ht="15.75" customHeight="1" x14ac:dyDescent="0.2">
      <c r="A319" s="42">
        <v>318</v>
      </c>
      <c r="B319" s="42">
        <v>17405</v>
      </c>
      <c r="C319" s="39" t="s">
        <v>1160</v>
      </c>
      <c r="D319" s="39" t="s">
        <v>1161</v>
      </c>
      <c r="E319" s="39" t="s">
        <v>528</v>
      </c>
    </row>
    <row r="320" spans="1:5" ht="15.75" customHeight="1" x14ac:dyDescent="0.2">
      <c r="A320" s="42">
        <v>319</v>
      </c>
      <c r="B320" s="42">
        <v>17406</v>
      </c>
      <c r="C320" s="39" t="s">
        <v>1162</v>
      </c>
      <c r="D320" s="39" t="s">
        <v>1163</v>
      </c>
      <c r="E320" s="39" t="s">
        <v>1164</v>
      </c>
    </row>
    <row r="321" spans="1:5" ht="15.75" customHeight="1" x14ac:dyDescent="0.2">
      <c r="A321" s="42">
        <v>320</v>
      </c>
      <c r="B321" s="42">
        <v>17406</v>
      </c>
      <c r="C321" s="39" t="s">
        <v>1165</v>
      </c>
      <c r="D321" s="39" t="s">
        <v>1166</v>
      </c>
      <c r="E321" s="39" t="s">
        <v>1167</v>
      </c>
    </row>
    <row r="322" spans="1:5" ht="15.75" customHeight="1" x14ac:dyDescent="0.2">
      <c r="A322" s="42">
        <v>321</v>
      </c>
      <c r="B322" s="42">
        <v>17406</v>
      </c>
      <c r="C322" s="39" t="s">
        <v>1168</v>
      </c>
      <c r="D322" s="39" t="s">
        <v>1169</v>
      </c>
      <c r="E322" s="39" t="s">
        <v>1170</v>
      </c>
    </row>
    <row r="323" spans="1:5" ht="15.75" customHeight="1" x14ac:dyDescent="0.2">
      <c r="A323" s="42">
        <v>322</v>
      </c>
      <c r="B323" s="42">
        <v>17406</v>
      </c>
      <c r="C323" s="39" t="s">
        <v>1171</v>
      </c>
      <c r="D323" s="39" t="s">
        <v>1163</v>
      </c>
      <c r="E323" s="39" t="s">
        <v>1164</v>
      </c>
    </row>
    <row r="324" spans="1:5" ht="15.75" customHeight="1" x14ac:dyDescent="0.2">
      <c r="A324" s="42">
        <v>323</v>
      </c>
      <c r="B324" s="42">
        <v>17406</v>
      </c>
      <c r="C324" s="39" t="s">
        <v>1172</v>
      </c>
      <c r="D324" s="39" t="s">
        <v>1173</v>
      </c>
      <c r="E324" s="39" t="s">
        <v>1174</v>
      </c>
    </row>
    <row r="325" spans="1:5" ht="15.75" customHeight="1" x14ac:dyDescent="0.2">
      <c r="A325" s="42">
        <v>324</v>
      </c>
      <c r="B325" s="42">
        <v>17407</v>
      </c>
      <c r="C325" s="39" t="s">
        <v>1175</v>
      </c>
      <c r="D325" s="39" t="s">
        <v>1176</v>
      </c>
      <c r="E325" s="39" t="s">
        <v>528</v>
      </c>
    </row>
    <row r="326" spans="1:5" ht="15.75" customHeight="1" x14ac:dyDescent="0.2">
      <c r="A326" s="42">
        <v>325</v>
      </c>
      <c r="B326" s="42">
        <v>17407</v>
      </c>
      <c r="C326" s="39" t="s">
        <v>1177</v>
      </c>
      <c r="D326" s="39" t="s">
        <v>1176</v>
      </c>
      <c r="E326" s="39" t="s">
        <v>528</v>
      </c>
    </row>
    <row r="327" spans="1:5" ht="15.75" customHeight="1" x14ac:dyDescent="0.2">
      <c r="A327" s="42">
        <v>326</v>
      </c>
      <c r="B327" s="42">
        <v>17407</v>
      </c>
      <c r="C327" s="39" t="s">
        <v>1178</v>
      </c>
      <c r="D327" s="39" t="s">
        <v>1176</v>
      </c>
      <c r="E327" s="39" t="s">
        <v>528</v>
      </c>
    </row>
    <row r="328" spans="1:5" ht="15.75" customHeight="1" x14ac:dyDescent="0.2">
      <c r="A328" s="42">
        <v>327</v>
      </c>
      <c r="B328" s="42">
        <v>17407</v>
      </c>
      <c r="C328" s="39" t="s">
        <v>1179</v>
      </c>
      <c r="D328" s="39" t="s">
        <v>1176</v>
      </c>
      <c r="E328" s="39" t="s">
        <v>528</v>
      </c>
    </row>
    <row r="329" spans="1:5" ht="15.75" customHeight="1" x14ac:dyDescent="0.2">
      <c r="A329" s="42">
        <v>328</v>
      </c>
      <c r="B329" s="42">
        <v>17407</v>
      </c>
      <c r="C329" s="39" t="s">
        <v>1180</v>
      </c>
      <c r="D329" s="39" t="s">
        <v>1176</v>
      </c>
      <c r="E329" s="39" t="s">
        <v>528</v>
      </c>
    </row>
    <row r="330" spans="1:5" ht="15.75" customHeight="1" x14ac:dyDescent="0.2">
      <c r="A330" s="42">
        <v>329</v>
      </c>
      <c r="B330" s="42">
        <v>17407</v>
      </c>
      <c r="C330" s="39" t="s">
        <v>1181</v>
      </c>
      <c r="D330" s="39" t="s">
        <v>1176</v>
      </c>
      <c r="E330" s="39" t="s">
        <v>528</v>
      </c>
    </row>
    <row r="331" spans="1:5" ht="15.75" customHeight="1" x14ac:dyDescent="0.2">
      <c r="A331" s="42">
        <v>330</v>
      </c>
      <c r="B331" s="42">
        <v>17407</v>
      </c>
      <c r="C331" s="39" t="s">
        <v>1182</v>
      </c>
      <c r="D331" s="39" t="s">
        <v>1176</v>
      </c>
      <c r="E331" s="39" t="s">
        <v>528</v>
      </c>
    </row>
    <row r="332" spans="1:5" ht="15.75" customHeight="1" x14ac:dyDescent="0.2">
      <c r="A332" s="42">
        <v>331</v>
      </c>
      <c r="B332" s="42">
        <v>17407</v>
      </c>
      <c r="C332" s="39" t="s">
        <v>1183</v>
      </c>
      <c r="D332" s="39" t="s">
        <v>1176</v>
      </c>
      <c r="E332" s="39" t="s">
        <v>528</v>
      </c>
    </row>
    <row r="333" spans="1:5" ht="15.75" customHeight="1" x14ac:dyDescent="0.2">
      <c r="A333" s="42">
        <v>332</v>
      </c>
      <c r="B333" s="42">
        <v>17407</v>
      </c>
      <c r="C333" s="39" t="s">
        <v>1184</v>
      </c>
      <c r="D333" s="39" t="s">
        <v>1176</v>
      </c>
      <c r="E333" s="39" t="s">
        <v>528</v>
      </c>
    </row>
    <row r="334" spans="1:5" ht="15.75" customHeight="1" x14ac:dyDescent="0.2">
      <c r="A334" s="42">
        <v>333</v>
      </c>
      <c r="B334" s="42">
        <v>17407</v>
      </c>
      <c r="C334" s="39" t="s">
        <v>1185</v>
      </c>
      <c r="D334" s="39" t="s">
        <v>1176</v>
      </c>
      <c r="E334" s="39" t="s">
        <v>528</v>
      </c>
    </row>
    <row r="335" spans="1:5" ht="15.75" customHeight="1" x14ac:dyDescent="0.2">
      <c r="A335" s="42">
        <v>334</v>
      </c>
      <c r="B335" s="42">
        <v>17407</v>
      </c>
      <c r="C335" s="39" t="s">
        <v>1186</v>
      </c>
      <c r="D335" s="39" t="s">
        <v>1176</v>
      </c>
      <c r="E335" s="39" t="s">
        <v>528</v>
      </c>
    </row>
    <row r="336" spans="1:5" ht="15.75" customHeight="1" x14ac:dyDescent="0.2">
      <c r="A336" s="42">
        <v>335</v>
      </c>
      <c r="B336" s="42">
        <v>17408</v>
      </c>
      <c r="C336" s="39" t="s">
        <v>1187</v>
      </c>
      <c r="D336" s="39" t="s">
        <v>1188</v>
      </c>
      <c r="E336" s="39" t="s">
        <v>528</v>
      </c>
    </row>
    <row r="337" spans="1:5" ht="15.75" customHeight="1" x14ac:dyDescent="0.2">
      <c r="A337" s="42">
        <v>336</v>
      </c>
      <c r="B337" s="42">
        <v>17408</v>
      </c>
      <c r="C337" s="39" t="s">
        <v>1189</v>
      </c>
      <c r="D337" s="39" t="s">
        <v>1188</v>
      </c>
      <c r="E337" s="39" t="s">
        <v>528</v>
      </c>
    </row>
    <row r="338" spans="1:5" ht="15.75" customHeight="1" x14ac:dyDescent="0.2">
      <c r="A338" s="42">
        <v>337</v>
      </c>
      <c r="B338" s="42">
        <v>17408</v>
      </c>
      <c r="C338" s="39" t="s">
        <v>1190</v>
      </c>
      <c r="D338" s="39" t="s">
        <v>1188</v>
      </c>
      <c r="E338" s="39" t="s">
        <v>528</v>
      </c>
    </row>
    <row r="339" spans="1:5" ht="15.75" customHeight="1" x14ac:dyDescent="0.2">
      <c r="A339" s="42">
        <v>338</v>
      </c>
      <c r="B339" s="42">
        <v>17409</v>
      </c>
      <c r="C339" s="39" t="s">
        <v>1191</v>
      </c>
      <c r="D339" s="39" t="s">
        <v>1192</v>
      </c>
      <c r="E339" s="39" t="s">
        <v>528</v>
      </c>
    </row>
    <row r="340" spans="1:5" ht="15.75" customHeight="1" x14ac:dyDescent="0.2">
      <c r="A340" s="42">
        <v>339</v>
      </c>
      <c r="B340" s="42">
        <v>17409</v>
      </c>
      <c r="C340" s="39" t="s">
        <v>1193</v>
      </c>
      <c r="D340" s="39" t="s">
        <v>1194</v>
      </c>
      <c r="E340" s="39" t="s">
        <v>1195</v>
      </c>
    </row>
    <row r="341" spans="1:5" ht="15.75" customHeight="1" x14ac:dyDescent="0.2">
      <c r="A341" s="42">
        <v>340</v>
      </c>
      <c r="B341" s="42">
        <v>17409</v>
      </c>
      <c r="C341" s="39" t="s">
        <v>1196</v>
      </c>
      <c r="D341" s="39" t="s">
        <v>1192</v>
      </c>
      <c r="E341" s="39" t="s">
        <v>528</v>
      </c>
    </row>
    <row r="342" spans="1:5" ht="15.75" customHeight="1" x14ac:dyDescent="0.2">
      <c r="A342" s="42">
        <v>341</v>
      </c>
      <c r="B342" s="42">
        <v>17410</v>
      </c>
      <c r="C342" s="39" t="s">
        <v>1197</v>
      </c>
      <c r="D342" s="39" t="s">
        <v>1198</v>
      </c>
      <c r="E342" s="39" t="s">
        <v>528</v>
      </c>
    </row>
    <row r="343" spans="1:5" ht="15.75" customHeight="1" x14ac:dyDescent="0.2">
      <c r="A343" s="42">
        <v>342</v>
      </c>
      <c r="B343" s="42">
        <v>17412</v>
      </c>
      <c r="C343" s="39" t="s">
        <v>1199</v>
      </c>
      <c r="D343" s="39" t="s">
        <v>1200</v>
      </c>
      <c r="E343" s="39" t="s">
        <v>528</v>
      </c>
    </row>
    <row r="344" spans="1:5" ht="15.75" customHeight="1" x14ac:dyDescent="0.2">
      <c r="A344" s="42">
        <v>343</v>
      </c>
      <c r="B344" s="42">
        <v>17415</v>
      </c>
      <c r="C344" s="39" t="s">
        <v>1201</v>
      </c>
      <c r="D344" s="39" t="s">
        <v>1202</v>
      </c>
      <c r="E344" s="39" t="s">
        <v>528</v>
      </c>
    </row>
    <row r="345" spans="1:5" ht="15.75" customHeight="1" x14ac:dyDescent="0.2">
      <c r="A345" s="42">
        <v>344</v>
      </c>
      <c r="B345" s="42">
        <v>17416</v>
      </c>
      <c r="C345" s="39" t="s">
        <v>1203</v>
      </c>
      <c r="D345" s="39" t="s">
        <v>1204</v>
      </c>
      <c r="E345" s="39" t="s">
        <v>528</v>
      </c>
    </row>
    <row r="346" spans="1:5" ht="15.75" customHeight="1" x14ac:dyDescent="0.2">
      <c r="A346" s="42">
        <v>345</v>
      </c>
      <c r="B346" s="42">
        <v>17417</v>
      </c>
      <c r="C346" s="39" t="s">
        <v>1205</v>
      </c>
      <c r="D346" s="39" t="s">
        <v>1206</v>
      </c>
      <c r="E346" s="39" t="s">
        <v>1207</v>
      </c>
    </row>
    <row r="347" spans="1:5" ht="15.75" customHeight="1" x14ac:dyDescent="0.2">
      <c r="A347" s="42">
        <v>346</v>
      </c>
      <c r="B347" s="42">
        <v>17417</v>
      </c>
      <c r="C347" s="39" t="s">
        <v>1208</v>
      </c>
      <c r="D347" s="39" t="s">
        <v>1209</v>
      </c>
      <c r="E347" s="39" t="s">
        <v>528</v>
      </c>
    </row>
    <row r="348" spans="1:5" ht="15.75" customHeight="1" x14ac:dyDescent="0.2">
      <c r="A348" s="42">
        <v>347</v>
      </c>
      <c r="B348" s="42">
        <v>17418</v>
      </c>
      <c r="C348" s="39" t="s">
        <v>1210</v>
      </c>
      <c r="D348" s="39" t="s">
        <v>1211</v>
      </c>
      <c r="E348" s="39" t="s">
        <v>528</v>
      </c>
    </row>
    <row r="349" spans="1:5" ht="15.75" customHeight="1" x14ac:dyDescent="0.2">
      <c r="A349" s="42">
        <v>348</v>
      </c>
      <c r="B349" s="42">
        <v>17418</v>
      </c>
      <c r="C349" s="39" t="s">
        <v>1212</v>
      </c>
      <c r="D349" s="39" t="s">
        <v>1211</v>
      </c>
      <c r="E349" s="39" t="s">
        <v>528</v>
      </c>
    </row>
    <row r="350" spans="1:5" ht="15.75" customHeight="1" x14ac:dyDescent="0.2">
      <c r="A350" s="42">
        <v>349</v>
      </c>
      <c r="B350" s="42">
        <v>17418</v>
      </c>
      <c r="C350" s="39" t="s">
        <v>1213</v>
      </c>
      <c r="D350" s="39" t="s">
        <v>1211</v>
      </c>
      <c r="E350" s="39" t="s">
        <v>528</v>
      </c>
    </row>
    <row r="351" spans="1:5" ht="15.75" customHeight="1" x14ac:dyDescent="0.2">
      <c r="A351" s="42">
        <v>350</v>
      </c>
      <c r="B351" s="42">
        <v>17418</v>
      </c>
      <c r="C351" s="39" t="s">
        <v>1214</v>
      </c>
      <c r="D351" s="39" t="s">
        <v>1211</v>
      </c>
      <c r="E351" s="39" t="s">
        <v>528</v>
      </c>
    </row>
    <row r="352" spans="1:5" ht="15.75" customHeight="1" x14ac:dyDescent="0.2">
      <c r="A352" s="42">
        <v>351</v>
      </c>
      <c r="B352" s="42">
        <v>17418</v>
      </c>
      <c r="C352" s="39" t="s">
        <v>1215</v>
      </c>
      <c r="D352" s="39" t="s">
        <v>1211</v>
      </c>
      <c r="E352" s="39" t="s">
        <v>528</v>
      </c>
    </row>
    <row r="353" spans="1:5" ht="15.75" customHeight="1" x14ac:dyDescent="0.2">
      <c r="A353" s="42">
        <v>352</v>
      </c>
      <c r="B353" s="42">
        <v>17418</v>
      </c>
      <c r="C353" s="39" t="s">
        <v>1216</v>
      </c>
      <c r="D353" s="39" t="s">
        <v>1211</v>
      </c>
      <c r="E353" s="39" t="s">
        <v>528</v>
      </c>
    </row>
    <row r="354" spans="1:5" ht="15.75" customHeight="1" x14ac:dyDescent="0.2">
      <c r="A354" s="42">
        <v>353</v>
      </c>
      <c r="B354" s="42">
        <v>17418</v>
      </c>
      <c r="C354" s="39" t="s">
        <v>1217</v>
      </c>
      <c r="D354" s="39" t="s">
        <v>1211</v>
      </c>
      <c r="E354" s="39" t="s">
        <v>528</v>
      </c>
    </row>
    <row r="355" spans="1:5" ht="15.75" customHeight="1" x14ac:dyDescent="0.2">
      <c r="A355" s="42">
        <v>354</v>
      </c>
      <c r="B355" s="42">
        <v>17420</v>
      </c>
      <c r="C355" s="39" t="s">
        <v>1218</v>
      </c>
      <c r="D355" s="39" t="s">
        <v>1219</v>
      </c>
      <c r="E355" s="39" t="s">
        <v>528</v>
      </c>
    </row>
    <row r="356" spans="1:5" ht="15.75" customHeight="1" x14ac:dyDescent="0.2">
      <c r="A356" s="42">
        <v>355</v>
      </c>
      <c r="B356" s="42">
        <v>17420</v>
      </c>
      <c r="C356" s="39" t="s">
        <v>1220</v>
      </c>
      <c r="D356" s="39" t="s">
        <v>1219</v>
      </c>
      <c r="E356" s="39" t="s">
        <v>528</v>
      </c>
    </row>
    <row r="357" spans="1:5" ht="15.75" customHeight="1" x14ac:dyDescent="0.2">
      <c r="A357" s="42">
        <v>356</v>
      </c>
      <c r="B357" s="42">
        <v>17420</v>
      </c>
      <c r="C357" s="39" t="s">
        <v>1221</v>
      </c>
      <c r="D357" s="39" t="s">
        <v>1219</v>
      </c>
      <c r="E357" s="39" t="s">
        <v>528</v>
      </c>
    </row>
    <row r="358" spans="1:5" ht="15.75" customHeight="1" x14ac:dyDescent="0.2">
      <c r="A358" s="42">
        <v>357</v>
      </c>
      <c r="B358" s="42">
        <v>17420</v>
      </c>
      <c r="C358" s="39" t="s">
        <v>1222</v>
      </c>
      <c r="D358" s="39" t="s">
        <v>1219</v>
      </c>
      <c r="E358" s="39" t="s">
        <v>528</v>
      </c>
    </row>
    <row r="359" spans="1:5" ht="15.75" customHeight="1" x14ac:dyDescent="0.2">
      <c r="A359" s="42">
        <v>358</v>
      </c>
      <c r="B359" s="42">
        <v>17420</v>
      </c>
      <c r="C359" s="39" t="s">
        <v>1223</v>
      </c>
      <c r="D359" s="39" t="s">
        <v>1219</v>
      </c>
      <c r="E359" s="39" t="s">
        <v>528</v>
      </c>
    </row>
    <row r="360" spans="1:5" ht="15.75" customHeight="1" x14ac:dyDescent="0.2">
      <c r="A360" s="42">
        <v>359</v>
      </c>
      <c r="B360" s="42">
        <v>17420</v>
      </c>
      <c r="C360" s="39" t="s">
        <v>1224</v>
      </c>
      <c r="D360" s="39" t="s">
        <v>1219</v>
      </c>
      <c r="E360" s="39" t="s">
        <v>528</v>
      </c>
    </row>
    <row r="361" spans="1:5" ht="15.75" customHeight="1" x14ac:dyDescent="0.2">
      <c r="A361" s="42">
        <v>360</v>
      </c>
      <c r="B361" s="42">
        <v>17420</v>
      </c>
      <c r="C361" s="39" t="s">
        <v>1225</v>
      </c>
      <c r="D361" s="39" t="s">
        <v>1219</v>
      </c>
      <c r="E361" s="39" t="s">
        <v>528</v>
      </c>
    </row>
    <row r="362" spans="1:5" ht="15.75" customHeight="1" x14ac:dyDescent="0.2">
      <c r="A362" s="42">
        <v>361</v>
      </c>
      <c r="B362" s="42">
        <v>17421</v>
      </c>
      <c r="C362" s="39" t="s">
        <v>1226</v>
      </c>
      <c r="D362" s="39" t="s">
        <v>1227</v>
      </c>
      <c r="E362" s="39" t="s">
        <v>528</v>
      </c>
    </row>
    <row r="363" spans="1:5" ht="15.75" customHeight="1" x14ac:dyDescent="0.2">
      <c r="A363" s="42">
        <v>362</v>
      </c>
      <c r="B363" s="42">
        <v>17421</v>
      </c>
      <c r="C363" s="39" t="s">
        <v>1228</v>
      </c>
      <c r="D363" s="39" t="s">
        <v>1229</v>
      </c>
      <c r="E363" s="39" t="s">
        <v>1230</v>
      </c>
    </row>
    <row r="364" spans="1:5" ht="15.75" customHeight="1" x14ac:dyDescent="0.2">
      <c r="A364" s="42">
        <v>363</v>
      </c>
      <c r="B364" s="42">
        <v>17421</v>
      </c>
      <c r="C364" s="39" t="s">
        <v>1231</v>
      </c>
      <c r="D364" s="39" t="s">
        <v>1232</v>
      </c>
      <c r="E364" s="39" t="s">
        <v>1233</v>
      </c>
    </row>
    <row r="365" spans="1:5" ht="15.75" customHeight="1" x14ac:dyDescent="0.2">
      <c r="A365" s="42">
        <v>364</v>
      </c>
      <c r="B365" s="42">
        <v>17421</v>
      </c>
      <c r="C365" s="39" t="s">
        <v>1234</v>
      </c>
      <c r="D365" s="39" t="s">
        <v>1227</v>
      </c>
      <c r="E365" s="39" t="s">
        <v>528</v>
      </c>
    </row>
    <row r="366" spans="1:5" ht="15.75" customHeight="1" x14ac:dyDescent="0.2">
      <c r="A366" s="42">
        <v>365</v>
      </c>
      <c r="B366" s="42">
        <v>17422</v>
      </c>
      <c r="C366" s="39" t="s">
        <v>1235</v>
      </c>
      <c r="D366" s="39" t="s">
        <v>1236</v>
      </c>
      <c r="E366" s="39" t="s">
        <v>528</v>
      </c>
    </row>
    <row r="367" spans="1:5" ht="15.75" customHeight="1" x14ac:dyDescent="0.2">
      <c r="A367" s="42">
        <v>366</v>
      </c>
      <c r="B367" s="42">
        <v>17422</v>
      </c>
      <c r="C367" s="39" t="s">
        <v>1237</v>
      </c>
      <c r="D367" s="39" t="s">
        <v>1236</v>
      </c>
      <c r="E367" s="39" t="s">
        <v>528</v>
      </c>
    </row>
    <row r="368" spans="1:5" ht="15.75" customHeight="1" x14ac:dyDescent="0.2">
      <c r="C368" s="39"/>
      <c r="D368" s="39"/>
      <c r="E368" s="39"/>
    </row>
    <row r="369" spans="3:5" ht="15.75" customHeight="1" x14ac:dyDescent="0.2">
      <c r="C369" s="39"/>
      <c r="D369" s="39"/>
      <c r="E369" s="39"/>
    </row>
    <row r="370" spans="3:5" ht="15.75" customHeight="1" x14ac:dyDescent="0.2">
      <c r="C370" s="39"/>
      <c r="D370" s="39"/>
      <c r="E370" s="39"/>
    </row>
    <row r="371" spans="3:5" ht="15.75" customHeight="1" x14ac:dyDescent="0.2">
      <c r="C371" s="39"/>
      <c r="D371" s="39"/>
      <c r="E371" s="39"/>
    </row>
    <row r="372" spans="3:5" ht="15.75" customHeight="1" x14ac:dyDescent="0.2">
      <c r="C372" s="39"/>
      <c r="D372" s="39"/>
      <c r="E372" s="39"/>
    </row>
    <row r="373" spans="3:5" ht="15.75" customHeight="1" x14ac:dyDescent="0.2">
      <c r="C373" s="39"/>
      <c r="D373" s="39"/>
      <c r="E373" s="39"/>
    </row>
    <row r="374" spans="3:5" ht="15.75" customHeight="1" x14ac:dyDescent="0.2">
      <c r="C374" s="39"/>
      <c r="D374" s="39"/>
      <c r="E374" s="39"/>
    </row>
    <row r="375" spans="3:5" ht="15.75" customHeight="1" x14ac:dyDescent="0.2">
      <c r="C375" s="39"/>
      <c r="D375" s="39"/>
      <c r="E375" s="39"/>
    </row>
    <row r="376" spans="3:5" ht="15.75" customHeight="1" x14ac:dyDescent="0.2">
      <c r="C376" s="39"/>
      <c r="D376" s="39"/>
      <c r="E376" s="39"/>
    </row>
    <row r="377" spans="3:5" ht="15.75" customHeight="1" x14ac:dyDescent="0.2">
      <c r="C377" s="39"/>
      <c r="D377" s="39"/>
      <c r="E377" s="39"/>
    </row>
    <row r="378" spans="3:5" ht="15.75" customHeight="1" x14ac:dyDescent="0.2">
      <c r="C378" s="39"/>
      <c r="D378" s="39"/>
      <c r="E378" s="39"/>
    </row>
    <row r="379" spans="3:5" ht="15.75" customHeight="1" x14ac:dyDescent="0.2">
      <c r="C379" s="39"/>
      <c r="D379" s="39"/>
      <c r="E379" s="39"/>
    </row>
    <row r="380" spans="3:5" ht="15.75" customHeight="1" x14ac:dyDescent="0.2">
      <c r="C380" s="39"/>
      <c r="D380" s="39"/>
      <c r="E380" s="39"/>
    </row>
    <row r="381" spans="3:5" ht="15.75" customHeight="1" x14ac:dyDescent="0.2">
      <c r="C381" s="39"/>
      <c r="D381" s="39"/>
      <c r="E381" s="39"/>
    </row>
    <row r="382" spans="3:5" ht="15.75" customHeight="1" x14ac:dyDescent="0.2">
      <c r="C382" s="39"/>
      <c r="D382" s="39"/>
      <c r="E382" s="39"/>
    </row>
    <row r="383" spans="3:5" ht="15.75" customHeight="1" x14ac:dyDescent="0.2">
      <c r="C383" s="39"/>
      <c r="D383" s="39"/>
      <c r="E383" s="39"/>
    </row>
    <row r="384" spans="3:5" ht="15.75" customHeight="1" x14ac:dyDescent="0.2">
      <c r="C384" s="39"/>
      <c r="D384" s="39"/>
      <c r="E384" s="39"/>
    </row>
    <row r="385" spans="3:5" ht="15.75" customHeight="1" x14ac:dyDescent="0.2">
      <c r="C385" s="39"/>
      <c r="D385" s="39"/>
      <c r="E385" s="39"/>
    </row>
    <row r="386" spans="3:5" ht="15.75" customHeight="1" x14ac:dyDescent="0.2">
      <c r="C386" s="39"/>
      <c r="D386" s="39"/>
      <c r="E386" s="39"/>
    </row>
    <row r="387" spans="3:5" ht="15.75" customHeight="1" x14ac:dyDescent="0.2">
      <c r="C387" s="39"/>
      <c r="D387" s="39"/>
      <c r="E387" s="39"/>
    </row>
    <row r="388" spans="3:5" ht="15.75" customHeight="1" x14ac:dyDescent="0.2">
      <c r="C388" s="39"/>
      <c r="D388" s="39"/>
      <c r="E388" s="39"/>
    </row>
    <row r="389" spans="3:5" ht="15.75" customHeight="1" x14ac:dyDescent="0.2">
      <c r="C389" s="39"/>
      <c r="D389" s="39"/>
      <c r="E389" s="39"/>
    </row>
    <row r="390" spans="3:5" ht="15.75" customHeight="1" x14ac:dyDescent="0.2">
      <c r="C390" s="39"/>
      <c r="D390" s="39"/>
      <c r="E390" s="39"/>
    </row>
    <row r="391" spans="3:5" ht="15.75" customHeight="1" x14ac:dyDescent="0.2">
      <c r="C391" s="39"/>
      <c r="D391" s="39"/>
      <c r="E391" s="39"/>
    </row>
    <row r="392" spans="3:5" ht="15.75" customHeight="1" x14ac:dyDescent="0.2">
      <c r="C392" s="39"/>
      <c r="D392" s="39"/>
      <c r="E392" s="39"/>
    </row>
    <row r="393" spans="3:5" ht="15.75" customHeight="1" x14ac:dyDescent="0.2">
      <c r="C393" s="39"/>
      <c r="D393" s="39"/>
      <c r="E393" s="39"/>
    </row>
    <row r="394" spans="3:5" ht="15.75" customHeight="1" x14ac:dyDescent="0.2">
      <c r="C394" s="39"/>
      <c r="D394" s="39"/>
      <c r="E394" s="39"/>
    </row>
    <row r="395" spans="3:5" ht="15.75" customHeight="1" x14ac:dyDescent="0.2">
      <c r="C395" s="39"/>
      <c r="D395" s="39"/>
      <c r="E395" s="39"/>
    </row>
    <row r="396" spans="3:5" ht="15.75" customHeight="1" x14ac:dyDescent="0.2">
      <c r="C396" s="39"/>
      <c r="D396" s="39"/>
      <c r="E396" s="39"/>
    </row>
    <row r="397" spans="3:5" ht="15.75" customHeight="1" x14ac:dyDescent="0.2">
      <c r="C397" s="39"/>
      <c r="D397" s="39"/>
      <c r="E397" s="39"/>
    </row>
    <row r="398" spans="3:5" ht="15.75" customHeight="1" x14ac:dyDescent="0.2">
      <c r="C398" s="39"/>
      <c r="D398" s="39"/>
      <c r="E398" s="39"/>
    </row>
    <row r="399" spans="3:5" ht="15.75" customHeight="1" x14ac:dyDescent="0.2">
      <c r="C399" s="39"/>
      <c r="D399" s="39"/>
      <c r="E399" s="39"/>
    </row>
    <row r="400" spans="3:5" ht="15.75" customHeight="1" x14ac:dyDescent="0.2">
      <c r="C400" s="39"/>
      <c r="D400" s="39"/>
      <c r="E400" s="39"/>
    </row>
    <row r="401" spans="3:5" ht="15.75" customHeight="1" x14ac:dyDescent="0.2">
      <c r="C401" s="39"/>
      <c r="D401" s="39"/>
      <c r="E401" s="39"/>
    </row>
    <row r="402" spans="3:5" ht="15.75" customHeight="1" x14ac:dyDescent="0.2">
      <c r="C402" s="39"/>
      <c r="D402" s="39"/>
      <c r="E402" s="39"/>
    </row>
    <row r="403" spans="3:5" ht="15.75" customHeight="1" x14ac:dyDescent="0.2">
      <c r="C403" s="39"/>
      <c r="D403" s="39"/>
      <c r="E403" s="39"/>
    </row>
    <row r="404" spans="3:5" ht="15.75" customHeight="1" x14ac:dyDescent="0.2">
      <c r="C404" s="39"/>
      <c r="D404" s="39"/>
      <c r="E404" s="39"/>
    </row>
    <row r="405" spans="3:5" ht="15.75" customHeight="1" x14ac:dyDescent="0.2">
      <c r="C405" s="39"/>
      <c r="D405" s="39"/>
      <c r="E405" s="39"/>
    </row>
    <row r="406" spans="3:5" ht="15.75" customHeight="1" x14ac:dyDescent="0.2">
      <c r="C406" s="39"/>
      <c r="D406" s="39"/>
      <c r="E406" s="39"/>
    </row>
    <row r="407" spans="3:5" ht="15.75" customHeight="1" x14ac:dyDescent="0.2">
      <c r="C407" s="39"/>
      <c r="D407" s="39"/>
      <c r="E407" s="39"/>
    </row>
    <row r="408" spans="3:5" ht="15.75" customHeight="1" x14ac:dyDescent="0.2">
      <c r="C408" s="39"/>
      <c r="D408" s="39"/>
      <c r="E408" s="39"/>
    </row>
    <row r="409" spans="3:5" ht="15.75" customHeight="1" x14ac:dyDescent="0.2">
      <c r="C409" s="39"/>
      <c r="D409" s="39"/>
      <c r="E409" s="39"/>
    </row>
    <row r="410" spans="3:5" ht="15.75" customHeight="1" x14ac:dyDescent="0.2">
      <c r="C410" s="39"/>
      <c r="D410" s="39"/>
      <c r="E410" s="39"/>
    </row>
    <row r="411" spans="3:5" ht="15.75" customHeight="1" x14ac:dyDescent="0.2">
      <c r="C411" s="39"/>
      <c r="D411" s="39"/>
      <c r="E411" s="39"/>
    </row>
    <row r="412" spans="3:5" ht="15.75" customHeight="1" x14ac:dyDescent="0.2">
      <c r="C412" s="39"/>
      <c r="D412" s="39"/>
      <c r="E412" s="39"/>
    </row>
    <row r="413" spans="3:5" ht="15.75" customHeight="1" x14ac:dyDescent="0.2">
      <c r="C413" s="39"/>
      <c r="D413" s="39"/>
      <c r="E413" s="39"/>
    </row>
    <row r="414" spans="3:5" ht="15.75" customHeight="1" x14ac:dyDescent="0.2">
      <c r="C414" s="39"/>
      <c r="D414" s="39"/>
      <c r="E414" s="39"/>
    </row>
    <row r="415" spans="3:5" ht="15.75" customHeight="1" x14ac:dyDescent="0.2">
      <c r="C415" s="39"/>
      <c r="D415" s="39"/>
      <c r="E415" s="39"/>
    </row>
    <row r="416" spans="3:5" ht="15.75" customHeight="1" x14ac:dyDescent="0.2">
      <c r="C416" s="39"/>
      <c r="D416" s="39"/>
      <c r="E416" s="39"/>
    </row>
    <row r="417" spans="3:5" ht="15.75" customHeight="1" x14ac:dyDescent="0.2">
      <c r="C417" s="39"/>
      <c r="D417" s="39"/>
      <c r="E417" s="39"/>
    </row>
    <row r="418" spans="3:5" ht="15.75" customHeight="1" x14ac:dyDescent="0.2">
      <c r="C418" s="39"/>
      <c r="D418" s="39"/>
      <c r="E418" s="39"/>
    </row>
    <row r="419" spans="3:5" ht="15.75" customHeight="1" x14ac:dyDescent="0.2">
      <c r="C419" s="39"/>
      <c r="D419" s="39"/>
      <c r="E419" s="39"/>
    </row>
    <row r="420" spans="3:5" ht="15.75" customHeight="1" x14ac:dyDescent="0.2">
      <c r="C420" s="39"/>
      <c r="D420" s="39"/>
      <c r="E420" s="39"/>
    </row>
    <row r="421" spans="3:5" ht="15.75" customHeight="1" x14ac:dyDescent="0.2">
      <c r="C421" s="39"/>
      <c r="D421" s="39"/>
      <c r="E421" s="39"/>
    </row>
    <row r="422" spans="3:5" ht="15.75" customHeight="1" x14ac:dyDescent="0.2">
      <c r="C422" s="39"/>
      <c r="D422" s="39"/>
      <c r="E422" s="39"/>
    </row>
    <row r="423" spans="3:5" ht="15.75" customHeight="1" x14ac:dyDescent="0.2">
      <c r="C423" s="39"/>
      <c r="D423" s="39"/>
      <c r="E423" s="39"/>
    </row>
    <row r="424" spans="3:5" ht="15.75" customHeight="1" x14ac:dyDescent="0.2">
      <c r="C424" s="39"/>
      <c r="D424" s="39"/>
      <c r="E424" s="39"/>
    </row>
    <row r="425" spans="3:5" ht="15.75" customHeight="1" x14ac:dyDescent="0.2">
      <c r="C425" s="39"/>
      <c r="D425" s="39"/>
      <c r="E425" s="39"/>
    </row>
    <row r="426" spans="3:5" ht="15.75" customHeight="1" x14ac:dyDescent="0.2">
      <c r="C426" s="39"/>
      <c r="D426" s="39"/>
      <c r="E426" s="39"/>
    </row>
    <row r="427" spans="3:5" ht="15.75" customHeight="1" x14ac:dyDescent="0.2">
      <c r="C427" s="39"/>
      <c r="D427" s="39"/>
      <c r="E427" s="39"/>
    </row>
    <row r="428" spans="3:5" ht="15.75" customHeight="1" x14ac:dyDescent="0.2">
      <c r="C428" s="39"/>
      <c r="D428" s="39"/>
      <c r="E428" s="39"/>
    </row>
    <row r="429" spans="3:5" ht="15.75" customHeight="1" x14ac:dyDescent="0.2">
      <c r="C429" s="39"/>
      <c r="D429" s="39"/>
      <c r="E429" s="39"/>
    </row>
    <row r="430" spans="3:5" ht="15.75" customHeight="1" x14ac:dyDescent="0.2">
      <c r="C430" s="39"/>
      <c r="D430" s="39"/>
      <c r="E430" s="39"/>
    </row>
    <row r="431" spans="3:5" ht="15.75" customHeight="1" x14ac:dyDescent="0.2">
      <c r="C431" s="39"/>
      <c r="D431" s="39"/>
      <c r="E431" s="39"/>
    </row>
    <row r="432" spans="3:5" ht="15.75" customHeight="1" x14ac:dyDescent="0.2">
      <c r="C432" s="39"/>
      <c r="D432" s="39"/>
      <c r="E432" s="39"/>
    </row>
    <row r="433" spans="3:5" ht="15.75" customHeight="1" x14ac:dyDescent="0.2">
      <c r="C433" s="39"/>
      <c r="D433" s="39"/>
      <c r="E433" s="39"/>
    </row>
    <row r="434" spans="3:5" ht="15.75" customHeight="1" x14ac:dyDescent="0.2">
      <c r="C434" s="39"/>
      <c r="D434" s="39"/>
      <c r="E434" s="39"/>
    </row>
    <row r="435" spans="3:5" ht="15.75" customHeight="1" x14ac:dyDescent="0.2">
      <c r="C435" s="39"/>
      <c r="D435" s="39"/>
      <c r="E435" s="39"/>
    </row>
    <row r="436" spans="3:5" ht="15.75" customHeight="1" x14ac:dyDescent="0.2">
      <c r="C436" s="39"/>
      <c r="D436" s="39"/>
      <c r="E436" s="39"/>
    </row>
    <row r="437" spans="3:5" ht="15.75" customHeight="1" x14ac:dyDescent="0.2">
      <c r="C437" s="39"/>
      <c r="D437" s="39"/>
      <c r="E437" s="39"/>
    </row>
    <row r="438" spans="3:5" ht="15.75" customHeight="1" x14ac:dyDescent="0.2">
      <c r="C438" s="39"/>
      <c r="D438" s="39"/>
      <c r="E438" s="39"/>
    </row>
    <row r="439" spans="3:5" ht="15.75" customHeight="1" x14ac:dyDescent="0.2">
      <c r="C439" s="39"/>
      <c r="D439" s="39"/>
      <c r="E439" s="39"/>
    </row>
    <row r="440" spans="3:5" ht="15.75" customHeight="1" x14ac:dyDescent="0.2">
      <c r="C440" s="39"/>
      <c r="D440" s="39"/>
      <c r="E440" s="39"/>
    </row>
    <row r="441" spans="3:5" ht="15.75" customHeight="1" x14ac:dyDescent="0.2">
      <c r="C441" s="39"/>
      <c r="D441" s="39"/>
      <c r="E441" s="39"/>
    </row>
    <row r="442" spans="3:5" ht="15.75" customHeight="1" x14ac:dyDescent="0.2">
      <c r="C442" s="39"/>
      <c r="D442" s="39"/>
      <c r="E442" s="39"/>
    </row>
    <row r="443" spans="3:5" ht="15.75" customHeight="1" x14ac:dyDescent="0.2">
      <c r="C443" s="39"/>
      <c r="D443" s="39"/>
      <c r="E443" s="39"/>
    </row>
    <row r="444" spans="3:5" ht="15.75" customHeight="1" x14ac:dyDescent="0.2">
      <c r="C444" s="39"/>
      <c r="D444" s="39"/>
      <c r="E444" s="39"/>
    </row>
    <row r="445" spans="3:5" ht="15.75" customHeight="1" x14ac:dyDescent="0.2">
      <c r="C445" s="39"/>
      <c r="D445" s="39"/>
      <c r="E445" s="39"/>
    </row>
    <row r="446" spans="3:5" ht="15.75" customHeight="1" x14ac:dyDescent="0.2">
      <c r="C446" s="39"/>
      <c r="D446" s="39"/>
      <c r="E446" s="39"/>
    </row>
    <row r="447" spans="3:5" ht="15.75" customHeight="1" x14ac:dyDescent="0.2">
      <c r="C447" s="39"/>
      <c r="D447" s="39"/>
      <c r="E447" s="39"/>
    </row>
    <row r="448" spans="3:5" ht="15.75" customHeight="1" x14ac:dyDescent="0.2">
      <c r="C448" s="39"/>
      <c r="D448" s="39"/>
      <c r="E448" s="39"/>
    </row>
    <row r="449" spans="3:5" ht="15.75" customHeight="1" x14ac:dyDescent="0.2">
      <c r="C449" s="39"/>
      <c r="D449" s="39"/>
      <c r="E449" s="39"/>
    </row>
    <row r="450" spans="3:5" ht="15.75" customHeight="1" x14ac:dyDescent="0.2">
      <c r="C450" s="39"/>
      <c r="D450" s="39"/>
      <c r="E450" s="39"/>
    </row>
    <row r="451" spans="3:5" ht="15.75" customHeight="1" x14ac:dyDescent="0.2">
      <c r="C451" s="39"/>
      <c r="D451" s="39"/>
      <c r="E451" s="39"/>
    </row>
    <row r="452" spans="3:5" ht="15.75" customHeight="1" x14ac:dyDescent="0.2">
      <c r="C452" s="39"/>
      <c r="D452" s="39"/>
      <c r="E452" s="39"/>
    </row>
    <row r="453" spans="3:5" ht="15.75" customHeight="1" x14ac:dyDescent="0.2">
      <c r="C453" s="39"/>
      <c r="D453" s="39"/>
      <c r="E453" s="39"/>
    </row>
    <row r="454" spans="3:5" ht="15.75" customHeight="1" x14ac:dyDescent="0.2">
      <c r="C454" s="39"/>
      <c r="D454" s="39"/>
      <c r="E454" s="39"/>
    </row>
    <row r="455" spans="3:5" ht="15.75" customHeight="1" x14ac:dyDescent="0.2">
      <c r="C455" s="39"/>
      <c r="D455" s="39"/>
      <c r="E455" s="39"/>
    </row>
    <row r="456" spans="3:5" ht="15.75" customHeight="1" x14ac:dyDescent="0.2">
      <c r="C456" s="39"/>
      <c r="D456" s="39"/>
      <c r="E456" s="39"/>
    </row>
    <row r="457" spans="3:5" ht="15.75" customHeight="1" x14ac:dyDescent="0.2">
      <c r="C457" s="39"/>
      <c r="D457" s="39"/>
      <c r="E457" s="39"/>
    </row>
    <row r="458" spans="3:5" ht="15.75" customHeight="1" x14ac:dyDescent="0.2">
      <c r="C458" s="39"/>
      <c r="D458" s="39"/>
      <c r="E458" s="39"/>
    </row>
    <row r="459" spans="3:5" ht="15.75" customHeight="1" x14ac:dyDescent="0.2">
      <c r="C459" s="39"/>
      <c r="D459" s="39"/>
      <c r="E459" s="39"/>
    </row>
    <row r="460" spans="3:5" ht="15.75" customHeight="1" x14ac:dyDescent="0.2">
      <c r="C460" s="39"/>
      <c r="D460" s="39"/>
      <c r="E460" s="39"/>
    </row>
    <row r="461" spans="3:5" ht="15.75" customHeight="1" x14ac:dyDescent="0.2">
      <c r="C461" s="39"/>
      <c r="D461" s="39"/>
      <c r="E461" s="39"/>
    </row>
    <row r="462" spans="3:5" ht="15.75" customHeight="1" x14ac:dyDescent="0.2">
      <c r="C462" s="39"/>
      <c r="D462" s="39"/>
      <c r="E462" s="39"/>
    </row>
    <row r="463" spans="3:5" ht="15.75" customHeight="1" x14ac:dyDescent="0.2">
      <c r="C463" s="39"/>
      <c r="D463" s="39"/>
      <c r="E463" s="39"/>
    </row>
    <row r="464" spans="3:5" ht="15.75" customHeight="1" x14ac:dyDescent="0.2">
      <c r="C464" s="39"/>
      <c r="D464" s="39"/>
      <c r="E464" s="39"/>
    </row>
    <row r="465" spans="3:5" ht="15.75" customHeight="1" x14ac:dyDescent="0.2">
      <c r="C465" s="39"/>
      <c r="D465" s="39"/>
      <c r="E465" s="39"/>
    </row>
    <row r="466" spans="3:5" ht="15.75" customHeight="1" x14ac:dyDescent="0.2">
      <c r="C466" s="39"/>
      <c r="D466" s="39"/>
      <c r="E466" s="39"/>
    </row>
    <row r="467" spans="3:5" ht="15.75" customHeight="1" x14ac:dyDescent="0.2">
      <c r="C467" s="39"/>
      <c r="D467" s="39"/>
      <c r="E467" s="39"/>
    </row>
    <row r="468" spans="3:5" ht="15.75" customHeight="1" x14ac:dyDescent="0.2">
      <c r="C468" s="39"/>
      <c r="D468" s="39"/>
      <c r="E468" s="39"/>
    </row>
    <row r="469" spans="3:5" ht="15.75" customHeight="1" x14ac:dyDescent="0.2">
      <c r="C469" s="39"/>
      <c r="D469" s="39"/>
      <c r="E469" s="39"/>
    </row>
    <row r="470" spans="3:5" ht="15.75" customHeight="1" x14ac:dyDescent="0.2">
      <c r="C470" s="39"/>
      <c r="D470" s="39"/>
      <c r="E470" s="39"/>
    </row>
    <row r="471" spans="3:5" ht="15.75" customHeight="1" x14ac:dyDescent="0.2">
      <c r="C471" s="39"/>
      <c r="D471" s="39"/>
      <c r="E471" s="39"/>
    </row>
    <row r="472" spans="3:5" ht="15.75" customHeight="1" x14ac:dyDescent="0.2">
      <c r="C472" s="39"/>
      <c r="D472" s="39"/>
      <c r="E472" s="39"/>
    </row>
    <row r="473" spans="3:5" ht="15.75" customHeight="1" x14ac:dyDescent="0.2">
      <c r="C473" s="39"/>
      <c r="D473" s="39"/>
      <c r="E473" s="39"/>
    </row>
    <row r="474" spans="3:5" ht="15.75" customHeight="1" x14ac:dyDescent="0.2">
      <c r="C474" s="39"/>
      <c r="D474" s="39"/>
      <c r="E474" s="39"/>
    </row>
    <row r="475" spans="3:5" ht="15.75" customHeight="1" x14ac:dyDescent="0.2">
      <c r="C475" s="39"/>
      <c r="D475" s="39"/>
      <c r="E475" s="39"/>
    </row>
    <row r="476" spans="3:5" ht="15.75" customHeight="1" x14ac:dyDescent="0.2">
      <c r="C476" s="39"/>
      <c r="D476" s="39"/>
      <c r="E476" s="39"/>
    </row>
    <row r="477" spans="3:5" ht="15.75" customHeight="1" x14ac:dyDescent="0.2">
      <c r="C477" s="39"/>
      <c r="D477" s="39"/>
      <c r="E477" s="39"/>
    </row>
    <row r="478" spans="3:5" ht="15.75" customHeight="1" x14ac:dyDescent="0.2">
      <c r="C478" s="39"/>
      <c r="D478" s="39"/>
      <c r="E478" s="39"/>
    </row>
    <row r="479" spans="3:5" ht="15.75" customHeight="1" x14ac:dyDescent="0.2">
      <c r="C479" s="39"/>
      <c r="D479" s="39"/>
      <c r="E479" s="39"/>
    </row>
    <row r="480" spans="3:5" ht="15.75" customHeight="1" x14ac:dyDescent="0.2">
      <c r="C480" s="39"/>
      <c r="D480" s="39"/>
      <c r="E480" s="39"/>
    </row>
    <row r="481" spans="3:5" ht="15.75" customHeight="1" x14ac:dyDescent="0.2">
      <c r="C481" s="39"/>
      <c r="D481" s="39"/>
      <c r="E481" s="39"/>
    </row>
    <row r="482" spans="3:5" ht="15.75" customHeight="1" x14ac:dyDescent="0.2">
      <c r="C482" s="39"/>
      <c r="D482" s="39"/>
      <c r="E482" s="39"/>
    </row>
    <row r="483" spans="3:5" ht="15.75" customHeight="1" x14ac:dyDescent="0.2">
      <c r="C483" s="39"/>
      <c r="D483" s="39"/>
      <c r="E483" s="39"/>
    </row>
    <row r="484" spans="3:5" ht="15.75" customHeight="1" x14ac:dyDescent="0.2">
      <c r="C484" s="39"/>
      <c r="D484" s="39"/>
      <c r="E484" s="39"/>
    </row>
    <row r="485" spans="3:5" ht="15.75" customHeight="1" x14ac:dyDescent="0.2">
      <c r="C485" s="39"/>
      <c r="D485" s="39"/>
      <c r="E485" s="39"/>
    </row>
    <row r="486" spans="3:5" ht="15.75" customHeight="1" x14ac:dyDescent="0.2">
      <c r="C486" s="39"/>
      <c r="D486" s="39"/>
      <c r="E486" s="39"/>
    </row>
    <row r="487" spans="3:5" ht="15.75" customHeight="1" x14ac:dyDescent="0.2">
      <c r="C487" s="39"/>
      <c r="D487" s="39"/>
      <c r="E487" s="39"/>
    </row>
    <row r="488" spans="3:5" ht="15.75" customHeight="1" x14ac:dyDescent="0.2">
      <c r="C488" s="39"/>
      <c r="D488" s="39"/>
      <c r="E488" s="39"/>
    </row>
    <row r="489" spans="3:5" ht="15.75" customHeight="1" x14ac:dyDescent="0.2">
      <c r="C489" s="39"/>
      <c r="D489" s="39"/>
      <c r="E489" s="39"/>
    </row>
    <row r="490" spans="3:5" ht="15.75" customHeight="1" x14ac:dyDescent="0.2">
      <c r="C490" s="39"/>
      <c r="D490" s="39"/>
      <c r="E490" s="39"/>
    </row>
    <row r="491" spans="3:5" ht="15.75" customHeight="1" x14ac:dyDescent="0.2">
      <c r="C491" s="39"/>
      <c r="D491" s="39"/>
      <c r="E491" s="39"/>
    </row>
    <row r="492" spans="3:5" ht="15.75" customHeight="1" x14ac:dyDescent="0.2">
      <c r="C492" s="39"/>
      <c r="D492" s="39"/>
      <c r="E492" s="39"/>
    </row>
    <row r="493" spans="3:5" ht="15.75" customHeight="1" x14ac:dyDescent="0.2">
      <c r="C493" s="39"/>
      <c r="D493" s="39"/>
      <c r="E493" s="39"/>
    </row>
    <row r="494" spans="3:5" ht="15.75" customHeight="1" x14ac:dyDescent="0.2">
      <c r="C494" s="39"/>
      <c r="D494" s="39"/>
      <c r="E494" s="39"/>
    </row>
    <row r="495" spans="3:5" ht="15.75" customHeight="1" x14ac:dyDescent="0.2">
      <c r="C495" s="39"/>
      <c r="D495" s="39"/>
      <c r="E495" s="39"/>
    </row>
    <row r="496" spans="3:5" ht="15.75" customHeight="1" x14ac:dyDescent="0.2">
      <c r="C496" s="39"/>
      <c r="D496" s="39"/>
      <c r="E496" s="39"/>
    </row>
    <row r="497" spans="3:5" ht="15.75" customHeight="1" x14ac:dyDescent="0.2">
      <c r="C497" s="39"/>
      <c r="D497" s="39"/>
      <c r="E497" s="39"/>
    </row>
    <row r="498" spans="3:5" ht="15.75" customHeight="1" x14ac:dyDescent="0.2">
      <c r="C498" s="39"/>
      <c r="D498" s="39"/>
      <c r="E498" s="39"/>
    </row>
    <row r="499" spans="3:5" ht="15.75" customHeight="1" x14ac:dyDescent="0.2">
      <c r="C499" s="39"/>
      <c r="D499" s="39"/>
      <c r="E499" s="39"/>
    </row>
    <row r="500" spans="3:5" ht="15.75" customHeight="1" x14ac:dyDescent="0.2">
      <c r="C500" s="39"/>
      <c r="D500" s="39"/>
      <c r="E500" s="39"/>
    </row>
    <row r="501" spans="3:5" ht="15.75" customHeight="1" x14ac:dyDescent="0.2">
      <c r="C501" s="39"/>
      <c r="D501" s="39"/>
      <c r="E501" s="39"/>
    </row>
    <row r="502" spans="3:5" ht="15.75" customHeight="1" x14ac:dyDescent="0.2">
      <c r="C502" s="39"/>
      <c r="D502" s="39"/>
      <c r="E502" s="39"/>
    </row>
    <row r="503" spans="3:5" ht="15.75" customHeight="1" x14ac:dyDescent="0.2">
      <c r="C503" s="39"/>
      <c r="D503" s="39"/>
      <c r="E503" s="39"/>
    </row>
    <row r="504" spans="3:5" ht="15.75" customHeight="1" x14ac:dyDescent="0.2">
      <c r="C504" s="39"/>
      <c r="D504" s="39"/>
      <c r="E504" s="39"/>
    </row>
    <row r="505" spans="3:5" ht="15.75" customHeight="1" x14ac:dyDescent="0.2">
      <c r="C505" s="39"/>
      <c r="D505" s="39"/>
      <c r="E505" s="39"/>
    </row>
    <row r="506" spans="3:5" ht="15.75" customHeight="1" x14ac:dyDescent="0.2">
      <c r="C506" s="39"/>
      <c r="D506" s="39"/>
      <c r="E506" s="39"/>
    </row>
    <row r="507" spans="3:5" ht="15.75" customHeight="1" x14ac:dyDescent="0.2">
      <c r="C507" s="39"/>
      <c r="D507" s="39"/>
      <c r="E507" s="39"/>
    </row>
    <row r="508" spans="3:5" ht="15.75" customHeight="1" x14ac:dyDescent="0.2">
      <c r="C508" s="39"/>
      <c r="D508" s="39"/>
      <c r="E508" s="39"/>
    </row>
    <row r="509" spans="3:5" ht="15.75" customHeight="1" x14ac:dyDescent="0.2">
      <c r="C509" s="39"/>
      <c r="D509" s="39"/>
      <c r="E509" s="39"/>
    </row>
    <row r="510" spans="3:5" ht="15.75" customHeight="1" x14ac:dyDescent="0.2">
      <c r="C510" s="39"/>
      <c r="D510" s="39"/>
      <c r="E510" s="39"/>
    </row>
    <row r="511" spans="3:5" ht="15.75" customHeight="1" x14ac:dyDescent="0.2">
      <c r="C511" s="39"/>
      <c r="D511" s="39"/>
      <c r="E511" s="39"/>
    </row>
    <row r="512" spans="3:5" ht="15.75" customHeight="1" x14ac:dyDescent="0.2">
      <c r="C512" s="39"/>
      <c r="D512" s="39"/>
      <c r="E512" s="39"/>
    </row>
    <row r="513" spans="3:5" ht="15.75" customHeight="1" x14ac:dyDescent="0.2">
      <c r="C513" s="39"/>
      <c r="D513" s="39"/>
      <c r="E513" s="39"/>
    </row>
    <row r="514" spans="3:5" ht="15.75" customHeight="1" x14ac:dyDescent="0.2">
      <c r="C514" s="39"/>
      <c r="D514" s="39"/>
      <c r="E514" s="39"/>
    </row>
    <row r="515" spans="3:5" ht="15.75" customHeight="1" x14ac:dyDescent="0.2">
      <c r="C515" s="39"/>
      <c r="D515" s="39"/>
      <c r="E515" s="39"/>
    </row>
    <row r="516" spans="3:5" ht="15.75" customHeight="1" x14ac:dyDescent="0.2">
      <c r="C516" s="39"/>
      <c r="D516" s="39"/>
      <c r="E516" s="39"/>
    </row>
    <row r="517" spans="3:5" ht="15.75" customHeight="1" x14ac:dyDescent="0.2">
      <c r="C517" s="39"/>
      <c r="D517" s="39"/>
      <c r="E517" s="39"/>
    </row>
    <row r="518" spans="3:5" ht="15.75" customHeight="1" x14ac:dyDescent="0.2">
      <c r="C518" s="39"/>
      <c r="D518" s="39"/>
      <c r="E518" s="39"/>
    </row>
    <row r="519" spans="3:5" ht="15.75" customHeight="1" x14ac:dyDescent="0.2">
      <c r="C519" s="39"/>
      <c r="D519" s="39"/>
      <c r="E519" s="39"/>
    </row>
    <row r="520" spans="3:5" ht="15.75" customHeight="1" x14ac:dyDescent="0.2">
      <c r="C520" s="39"/>
      <c r="D520" s="39"/>
      <c r="E520" s="39"/>
    </row>
    <row r="521" spans="3:5" ht="15.75" customHeight="1" x14ac:dyDescent="0.2">
      <c r="C521" s="39"/>
      <c r="D521" s="39"/>
      <c r="E521" s="39"/>
    </row>
    <row r="522" spans="3:5" ht="15.75" customHeight="1" x14ac:dyDescent="0.2">
      <c r="C522" s="39"/>
      <c r="D522" s="39"/>
      <c r="E522" s="39"/>
    </row>
    <row r="523" spans="3:5" ht="15.75" customHeight="1" x14ac:dyDescent="0.2">
      <c r="C523" s="39"/>
      <c r="D523" s="39"/>
      <c r="E523" s="39"/>
    </row>
    <row r="524" spans="3:5" ht="15.75" customHeight="1" x14ac:dyDescent="0.2">
      <c r="C524" s="39"/>
      <c r="D524" s="39"/>
      <c r="E524" s="39"/>
    </row>
    <row r="525" spans="3:5" ht="15.75" customHeight="1" x14ac:dyDescent="0.2">
      <c r="C525" s="39"/>
      <c r="D525" s="39"/>
      <c r="E525" s="39"/>
    </row>
    <row r="526" spans="3:5" ht="15.75" customHeight="1" x14ac:dyDescent="0.2">
      <c r="C526" s="39"/>
      <c r="D526" s="39"/>
      <c r="E526" s="39"/>
    </row>
    <row r="527" spans="3:5" ht="15.75" customHeight="1" x14ac:dyDescent="0.2">
      <c r="C527" s="39"/>
      <c r="D527" s="39"/>
      <c r="E527" s="39"/>
    </row>
    <row r="528" spans="3:5" ht="15.75" customHeight="1" x14ac:dyDescent="0.2">
      <c r="C528" s="39"/>
      <c r="D528" s="39"/>
      <c r="E528" s="39"/>
    </row>
    <row r="529" spans="3:5" ht="15.75" customHeight="1" x14ac:dyDescent="0.2">
      <c r="C529" s="39"/>
      <c r="D529" s="39"/>
      <c r="E529" s="39"/>
    </row>
    <row r="530" spans="3:5" ht="15.75" customHeight="1" x14ac:dyDescent="0.2">
      <c r="C530" s="39"/>
      <c r="D530" s="39"/>
      <c r="E530" s="39"/>
    </row>
    <row r="531" spans="3:5" ht="15.75" customHeight="1" x14ac:dyDescent="0.2">
      <c r="C531" s="39"/>
      <c r="D531" s="39"/>
      <c r="E531" s="39"/>
    </row>
    <row r="532" spans="3:5" ht="15.75" customHeight="1" x14ac:dyDescent="0.2">
      <c r="C532" s="39"/>
      <c r="D532" s="39"/>
      <c r="E532" s="39"/>
    </row>
    <row r="533" spans="3:5" ht="15.75" customHeight="1" x14ac:dyDescent="0.2">
      <c r="C533" s="39"/>
      <c r="D533" s="39"/>
      <c r="E533" s="39"/>
    </row>
    <row r="534" spans="3:5" ht="15.75" customHeight="1" x14ac:dyDescent="0.2">
      <c r="C534" s="39"/>
      <c r="D534" s="39"/>
      <c r="E534" s="39"/>
    </row>
    <row r="535" spans="3:5" ht="15.75" customHeight="1" x14ac:dyDescent="0.2">
      <c r="C535" s="39"/>
      <c r="D535" s="39"/>
      <c r="E535" s="39"/>
    </row>
    <row r="536" spans="3:5" ht="15.75" customHeight="1" x14ac:dyDescent="0.2">
      <c r="C536" s="39"/>
      <c r="D536" s="39"/>
      <c r="E536" s="39"/>
    </row>
    <row r="537" spans="3:5" ht="15.75" customHeight="1" x14ac:dyDescent="0.2">
      <c r="C537" s="39"/>
      <c r="D537" s="39"/>
      <c r="E537" s="39"/>
    </row>
    <row r="538" spans="3:5" ht="15.75" customHeight="1" x14ac:dyDescent="0.2">
      <c r="C538" s="39"/>
      <c r="D538" s="39"/>
      <c r="E538" s="39"/>
    </row>
    <row r="539" spans="3:5" ht="15.75" customHeight="1" x14ac:dyDescent="0.2">
      <c r="C539" s="39"/>
      <c r="D539" s="39"/>
      <c r="E539" s="39"/>
    </row>
    <row r="540" spans="3:5" ht="15.75" customHeight="1" x14ac:dyDescent="0.2">
      <c r="C540" s="39"/>
      <c r="D540" s="39"/>
      <c r="E540" s="39"/>
    </row>
    <row r="541" spans="3:5" ht="15.75" customHeight="1" x14ac:dyDescent="0.2">
      <c r="C541" s="39"/>
      <c r="D541" s="39"/>
      <c r="E541" s="39"/>
    </row>
    <row r="542" spans="3:5" ht="15.75" customHeight="1" x14ac:dyDescent="0.2">
      <c r="C542" s="39"/>
      <c r="D542" s="39"/>
      <c r="E542" s="39"/>
    </row>
    <row r="543" spans="3:5" ht="15.75" customHeight="1" x14ac:dyDescent="0.2">
      <c r="C543" s="39"/>
      <c r="D543" s="39"/>
      <c r="E543" s="39"/>
    </row>
    <row r="544" spans="3:5" ht="15.75" customHeight="1" x14ac:dyDescent="0.2">
      <c r="C544" s="39"/>
      <c r="D544" s="39"/>
      <c r="E544" s="39"/>
    </row>
    <row r="545" spans="3:5" ht="15.75" customHeight="1" x14ac:dyDescent="0.2">
      <c r="C545" s="39"/>
      <c r="D545" s="39"/>
      <c r="E545" s="39"/>
    </row>
    <row r="546" spans="3:5" ht="15.75" customHeight="1" x14ac:dyDescent="0.2">
      <c r="C546" s="39"/>
      <c r="D546" s="39"/>
      <c r="E546" s="39"/>
    </row>
    <row r="547" spans="3:5" ht="15.75" customHeight="1" x14ac:dyDescent="0.2">
      <c r="C547" s="39"/>
      <c r="D547" s="39"/>
      <c r="E547" s="39"/>
    </row>
    <row r="548" spans="3:5" ht="15.75" customHeight="1" x14ac:dyDescent="0.2">
      <c r="C548" s="39"/>
      <c r="D548" s="39"/>
      <c r="E548" s="39"/>
    </row>
    <row r="549" spans="3:5" ht="15.75" customHeight="1" x14ac:dyDescent="0.2">
      <c r="C549" s="39"/>
      <c r="D549" s="39"/>
      <c r="E549" s="39"/>
    </row>
    <row r="550" spans="3:5" ht="15.75" customHeight="1" x14ac:dyDescent="0.2">
      <c r="C550" s="39"/>
      <c r="D550" s="39"/>
      <c r="E550" s="39"/>
    </row>
    <row r="551" spans="3:5" ht="15.75" customHeight="1" x14ac:dyDescent="0.2">
      <c r="C551" s="39"/>
      <c r="D551" s="39"/>
      <c r="E551" s="39"/>
    </row>
    <row r="552" spans="3:5" ht="15.75" customHeight="1" x14ac:dyDescent="0.2">
      <c r="C552" s="39"/>
      <c r="D552" s="39"/>
      <c r="E552" s="39"/>
    </row>
    <row r="553" spans="3:5" ht="15.75" customHeight="1" x14ac:dyDescent="0.2">
      <c r="C553" s="39"/>
      <c r="D553" s="39"/>
      <c r="E553" s="39"/>
    </row>
    <row r="554" spans="3:5" ht="15.75" customHeight="1" x14ac:dyDescent="0.2">
      <c r="C554" s="39"/>
      <c r="D554" s="39"/>
      <c r="E554" s="39"/>
    </row>
    <row r="555" spans="3:5" ht="15.75" customHeight="1" x14ac:dyDescent="0.2">
      <c r="C555" s="39"/>
      <c r="D555" s="39"/>
      <c r="E555" s="39"/>
    </row>
    <row r="556" spans="3:5" ht="15.75" customHeight="1" x14ac:dyDescent="0.2">
      <c r="C556" s="39"/>
      <c r="D556" s="39"/>
      <c r="E556" s="39"/>
    </row>
    <row r="557" spans="3:5" ht="15.75" customHeight="1" x14ac:dyDescent="0.2">
      <c r="C557" s="39"/>
      <c r="D557" s="39"/>
      <c r="E557" s="39"/>
    </row>
    <row r="558" spans="3:5" ht="15.75" customHeight="1" x14ac:dyDescent="0.2">
      <c r="C558" s="39"/>
      <c r="D558" s="39"/>
      <c r="E558" s="39"/>
    </row>
    <row r="559" spans="3:5" ht="15.75" customHeight="1" x14ac:dyDescent="0.2">
      <c r="C559" s="39"/>
      <c r="D559" s="39"/>
      <c r="E559" s="39"/>
    </row>
    <row r="560" spans="3:5" ht="15.75" customHeight="1" x14ac:dyDescent="0.2">
      <c r="C560" s="39"/>
      <c r="D560" s="39"/>
      <c r="E560" s="39"/>
    </row>
    <row r="561" spans="3:5" ht="15.75" customHeight="1" x14ac:dyDescent="0.2">
      <c r="C561" s="39"/>
      <c r="D561" s="39"/>
      <c r="E561" s="39"/>
    </row>
    <row r="562" spans="3:5" ht="15.75" customHeight="1" x14ac:dyDescent="0.2">
      <c r="C562" s="39"/>
      <c r="D562" s="39"/>
      <c r="E562" s="39"/>
    </row>
    <row r="563" spans="3:5" ht="15.75" customHeight="1" x14ac:dyDescent="0.2">
      <c r="C563" s="39"/>
      <c r="D563" s="39"/>
      <c r="E563" s="39"/>
    </row>
    <row r="564" spans="3:5" ht="15.75" customHeight="1" x14ac:dyDescent="0.2">
      <c r="C564" s="39"/>
      <c r="D564" s="39"/>
      <c r="E564" s="39"/>
    </row>
    <row r="565" spans="3:5" ht="15.75" customHeight="1" x14ac:dyDescent="0.2">
      <c r="C565" s="39"/>
      <c r="D565" s="39"/>
      <c r="E565" s="39"/>
    </row>
    <row r="566" spans="3:5" ht="15.75" customHeight="1" x14ac:dyDescent="0.2">
      <c r="C566" s="39"/>
      <c r="D566" s="39"/>
      <c r="E566" s="39"/>
    </row>
    <row r="567" spans="3:5" ht="15.75" customHeight="1" x14ac:dyDescent="0.2">
      <c r="C567" s="39"/>
      <c r="D567" s="39"/>
      <c r="E567" s="39"/>
    </row>
    <row r="568" spans="3:5" ht="15.75" customHeight="1" x14ac:dyDescent="0.2">
      <c r="C568" s="39"/>
      <c r="D568" s="39"/>
      <c r="E568" s="39"/>
    </row>
    <row r="569" spans="3:5" ht="15.75" customHeight="1" x14ac:dyDescent="0.2">
      <c r="C569" s="39"/>
      <c r="D569" s="39"/>
      <c r="E569" s="39"/>
    </row>
    <row r="570" spans="3:5" ht="15.75" customHeight="1" x14ac:dyDescent="0.2">
      <c r="C570" s="39"/>
      <c r="D570" s="39"/>
      <c r="E570" s="39"/>
    </row>
    <row r="571" spans="3:5" ht="15.75" customHeight="1" x14ac:dyDescent="0.2">
      <c r="C571" s="39"/>
      <c r="D571" s="39"/>
      <c r="E571" s="39"/>
    </row>
    <row r="572" spans="3:5" ht="15.75" customHeight="1" x14ac:dyDescent="0.2">
      <c r="C572" s="39"/>
      <c r="D572" s="39"/>
      <c r="E572" s="39"/>
    </row>
    <row r="573" spans="3:5" ht="15.75" customHeight="1" x14ac:dyDescent="0.2">
      <c r="C573" s="39"/>
      <c r="D573" s="39"/>
      <c r="E573" s="39"/>
    </row>
    <row r="574" spans="3:5" ht="15.75" customHeight="1" x14ac:dyDescent="0.2">
      <c r="C574" s="39"/>
      <c r="D574" s="39"/>
      <c r="E574" s="39"/>
    </row>
    <row r="575" spans="3:5" ht="15.75" customHeight="1" x14ac:dyDescent="0.2">
      <c r="C575" s="39"/>
      <c r="D575" s="39"/>
      <c r="E575" s="39"/>
    </row>
    <row r="576" spans="3:5" ht="15.75" customHeight="1" x14ac:dyDescent="0.2">
      <c r="C576" s="39"/>
      <c r="D576" s="39"/>
      <c r="E576" s="39"/>
    </row>
    <row r="577" spans="3:5" ht="15.75" customHeight="1" x14ac:dyDescent="0.2">
      <c r="C577" s="39"/>
      <c r="D577" s="39"/>
      <c r="E577" s="39"/>
    </row>
    <row r="578" spans="3:5" ht="15.75" customHeight="1" x14ac:dyDescent="0.2">
      <c r="C578" s="39"/>
      <c r="D578" s="39"/>
      <c r="E578" s="39"/>
    </row>
    <row r="579" spans="3:5" ht="15.75" customHeight="1" x14ac:dyDescent="0.2">
      <c r="C579" s="39"/>
      <c r="D579" s="39"/>
      <c r="E579" s="39"/>
    </row>
    <row r="580" spans="3:5" ht="15.75" customHeight="1" x14ac:dyDescent="0.2">
      <c r="C580" s="39"/>
      <c r="D580" s="39"/>
      <c r="E580" s="39"/>
    </row>
    <row r="581" spans="3:5" ht="15.75" customHeight="1" x14ac:dyDescent="0.2">
      <c r="C581" s="39"/>
      <c r="D581" s="39"/>
      <c r="E581" s="39"/>
    </row>
    <row r="582" spans="3:5" ht="15.75" customHeight="1" x14ac:dyDescent="0.2">
      <c r="C582" s="39"/>
      <c r="D582" s="39"/>
      <c r="E582" s="39"/>
    </row>
    <row r="583" spans="3:5" ht="15.75" customHeight="1" x14ac:dyDescent="0.2">
      <c r="C583" s="39"/>
      <c r="D583" s="39"/>
      <c r="E583" s="39"/>
    </row>
    <row r="584" spans="3:5" ht="15.75" customHeight="1" x14ac:dyDescent="0.2">
      <c r="C584" s="39"/>
      <c r="D584" s="39"/>
      <c r="E584" s="39"/>
    </row>
    <row r="585" spans="3:5" ht="15.75" customHeight="1" x14ac:dyDescent="0.2">
      <c r="C585" s="39"/>
      <c r="D585" s="39"/>
      <c r="E585" s="39"/>
    </row>
    <row r="586" spans="3:5" ht="15.75" customHeight="1" x14ac:dyDescent="0.2">
      <c r="C586" s="39"/>
      <c r="D586" s="39"/>
      <c r="E586" s="39"/>
    </row>
    <row r="587" spans="3:5" ht="15.75" customHeight="1" x14ac:dyDescent="0.2">
      <c r="C587" s="39"/>
      <c r="D587" s="39"/>
      <c r="E587" s="39"/>
    </row>
    <row r="588" spans="3:5" ht="15.75" customHeight="1" x14ac:dyDescent="0.2">
      <c r="C588" s="39"/>
      <c r="D588" s="39"/>
      <c r="E588" s="39"/>
    </row>
    <row r="589" spans="3:5" ht="15.75" customHeight="1" x14ac:dyDescent="0.2">
      <c r="C589" s="39"/>
      <c r="D589" s="39"/>
      <c r="E589" s="39"/>
    </row>
    <row r="590" spans="3:5" ht="15.75" customHeight="1" x14ac:dyDescent="0.2">
      <c r="C590" s="39"/>
      <c r="D590" s="39"/>
      <c r="E590" s="39"/>
    </row>
    <row r="591" spans="3:5" ht="15.75" customHeight="1" x14ac:dyDescent="0.2">
      <c r="C591" s="39"/>
      <c r="D591" s="39"/>
      <c r="E591" s="39"/>
    </row>
    <row r="592" spans="3:5" ht="15.75" customHeight="1" x14ac:dyDescent="0.2">
      <c r="C592" s="39"/>
      <c r="D592" s="39"/>
      <c r="E592" s="39"/>
    </row>
    <row r="593" spans="3:5" ht="15.75" customHeight="1" x14ac:dyDescent="0.2">
      <c r="C593" s="39"/>
      <c r="D593" s="39"/>
      <c r="E593" s="39"/>
    </row>
    <row r="594" spans="3:5" ht="15.75" customHeight="1" x14ac:dyDescent="0.2">
      <c r="C594" s="39"/>
      <c r="D594" s="39"/>
      <c r="E594" s="39"/>
    </row>
    <row r="595" spans="3:5" ht="15.75" customHeight="1" x14ac:dyDescent="0.2">
      <c r="C595" s="39"/>
      <c r="D595" s="39"/>
      <c r="E595" s="39"/>
    </row>
    <row r="596" spans="3:5" ht="15.75" customHeight="1" x14ac:dyDescent="0.2">
      <c r="C596" s="39"/>
      <c r="D596" s="39"/>
      <c r="E596" s="39"/>
    </row>
    <row r="597" spans="3:5" ht="15.75" customHeight="1" x14ac:dyDescent="0.2">
      <c r="C597" s="39"/>
      <c r="D597" s="39"/>
      <c r="E597" s="39"/>
    </row>
    <row r="598" spans="3:5" ht="15.75" customHeight="1" x14ac:dyDescent="0.2">
      <c r="C598" s="39"/>
      <c r="D598" s="39"/>
      <c r="E598" s="39"/>
    </row>
    <row r="599" spans="3:5" ht="15.75" customHeight="1" x14ac:dyDescent="0.2">
      <c r="C599" s="39"/>
      <c r="D599" s="39"/>
      <c r="E599" s="39"/>
    </row>
    <row r="600" spans="3:5" ht="15.75" customHeight="1" x14ac:dyDescent="0.2">
      <c r="C600" s="39"/>
      <c r="D600" s="39"/>
      <c r="E600" s="39"/>
    </row>
    <row r="601" spans="3:5" ht="15.75" customHeight="1" x14ac:dyDescent="0.2">
      <c r="C601" s="39"/>
      <c r="D601" s="39"/>
      <c r="E601" s="39"/>
    </row>
    <row r="602" spans="3:5" ht="15.75" customHeight="1" x14ac:dyDescent="0.2">
      <c r="C602" s="39"/>
      <c r="D602" s="39"/>
      <c r="E602" s="39"/>
    </row>
    <row r="603" spans="3:5" ht="15.75" customHeight="1" x14ac:dyDescent="0.2">
      <c r="C603" s="39"/>
      <c r="D603" s="39"/>
      <c r="E603" s="39"/>
    </row>
    <row r="604" spans="3:5" ht="15.75" customHeight="1" x14ac:dyDescent="0.2">
      <c r="C604" s="39"/>
      <c r="D604" s="39"/>
      <c r="E604" s="39"/>
    </row>
    <row r="605" spans="3:5" ht="15.75" customHeight="1" x14ac:dyDescent="0.2">
      <c r="C605" s="39"/>
      <c r="D605" s="39"/>
      <c r="E605" s="39"/>
    </row>
    <row r="606" spans="3:5" ht="15.75" customHeight="1" x14ac:dyDescent="0.2">
      <c r="C606" s="39"/>
      <c r="D606" s="39"/>
      <c r="E606" s="39"/>
    </row>
    <row r="607" spans="3:5" ht="15.75" customHeight="1" x14ac:dyDescent="0.2">
      <c r="C607" s="39"/>
      <c r="D607" s="39"/>
      <c r="E607" s="39"/>
    </row>
    <row r="608" spans="3:5" ht="15.75" customHeight="1" x14ac:dyDescent="0.2">
      <c r="C608" s="39"/>
      <c r="D608" s="39"/>
      <c r="E608" s="39"/>
    </row>
    <row r="609" spans="3:5" ht="15.75" customHeight="1" x14ac:dyDescent="0.2">
      <c r="C609" s="39"/>
      <c r="D609" s="39"/>
      <c r="E609" s="39"/>
    </row>
    <row r="610" spans="3:5" ht="15.75" customHeight="1" x14ac:dyDescent="0.2">
      <c r="C610" s="39"/>
      <c r="D610" s="39"/>
      <c r="E610" s="39"/>
    </row>
    <row r="611" spans="3:5" ht="15.75" customHeight="1" x14ac:dyDescent="0.2">
      <c r="C611" s="39"/>
      <c r="D611" s="39"/>
      <c r="E611" s="39"/>
    </row>
    <row r="612" spans="3:5" ht="15.75" customHeight="1" x14ac:dyDescent="0.2">
      <c r="C612" s="39"/>
      <c r="D612" s="39"/>
      <c r="E612" s="39"/>
    </row>
    <row r="613" spans="3:5" ht="15.75" customHeight="1" x14ac:dyDescent="0.2">
      <c r="C613" s="39"/>
      <c r="D613" s="39"/>
      <c r="E613" s="39"/>
    </row>
    <row r="614" spans="3:5" ht="15.75" customHeight="1" x14ac:dyDescent="0.2">
      <c r="C614" s="39"/>
      <c r="D614" s="39"/>
      <c r="E614" s="39"/>
    </row>
    <row r="615" spans="3:5" ht="15.75" customHeight="1" x14ac:dyDescent="0.2">
      <c r="C615" s="39"/>
      <c r="D615" s="39"/>
      <c r="E615" s="39"/>
    </row>
    <row r="616" spans="3:5" ht="15.75" customHeight="1" x14ac:dyDescent="0.2">
      <c r="C616" s="39"/>
      <c r="D616" s="39"/>
      <c r="E616" s="39"/>
    </row>
    <row r="617" spans="3:5" ht="15.75" customHeight="1" x14ac:dyDescent="0.2">
      <c r="C617" s="39"/>
      <c r="D617" s="39"/>
      <c r="E617" s="39"/>
    </row>
    <row r="618" spans="3:5" ht="15.75" customHeight="1" x14ac:dyDescent="0.2">
      <c r="C618" s="39"/>
      <c r="D618" s="39"/>
      <c r="E618" s="39"/>
    </row>
    <row r="619" spans="3:5" ht="15.75" customHeight="1" x14ac:dyDescent="0.2">
      <c r="C619" s="39"/>
      <c r="D619" s="39"/>
      <c r="E619" s="39"/>
    </row>
    <row r="620" spans="3:5" ht="15.75" customHeight="1" x14ac:dyDescent="0.2">
      <c r="C620" s="39"/>
      <c r="D620" s="39"/>
      <c r="E620" s="39"/>
    </row>
    <row r="621" spans="3:5" ht="15.75" customHeight="1" x14ac:dyDescent="0.2">
      <c r="C621" s="39"/>
      <c r="D621" s="39"/>
      <c r="E621" s="39"/>
    </row>
    <row r="622" spans="3:5" ht="15.75" customHeight="1" x14ac:dyDescent="0.2">
      <c r="C622" s="39"/>
      <c r="D622" s="39"/>
      <c r="E622" s="39"/>
    </row>
    <row r="623" spans="3:5" ht="15.75" customHeight="1" x14ac:dyDescent="0.2">
      <c r="C623" s="39"/>
      <c r="D623" s="39"/>
      <c r="E623" s="39"/>
    </row>
    <row r="624" spans="3:5" ht="15.75" customHeight="1" x14ac:dyDescent="0.2">
      <c r="C624" s="39"/>
      <c r="D624" s="39"/>
      <c r="E624" s="39"/>
    </row>
    <row r="625" spans="3:5" ht="15.75" customHeight="1" x14ac:dyDescent="0.2">
      <c r="C625" s="39"/>
      <c r="D625" s="39"/>
      <c r="E625" s="39"/>
    </row>
    <row r="626" spans="3:5" ht="15.75" customHeight="1" x14ac:dyDescent="0.2">
      <c r="C626" s="39"/>
      <c r="D626" s="39"/>
      <c r="E626" s="39"/>
    </row>
    <row r="627" spans="3:5" ht="15.75" customHeight="1" x14ac:dyDescent="0.2">
      <c r="C627" s="39"/>
      <c r="D627" s="39"/>
      <c r="E627" s="39"/>
    </row>
    <row r="628" spans="3:5" ht="15.75" customHeight="1" x14ac:dyDescent="0.2">
      <c r="C628" s="39"/>
      <c r="D628" s="39"/>
      <c r="E628" s="39"/>
    </row>
    <row r="629" spans="3:5" ht="15.75" customHeight="1" x14ac:dyDescent="0.2">
      <c r="C629" s="39"/>
      <c r="D629" s="39"/>
      <c r="E629" s="39"/>
    </row>
    <row r="630" spans="3:5" ht="15.75" customHeight="1" x14ac:dyDescent="0.2">
      <c r="C630" s="39"/>
      <c r="D630" s="39"/>
      <c r="E630" s="39"/>
    </row>
    <row r="631" spans="3:5" ht="15.75" customHeight="1" x14ac:dyDescent="0.2">
      <c r="C631" s="39"/>
      <c r="D631" s="39"/>
      <c r="E631" s="39"/>
    </row>
    <row r="632" spans="3:5" ht="15.75" customHeight="1" x14ac:dyDescent="0.2">
      <c r="C632" s="39"/>
      <c r="D632" s="39"/>
      <c r="E632" s="39"/>
    </row>
    <row r="633" spans="3:5" ht="15.75" customHeight="1" x14ac:dyDescent="0.2">
      <c r="C633" s="39"/>
      <c r="D633" s="39"/>
      <c r="E633" s="39"/>
    </row>
    <row r="634" spans="3:5" ht="15.75" customHeight="1" x14ac:dyDescent="0.2">
      <c r="C634" s="39"/>
      <c r="D634" s="39"/>
      <c r="E634" s="39"/>
    </row>
    <row r="635" spans="3:5" ht="15.75" customHeight="1" x14ac:dyDescent="0.2">
      <c r="C635" s="39"/>
      <c r="D635" s="39"/>
      <c r="E635" s="39"/>
    </row>
    <row r="636" spans="3:5" ht="15.75" customHeight="1" x14ac:dyDescent="0.2">
      <c r="C636" s="39"/>
      <c r="D636" s="39"/>
      <c r="E636" s="39"/>
    </row>
    <row r="637" spans="3:5" ht="15.75" customHeight="1" x14ac:dyDescent="0.2">
      <c r="C637" s="39"/>
      <c r="D637" s="39"/>
      <c r="E637" s="39"/>
    </row>
    <row r="638" spans="3:5" ht="15.75" customHeight="1" x14ac:dyDescent="0.2">
      <c r="C638" s="39"/>
      <c r="D638" s="39"/>
      <c r="E638" s="39"/>
    </row>
    <row r="639" spans="3:5" ht="15.75" customHeight="1" x14ac:dyDescent="0.2">
      <c r="C639" s="39"/>
      <c r="D639" s="39"/>
      <c r="E639" s="39"/>
    </row>
    <row r="640" spans="3:5" ht="15.75" customHeight="1" x14ac:dyDescent="0.2">
      <c r="C640" s="39"/>
      <c r="D640" s="39"/>
      <c r="E640" s="39"/>
    </row>
    <row r="641" spans="3:5" ht="15.75" customHeight="1" x14ac:dyDescent="0.2">
      <c r="C641" s="39"/>
      <c r="D641" s="39"/>
      <c r="E641" s="39"/>
    </row>
    <row r="642" spans="3:5" ht="15.75" customHeight="1" x14ac:dyDescent="0.2">
      <c r="C642" s="39"/>
      <c r="D642" s="39"/>
      <c r="E642" s="39"/>
    </row>
    <row r="643" spans="3:5" ht="15.75" customHeight="1" x14ac:dyDescent="0.2">
      <c r="C643" s="39"/>
      <c r="D643" s="39"/>
      <c r="E643" s="39"/>
    </row>
    <row r="644" spans="3:5" ht="15.75" customHeight="1" x14ac:dyDescent="0.2">
      <c r="C644" s="39"/>
      <c r="D644" s="39"/>
      <c r="E644" s="39"/>
    </row>
    <row r="645" spans="3:5" ht="15.75" customHeight="1" x14ac:dyDescent="0.2">
      <c r="C645" s="39"/>
      <c r="D645" s="39"/>
      <c r="E645" s="39"/>
    </row>
    <row r="646" spans="3:5" ht="15.75" customHeight="1" x14ac:dyDescent="0.2">
      <c r="C646" s="39"/>
      <c r="D646" s="39"/>
      <c r="E646" s="39"/>
    </row>
    <row r="647" spans="3:5" ht="15.75" customHeight="1" x14ac:dyDescent="0.2">
      <c r="C647" s="39"/>
      <c r="D647" s="39"/>
      <c r="E647" s="39"/>
    </row>
    <row r="648" spans="3:5" ht="15.75" customHeight="1" x14ac:dyDescent="0.2">
      <c r="C648" s="39"/>
      <c r="D648" s="39"/>
      <c r="E648" s="39"/>
    </row>
    <row r="649" spans="3:5" ht="15.75" customHeight="1" x14ac:dyDescent="0.2">
      <c r="C649" s="39"/>
      <c r="D649" s="39"/>
      <c r="E649" s="39"/>
    </row>
    <row r="650" spans="3:5" ht="15.75" customHeight="1" x14ac:dyDescent="0.2">
      <c r="C650" s="39"/>
      <c r="D650" s="39"/>
      <c r="E650" s="39"/>
    </row>
    <row r="651" spans="3:5" ht="15.75" customHeight="1" x14ac:dyDescent="0.2">
      <c r="C651" s="39"/>
      <c r="D651" s="39"/>
      <c r="E651" s="39"/>
    </row>
    <row r="652" spans="3:5" ht="15.75" customHeight="1" x14ac:dyDescent="0.2">
      <c r="C652" s="39"/>
      <c r="D652" s="39"/>
      <c r="E652" s="39"/>
    </row>
    <row r="653" spans="3:5" ht="15.75" customHeight="1" x14ac:dyDescent="0.2">
      <c r="C653" s="39"/>
      <c r="D653" s="39"/>
      <c r="E653" s="39"/>
    </row>
    <row r="654" spans="3:5" ht="15.75" customHeight="1" x14ac:dyDescent="0.2">
      <c r="C654" s="39"/>
      <c r="D654" s="39"/>
      <c r="E654" s="39"/>
    </row>
    <row r="655" spans="3:5" ht="15.75" customHeight="1" x14ac:dyDescent="0.2">
      <c r="C655" s="39"/>
      <c r="D655" s="39"/>
      <c r="E655" s="39"/>
    </row>
    <row r="656" spans="3:5" ht="15.75" customHeight="1" x14ac:dyDescent="0.2">
      <c r="C656" s="39"/>
      <c r="D656" s="39"/>
      <c r="E656" s="39"/>
    </row>
    <row r="657" spans="3:5" ht="15.75" customHeight="1" x14ac:dyDescent="0.2">
      <c r="C657" s="39"/>
      <c r="D657" s="39"/>
      <c r="E657" s="39"/>
    </row>
    <row r="658" spans="3:5" ht="15.75" customHeight="1" x14ac:dyDescent="0.2">
      <c r="C658" s="39"/>
      <c r="D658" s="39"/>
      <c r="E658" s="39"/>
    </row>
    <row r="659" spans="3:5" ht="15.75" customHeight="1" x14ac:dyDescent="0.2">
      <c r="C659" s="39"/>
      <c r="D659" s="39"/>
      <c r="E659" s="39"/>
    </row>
    <row r="660" spans="3:5" ht="15.75" customHeight="1" x14ac:dyDescent="0.2">
      <c r="C660" s="39"/>
      <c r="D660" s="39"/>
      <c r="E660" s="39"/>
    </row>
    <row r="661" spans="3:5" ht="15.75" customHeight="1" x14ac:dyDescent="0.2">
      <c r="C661" s="39"/>
      <c r="D661" s="39"/>
      <c r="E661" s="39"/>
    </row>
    <row r="662" spans="3:5" ht="15.75" customHeight="1" x14ac:dyDescent="0.2">
      <c r="C662" s="39"/>
      <c r="D662" s="39"/>
      <c r="E662" s="39"/>
    </row>
    <row r="663" spans="3:5" ht="15.75" customHeight="1" x14ac:dyDescent="0.2">
      <c r="C663" s="39"/>
      <c r="D663" s="39"/>
      <c r="E663" s="39"/>
    </row>
    <row r="664" spans="3:5" ht="15.75" customHeight="1" x14ac:dyDescent="0.2">
      <c r="C664" s="39"/>
      <c r="D664" s="39"/>
      <c r="E664" s="39"/>
    </row>
    <row r="665" spans="3:5" ht="15.75" customHeight="1" x14ac:dyDescent="0.2">
      <c r="C665" s="39"/>
      <c r="D665" s="39"/>
      <c r="E665" s="39"/>
    </row>
    <row r="666" spans="3:5" ht="15.75" customHeight="1" x14ac:dyDescent="0.2">
      <c r="C666" s="39"/>
      <c r="D666" s="39"/>
      <c r="E666" s="39"/>
    </row>
    <row r="667" spans="3:5" ht="15.75" customHeight="1" x14ac:dyDescent="0.2">
      <c r="C667" s="39"/>
      <c r="D667" s="39"/>
      <c r="E667" s="39"/>
    </row>
    <row r="668" spans="3:5" ht="15.75" customHeight="1" x14ac:dyDescent="0.2">
      <c r="C668" s="39"/>
      <c r="D668" s="39"/>
      <c r="E668" s="39"/>
    </row>
    <row r="669" spans="3:5" ht="15.75" customHeight="1" x14ac:dyDescent="0.2">
      <c r="C669" s="39"/>
      <c r="D669" s="39"/>
      <c r="E669" s="39"/>
    </row>
    <row r="670" spans="3:5" ht="15.75" customHeight="1" x14ac:dyDescent="0.2">
      <c r="C670" s="39"/>
      <c r="D670" s="39"/>
      <c r="E670" s="39"/>
    </row>
    <row r="671" spans="3:5" ht="15.75" customHeight="1" x14ac:dyDescent="0.2">
      <c r="C671" s="39"/>
      <c r="D671" s="39"/>
      <c r="E671" s="39"/>
    </row>
    <row r="672" spans="3:5" ht="15.75" customHeight="1" x14ac:dyDescent="0.2">
      <c r="C672" s="39"/>
      <c r="D672" s="39"/>
      <c r="E672" s="39"/>
    </row>
    <row r="673" spans="3:5" ht="15.75" customHeight="1" x14ac:dyDescent="0.2">
      <c r="C673" s="39"/>
      <c r="D673" s="39"/>
      <c r="E673" s="39"/>
    </row>
    <row r="674" spans="3:5" ht="15.75" customHeight="1" x14ac:dyDescent="0.2">
      <c r="C674" s="39"/>
      <c r="D674" s="39"/>
      <c r="E674" s="39"/>
    </row>
    <row r="675" spans="3:5" ht="15.75" customHeight="1" x14ac:dyDescent="0.2">
      <c r="C675" s="39"/>
      <c r="D675" s="39"/>
      <c r="E675" s="39"/>
    </row>
    <row r="676" spans="3:5" ht="15.75" customHeight="1" x14ac:dyDescent="0.2">
      <c r="C676" s="39"/>
      <c r="D676" s="39"/>
      <c r="E676" s="39"/>
    </row>
    <row r="677" spans="3:5" ht="15.75" customHeight="1" x14ac:dyDescent="0.2">
      <c r="C677" s="39"/>
      <c r="D677" s="39"/>
      <c r="E677" s="39"/>
    </row>
    <row r="678" spans="3:5" ht="15.75" customHeight="1" x14ac:dyDescent="0.2">
      <c r="C678" s="39"/>
      <c r="D678" s="39"/>
      <c r="E678" s="39"/>
    </row>
    <row r="679" spans="3:5" ht="15.75" customHeight="1" x14ac:dyDescent="0.2">
      <c r="C679" s="39"/>
      <c r="D679" s="39"/>
      <c r="E679" s="39"/>
    </row>
    <row r="680" spans="3:5" ht="15.75" customHeight="1" x14ac:dyDescent="0.2">
      <c r="C680" s="39"/>
      <c r="D680" s="39"/>
      <c r="E680" s="39"/>
    </row>
    <row r="681" spans="3:5" ht="15.75" customHeight="1" x14ac:dyDescent="0.2">
      <c r="C681" s="39"/>
      <c r="D681" s="39"/>
      <c r="E681" s="39"/>
    </row>
    <row r="682" spans="3:5" ht="15.75" customHeight="1" x14ac:dyDescent="0.2">
      <c r="C682" s="39"/>
      <c r="D682" s="39"/>
      <c r="E682" s="39"/>
    </row>
    <row r="683" spans="3:5" ht="15.75" customHeight="1" x14ac:dyDescent="0.2">
      <c r="C683" s="39"/>
      <c r="D683" s="39"/>
      <c r="E683" s="39"/>
    </row>
    <row r="684" spans="3:5" ht="15.75" customHeight="1" x14ac:dyDescent="0.2">
      <c r="C684" s="39"/>
      <c r="D684" s="39"/>
      <c r="E684" s="39"/>
    </row>
    <row r="685" spans="3:5" ht="15.75" customHeight="1" x14ac:dyDescent="0.2">
      <c r="C685" s="39"/>
      <c r="D685" s="39"/>
      <c r="E685" s="39"/>
    </row>
    <row r="686" spans="3:5" ht="15.75" customHeight="1" x14ac:dyDescent="0.2">
      <c r="C686" s="39"/>
      <c r="D686" s="39"/>
      <c r="E686" s="39"/>
    </row>
    <row r="687" spans="3:5" ht="15.75" customHeight="1" x14ac:dyDescent="0.2">
      <c r="C687" s="39"/>
      <c r="D687" s="39"/>
      <c r="E687" s="39"/>
    </row>
    <row r="688" spans="3:5" ht="15.75" customHeight="1" x14ac:dyDescent="0.2">
      <c r="C688" s="39"/>
      <c r="D688" s="39"/>
      <c r="E688" s="39"/>
    </row>
    <row r="689" spans="3:5" ht="15.75" customHeight="1" x14ac:dyDescent="0.2">
      <c r="C689" s="39"/>
      <c r="D689" s="39"/>
      <c r="E689" s="39"/>
    </row>
    <row r="690" spans="3:5" ht="15.75" customHeight="1" x14ac:dyDescent="0.2">
      <c r="C690" s="39"/>
      <c r="D690" s="39"/>
      <c r="E690" s="39"/>
    </row>
    <row r="691" spans="3:5" ht="15.75" customHeight="1" x14ac:dyDescent="0.2">
      <c r="C691" s="39"/>
      <c r="D691" s="39"/>
      <c r="E691" s="39"/>
    </row>
    <row r="692" spans="3:5" ht="15.75" customHeight="1" x14ac:dyDescent="0.2">
      <c r="C692" s="39"/>
      <c r="D692" s="39"/>
      <c r="E692" s="39"/>
    </row>
    <row r="693" spans="3:5" ht="15.75" customHeight="1" x14ac:dyDescent="0.2">
      <c r="C693" s="39"/>
      <c r="D693" s="39"/>
      <c r="E693" s="39"/>
    </row>
    <row r="694" spans="3:5" ht="15.75" customHeight="1" x14ac:dyDescent="0.2">
      <c r="C694" s="39"/>
      <c r="D694" s="39"/>
      <c r="E694" s="39"/>
    </row>
    <row r="695" spans="3:5" ht="15.75" customHeight="1" x14ac:dyDescent="0.2">
      <c r="C695" s="39"/>
      <c r="D695" s="39"/>
      <c r="E695" s="39"/>
    </row>
    <row r="696" spans="3:5" ht="15.75" customHeight="1" x14ac:dyDescent="0.2">
      <c r="C696" s="39"/>
      <c r="D696" s="39"/>
      <c r="E696" s="39"/>
    </row>
    <row r="697" spans="3:5" ht="15.75" customHeight="1" x14ac:dyDescent="0.2">
      <c r="C697" s="39"/>
      <c r="D697" s="39"/>
      <c r="E697" s="39"/>
    </row>
    <row r="698" spans="3:5" ht="15.75" customHeight="1" x14ac:dyDescent="0.2">
      <c r="C698" s="39"/>
      <c r="D698" s="39"/>
      <c r="E698" s="39"/>
    </row>
    <row r="699" spans="3:5" ht="15.75" customHeight="1" x14ac:dyDescent="0.2">
      <c r="C699" s="39"/>
      <c r="D699" s="39"/>
      <c r="E699" s="39"/>
    </row>
    <row r="700" spans="3:5" ht="15.75" customHeight="1" x14ac:dyDescent="0.2">
      <c r="C700" s="39"/>
      <c r="D700" s="39"/>
      <c r="E700" s="39"/>
    </row>
    <row r="701" spans="3:5" ht="15.75" customHeight="1" x14ac:dyDescent="0.2">
      <c r="C701" s="39"/>
      <c r="D701" s="39"/>
      <c r="E701" s="39"/>
    </row>
    <row r="702" spans="3:5" ht="15.75" customHeight="1" x14ac:dyDescent="0.2">
      <c r="C702" s="39"/>
      <c r="D702" s="39"/>
      <c r="E702" s="39"/>
    </row>
    <row r="703" spans="3:5" ht="15.75" customHeight="1" x14ac:dyDescent="0.2">
      <c r="C703" s="39"/>
      <c r="D703" s="39"/>
      <c r="E703" s="39"/>
    </row>
    <row r="704" spans="3:5" ht="15.75" customHeight="1" x14ac:dyDescent="0.2">
      <c r="C704" s="39"/>
      <c r="D704" s="39"/>
      <c r="E704" s="39"/>
    </row>
    <row r="705" spans="3:5" ht="15.75" customHeight="1" x14ac:dyDescent="0.2">
      <c r="C705" s="39"/>
      <c r="D705" s="39"/>
      <c r="E705" s="39"/>
    </row>
    <row r="706" spans="3:5" ht="15.75" customHeight="1" x14ac:dyDescent="0.2">
      <c r="C706" s="39"/>
      <c r="D706" s="39"/>
      <c r="E706" s="39"/>
    </row>
    <row r="707" spans="3:5" ht="15.75" customHeight="1" x14ac:dyDescent="0.2">
      <c r="C707" s="39"/>
      <c r="D707" s="39"/>
      <c r="E707" s="39"/>
    </row>
    <row r="708" spans="3:5" ht="15.75" customHeight="1" x14ac:dyDescent="0.2">
      <c r="C708" s="39"/>
      <c r="D708" s="39"/>
      <c r="E708" s="39"/>
    </row>
    <row r="709" spans="3:5" ht="15.75" customHeight="1" x14ac:dyDescent="0.2">
      <c r="C709" s="39"/>
      <c r="D709" s="39"/>
      <c r="E709" s="39"/>
    </row>
    <row r="710" spans="3:5" ht="15.75" customHeight="1" x14ac:dyDescent="0.2">
      <c r="C710" s="39"/>
      <c r="D710" s="39"/>
      <c r="E710" s="39"/>
    </row>
    <row r="711" spans="3:5" ht="15.75" customHeight="1" x14ac:dyDescent="0.2">
      <c r="C711" s="39"/>
      <c r="D711" s="39"/>
      <c r="E711" s="39"/>
    </row>
    <row r="712" spans="3:5" ht="15.75" customHeight="1" x14ac:dyDescent="0.2">
      <c r="C712" s="39"/>
      <c r="D712" s="39"/>
      <c r="E712" s="39"/>
    </row>
    <row r="713" spans="3:5" ht="15.75" customHeight="1" x14ac:dyDescent="0.2">
      <c r="C713" s="39"/>
      <c r="D713" s="39"/>
      <c r="E713" s="39"/>
    </row>
    <row r="714" spans="3:5" ht="15.75" customHeight="1" x14ac:dyDescent="0.2">
      <c r="C714" s="39"/>
      <c r="D714" s="39"/>
      <c r="E714" s="39"/>
    </row>
    <row r="715" spans="3:5" ht="15.75" customHeight="1" x14ac:dyDescent="0.2">
      <c r="C715" s="39"/>
      <c r="D715" s="39"/>
      <c r="E715" s="39"/>
    </row>
    <row r="716" spans="3:5" ht="15.75" customHeight="1" x14ac:dyDescent="0.2">
      <c r="C716" s="39"/>
      <c r="D716" s="39"/>
      <c r="E716" s="39"/>
    </row>
    <row r="717" spans="3:5" ht="15.75" customHeight="1" x14ac:dyDescent="0.2">
      <c r="C717" s="39"/>
      <c r="D717" s="39"/>
      <c r="E717" s="39"/>
    </row>
    <row r="718" spans="3:5" ht="15.75" customHeight="1" x14ac:dyDescent="0.2">
      <c r="C718" s="39"/>
      <c r="D718" s="39"/>
      <c r="E718" s="39"/>
    </row>
    <row r="719" spans="3:5" ht="15.75" customHeight="1" x14ac:dyDescent="0.2">
      <c r="C719" s="39"/>
      <c r="D719" s="39"/>
      <c r="E719" s="39"/>
    </row>
    <row r="720" spans="3:5" ht="15.75" customHeight="1" x14ac:dyDescent="0.2">
      <c r="C720" s="39"/>
      <c r="D720" s="39"/>
      <c r="E720" s="39"/>
    </row>
    <row r="721" spans="3:5" ht="15.75" customHeight="1" x14ac:dyDescent="0.2">
      <c r="C721" s="39"/>
      <c r="D721" s="39"/>
      <c r="E721" s="39"/>
    </row>
    <row r="722" spans="3:5" ht="15.75" customHeight="1" x14ac:dyDescent="0.2">
      <c r="C722" s="39"/>
      <c r="D722" s="39"/>
      <c r="E722" s="39"/>
    </row>
    <row r="723" spans="3:5" ht="15.75" customHeight="1" x14ac:dyDescent="0.2">
      <c r="C723" s="39"/>
      <c r="D723" s="39"/>
      <c r="E723" s="39"/>
    </row>
    <row r="724" spans="3:5" ht="15.75" customHeight="1" x14ac:dyDescent="0.2">
      <c r="C724" s="39"/>
      <c r="D724" s="39"/>
      <c r="E724" s="39"/>
    </row>
    <row r="725" spans="3:5" ht="15.75" customHeight="1" x14ac:dyDescent="0.2">
      <c r="C725" s="39"/>
      <c r="D725" s="39"/>
      <c r="E725" s="39"/>
    </row>
    <row r="726" spans="3:5" ht="15.75" customHeight="1" x14ac:dyDescent="0.2">
      <c r="C726" s="39"/>
      <c r="D726" s="39"/>
      <c r="E726" s="39"/>
    </row>
    <row r="727" spans="3:5" ht="15.75" customHeight="1" x14ac:dyDescent="0.2">
      <c r="C727" s="39"/>
      <c r="D727" s="39"/>
      <c r="E727" s="39"/>
    </row>
    <row r="728" spans="3:5" ht="15.75" customHeight="1" x14ac:dyDescent="0.2">
      <c r="C728" s="39"/>
      <c r="D728" s="39"/>
      <c r="E728" s="39"/>
    </row>
    <row r="729" spans="3:5" ht="15.75" customHeight="1" x14ac:dyDescent="0.2">
      <c r="C729" s="39"/>
      <c r="D729" s="39"/>
      <c r="E729" s="39"/>
    </row>
    <row r="730" spans="3:5" ht="15.75" customHeight="1" x14ac:dyDescent="0.2">
      <c r="C730" s="39"/>
      <c r="D730" s="39"/>
      <c r="E730" s="39"/>
    </row>
    <row r="731" spans="3:5" ht="15.75" customHeight="1" x14ac:dyDescent="0.2">
      <c r="C731" s="39"/>
      <c r="D731" s="39"/>
      <c r="E731" s="39"/>
    </row>
    <row r="732" spans="3:5" ht="15.75" customHeight="1" x14ac:dyDescent="0.2">
      <c r="C732" s="39"/>
      <c r="D732" s="39"/>
      <c r="E732" s="39"/>
    </row>
    <row r="733" spans="3:5" ht="15.75" customHeight="1" x14ac:dyDescent="0.2">
      <c r="C733" s="39"/>
      <c r="D733" s="39"/>
      <c r="E733" s="39"/>
    </row>
    <row r="734" spans="3:5" ht="15.75" customHeight="1" x14ac:dyDescent="0.2">
      <c r="C734" s="39"/>
      <c r="D734" s="39"/>
      <c r="E734" s="39"/>
    </row>
    <row r="735" spans="3:5" ht="15.75" customHeight="1" x14ac:dyDescent="0.2">
      <c r="C735" s="39"/>
      <c r="D735" s="39"/>
      <c r="E735" s="39"/>
    </row>
    <row r="736" spans="3:5" ht="15.75" customHeight="1" x14ac:dyDescent="0.2">
      <c r="C736" s="39"/>
      <c r="D736" s="39"/>
      <c r="E736" s="39"/>
    </row>
    <row r="737" spans="3:5" ht="15.75" customHeight="1" x14ac:dyDescent="0.2">
      <c r="C737" s="39"/>
      <c r="D737" s="39"/>
      <c r="E737" s="39"/>
    </row>
    <row r="738" spans="3:5" ht="15.75" customHeight="1" x14ac:dyDescent="0.2">
      <c r="C738" s="39"/>
      <c r="D738" s="39"/>
      <c r="E738" s="39"/>
    </row>
    <row r="739" spans="3:5" ht="15.75" customHeight="1" x14ac:dyDescent="0.2">
      <c r="C739" s="39"/>
      <c r="D739" s="39"/>
      <c r="E739" s="39"/>
    </row>
    <row r="740" spans="3:5" ht="15.75" customHeight="1" x14ac:dyDescent="0.2">
      <c r="C740" s="39"/>
      <c r="D740" s="39"/>
      <c r="E740" s="39"/>
    </row>
    <row r="741" spans="3:5" ht="15.75" customHeight="1" x14ac:dyDescent="0.2">
      <c r="C741" s="39"/>
      <c r="D741" s="39"/>
      <c r="E741" s="39"/>
    </row>
    <row r="742" spans="3:5" ht="15.75" customHeight="1" x14ac:dyDescent="0.2">
      <c r="C742" s="39"/>
      <c r="D742" s="39"/>
      <c r="E742" s="39"/>
    </row>
    <row r="743" spans="3:5" ht="15.75" customHeight="1" x14ac:dyDescent="0.2">
      <c r="C743" s="39"/>
      <c r="D743" s="39"/>
      <c r="E743" s="39"/>
    </row>
    <row r="744" spans="3:5" ht="15.75" customHeight="1" x14ac:dyDescent="0.2">
      <c r="C744" s="39"/>
      <c r="D744" s="39"/>
      <c r="E744" s="39"/>
    </row>
    <row r="745" spans="3:5" ht="15.75" customHeight="1" x14ac:dyDescent="0.2">
      <c r="C745" s="39"/>
      <c r="D745" s="39"/>
      <c r="E745" s="39"/>
    </row>
    <row r="746" spans="3:5" ht="15.75" customHeight="1" x14ac:dyDescent="0.2">
      <c r="C746" s="39"/>
      <c r="D746" s="39"/>
      <c r="E746" s="39"/>
    </row>
    <row r="747" spans="3:5" ht="15.75" customHeight="1" x14ac:dyDescent="0.2">
      <c r="C747" s="39"/>
      <c r="D747" s="39"/>
      <c r="E747" s="39"/>
    </row>
    <row r="748" spans="3:5" ht="15.75" customHeight="1" x14ac:dyDescent="0.2">
      <c r="C748" s="39"/>
      <c r="D748" s="39"/>
      <c r="E748" s="39"/>
    </row>
    <row r="749" spans="3:5" ht="15.75" customHeight="1" x14ac:dyDescent="0.2">
      <c r="C749" s="39"/>
      <c r="D749" s="39"/>
      <c r="E749" s="39"/>
    </row>
    <row r="750" spans="3:5" ht="15.75" customHeight="1" x14ac:dyDescent="0.2">
      <c r="C750" s="39"/>
      <c r="D750" s="39"/>
      <c r="E750" s="39"/>
    </row>
    <row r="751" spans="3:5" ht="15.75" customHeight="1" x14ac:dyDescent="0.2">
      <c r="C751" s="39"/>
      <c r="D751" s="39"/>
      <c r="E751" s="39"/>
    </row>
    <row r="752" spans="3:5" ht="15.75" customHeight="1" x14ac:dyDescent="0.2">
      <c r="C752" s="39"/>
      <c r="D752" s="39"/>
      <c r="E752" s="39"/>
    </row>
    <row r="753" spans="3:5" ht="15.75" customHeight="1" x14ac:dyDescent="0.2">
      <c r="C753" s="39"/>
      <c r="D753" s="39"/>
      <c r="E753" s="39"/>
    </row>
    <row r="754" spans="3:5" ht="15.75" customHeight="1" x14ac:dyDescent="0.2">
      <c r="C754" s="39"/>
      <c r="D754" s="39"/>
      <c r="E754" s="39"/>
    </row>
    <row r="755" spans="3:5" ht="15.75" customHeight="1" x14ac:dyDescent="0.2">
      <c r="C755" s="39"/>
      <c r="D755" s="39"/>
      <c r="E755" s="39"/>
    </row>
    <row r="756" spans="3:5" ht="15.75" customHeight="1" x14ac:dyDescent="0.2">
      <c r="C756" s="39"/>
      <c r="D756" s="39"/>
      <c r="E756" s="39"/>
    </row>
    <row r="757" spans="3:5" ht="15.75" customHeight="1" x14ac:dyDescent="0.2">
      <c r="C757" s="39"/>
      <c r="D757" s="39"/>
      <c r="E757" s="39"/>
    </row>
    <row r="758" spans="3:5" ht="15.75" customHeight="1" x14ac:dyDescent="0.2">
      <c r="C758" s="39"/>
      <c r="D758" s="39"/>
      <c r="E758" s="39"/>
    </row>
    <row r="759" spans="3:5" ht="15.75" customHeight="1" x14ac:dyDescent="0.2">
      <c r="C759" s="39"/>
      <c r="D759" s="39"/>
      <c r="E759" s="39"/>
    </row>
    <row r="760" spans="3:5" ht="15.75" customHeight="1" x14ac:dyDescent="0.2">
      <c r="C760" s="39"/>
      <c r="D760" s="39"/>
      <c r="E760" s="39"/>
    </row>
    <row r="761" spans="3:5" ht="15.75" customHeight="1" x14ac:dyDescent="0.2">
      <c r="C761" s="39"/>
      <c r="D761" s="39"/>
      <c r="E761" s="39"/>
    </row>
    <row r="762" spans="3:5" ht="15.75" customHeight="1" x14ac:dyDescent="0.2">
      <c r="C762" s="39"/>
      <c r="D762" s="39"/>
      <c r="E762" s="39"/>
    </row>
    <row r="763" spans="3:5" ht="15.75" customHeight="1" x14ac:dyDescent="0.2">
      <c r="C763" s="39"/>
      <c r="D763" s="39"/>
      <c r="E763" s="39"/>
    </row>
    <row r="764" spans="3:5" ht="15.75" customHeight="1" x14ac:dyDescent="0.2">
      <c r="C764" s="39"/>
      <c r="D764" s="39"/>
      <c r="E764" s="39"/>
    </row>
    <row r="765" spans="3:5" ht="15.75" customHeight="1" x14ac:dyDescent="0.2">
      <c r="C765" s="39"/>
      <c r="D765" s="39"/>
      <c r="E765" s="39"/>
    </row>
    <row r="766" spans="3:5" ht="15.75" customHeight="1" x14ac:dyDescent="0.2">
      <c r="C766" s="39"/>
      <c r="D766" s="39"/>
      <c r="E766" s="39"/>
    </row>
    <row r="767" spans="3:5" ht="15.75" customHeight="1" x14ac:dyDescent="0.2">
      <c r="C767" s="39"/>
      <c r="D767" s="39"/>
      <c r="E767" s="39"/>
    </row>
    <row r="768" spans="3:5" ht="15.75" customHeight="1" x14ac:dyDescent="0.2">
      <c r="C768" s="39"/>
      <c r="D768" s="39"/>
      <c r="E768" s="39"/>
    </row>
    <row r="769" spans="3:5" ht="15.75" customHeight="1" x14ac:dyDescent="0.2">
      <c r="C769" s="39"/>
      <c r="D769" s="39"/>
      <c r="E769" s="39"/>
    </row>
    <row r="770" spans="3:5" ht="15.75" customHeight="1" x14ac:dyDescent="0.2">
      <c r="C770" s="39"/>
      <c r="D770" s="39"/>
      <c r="E770" s="39"/>
    </row>
    <row r="771" spans="3:5" ht="15.75" customHeight="1" x14ac:dyDescent="0.2">
      <c r="C771" s="39"/>
      <c r="D771" s="39"/>
      <c r="E771" s="39"/>
    </row>
    <row r="772" spans="3:5" ht="15.75" customHeight="1" x14ac:dyDescent="0.2">
      <c r="C772" s="39"/>
      <c r="D772" s="39"/>
      <c r="E772" s="39"/>
    </row>
    <row r="773" spans="3:5" ht="15.75" customHeight="1" x14ac:dyDescent="0.2">
      <c r="C773" s="39"/>
      <c r="D773" s="39"/>
      <c r="E773" s="39"/>
    </row>
    <row r="774" spans="3:5" ht="15.75" customHeight="1" x14ac:dyDescent="0.2">
      <c r="C774" s="39"/>
      <c r="D774" s="39"/>
      <c r="E774" s="39"/>
    </row>
    <row r="775" spans="3:5" ht="15.75" customHeight="1" x14ac:dyDescent="0.2">
      <c r="C775" s="39"/>
      <c r="D775" s="39"/>
      <c r="E775" s="39"/>
    </row>
    <row r="776" spans="3:5" ht="15.75" customHeight="1" x14ac:dyDescent="0.2">
      <c r="C776" s="39"/>
      <c r="D776" s="39"/>
      <c r="E776" s="39"/>
    </row>
    <row r="777" spans="3:5" ht="15.75" customHeight="1" x14ac:dyDescent="0.2">
      <c r="C777" s="39"/>
      <c r="D777" s="39"/>
      <c r="E777" s="39"/>
    </row>
    <row r="778" spans="3:5" ht="15.75" customHeight="1" x14ac:dyDescent="0.2">
      <c r="C778" s="39"/>
      <c r="D778" s="39"/>
      <c r="E778" s="39"/>
    </row>
    <row r="779" spans="3:5" ht="15.75" customHeight="1" x14ac:dyDescent="0.2">
      <c r="C779" s="39"/>
      <c r="D779" s="39"/>
      <c r="E779" s="39"/>
    </row>
    <row r="780" spans="3:5" ht="15.75" customHeight="1" x14ac:dyDescent="0.2">
      <c r="C780" s="39"/>
      <c r="D780" s="39"/>
      <c r="E780" s="39"/>
    </row>
    <row r="781" spans="3:5" ht="15.75" customHeight="1" x14ac:dyDescent="0.2">
      <c r="C781" s="39"/>
      <c r="D781" s="39"/>
      <c r="E781" s="39"/>
    </row>
    <row r="782" spans="3:5" ht="15.75" customHeight="1" x14ac:dyDescent="0.2">
      <c r="C782" s="39"/>
      <c r="D782" s="39"/>
      <c r="E782" s="39"/>
    </row>
    <row r="783" spans="3:5" ht="15.75" customHeight="1" x14ac:dyDescent="0.2">
      <c r="C783" s="39"/>
      <c r="D783" s="39"/>
      <c r="E783" s="39"/>
    </row>
    <row r="784" spans="3:5" ht="15.75" customHeight="1" x14ac:dyDescent="0.2">
      <c r="C784" s="39"/>
      <c r="D784" s="39"/>
      <c r="E784" s="39"/>
    </row>
    <row r="785" spans="3:5" ht="15.75" customHeight="1" x14ac:dyDescent="0.2">
      <c r="C785" s="39"/>
      <c r="D785" s="39"/>
      <c r="E785" s="39"/>
    </row>
    <row r="786" spans="3:5" ht="15.75" customHeight="1" x14ac:dyDescent="0.2">
      <c r="C786" s="39"/>
      <c r="D786" s="39"/>
      <c r="E786" s="39"/>
    </row>
    <row r="787" spans="3:5" ht="15.75" customHeight="1" x14ac:dyDescent="0.2">
      <c r="C787" s="39"/>
      <c r="D787" s="39"/>
      <c r="E787" s="39"/>
    </row>
    <row r="788" spans="3:5" ht="15.75" customHeight="1" x14ac:dyDescent="0.2">
      <c r="C788" s="39"/>
      <c r="D788" s="39"/>
      <c r="E788" s="39"/>
    </row>
    <row r="789" spans="3:5" ht="15.75" customHeight="1" x14ac:dyDescent="0.2">
      <c r="C789" s="39"/>
      <c r="D789" s="39"/>
      <c r="E789" s="39"/>
    </row>
    <row r="790" spans="3:5" ht="15.75" customHeight="1" x14ac:dyDescent="0.2">
      <c r="C790" s="39"/>
      <c r="D790" s="39"/>
      <c r="E790" s="39"/>
    </row>
    <row r="791" spans="3:5" ht="15.75" customHeight="1" x14ac:dyDescent="0.2">
      <c r="C791" s="39"/>
      <c r="D791" s="39"/>
      <c r="E791" s="39"/>
    </row>
    <row r="792" spans="3:5" ht="15.75" customHeight="1" x14ac:dyDescent="0.2">
      <c r="C792" s="39"/>
      <c r="D792" s="39"/>
      <c r="E792" s="39"/>
    </row>
    <row r="793" spans="3:5" ht="15.75" customHeight="1" x14ac:dyDescent="0.2">
      <c r="C793" s="39"/>
      <c r="D793" s="39"/>
      <c r="E793" s="39"/>
    </row>
    <row r="794" spans="3:5" ht="15.75" customHeight="1" x14ac:dyDescent="0.2">
      <c r="C794" s="39"/>
      <c r="D794" s="39"/>
      <c r="E794" s="39"/>
    </row>
    <row r="795" spans="3:5" ht="15.75" customHeight="1" x14ac:dyDescent="0.2">
      <c r="C795" s="39"/>
      <c r="D795" s="39"/>
      <c r="E795" s="39"/>
    </row>
    <row r="796" spans="3:5" ht="15.75" customHeight="1" x14ac:dyDescent="0.2">
      <c r="C796" s="39"/>
      <c r="D796" s="39"/>
      <c r="E796" s="39"/>
    </row>
    <row r="797" spans="3:5" ht="15.75" customHeight="1" x14ac:dyDescent="0.2">
      <c r="C797" s="39"/>
      <c r="D797" s="39"/>
      <c r="E797" s="39"/>
    </row>
    <row r="798" spans="3:5" ht="15.75" customHeight="1" x14ac:dyDescent="0.2">
      <c r="C798" s="39"/>
      <c r="D798" s="39"/>
      <c r="E798" s="39"/>
    </row>
    <row r="799" spans="3:5" ht="15.75" customHeight="1" x14ac:dyDescent="0.2">
      <c r="C799" s="39"/>
      <c r="D799" s="39"/>
      <c r="E799" s="39"/>
    </row>
    <row r="800" spans="3:5" ht="15.75" customHeight="1" x14ac:dyDescent="0.2">
      <c r="C800" s="39"/>
      <c r="D800" s="39"/>
      <c r="E800" s="39"/>
    </row>
    <row r="801" spans="3:5" ht="15.75" customHeight="1" x14ac:dyDescent="0.2">
      <c r="C801" s="39"/>
      <c r="D801" s="39"/>
      <c r="E801" s="39"/>
    </row>
    <row r="802" spans="3:5" ht="15.75" customHeight="1" x14ac:dyDescent="0.2">
      <c r="C802" s="39"/>
      <c r="D802" s="39"/>
      <c r="E802" s="39"/>
    </row>
    <row r="803" spans="3:5" ht="15.75" customHeight="1" x14ac:dyDescent="0.2">
      <c r="C803" s="39"/>
      <c r="D803" s="39"/>
      <c r="E803" s="39"/>
    </row>
    <row r="804" spans="3:5" ht="15.75" customHeight="1" x14ac:dyDescent="0.2">
      <c r="C804" s="39"/>
      <c r="D804" s="39"/>
      <c r="E804" s="39"/>
    </row>
    <row r="805" spans="3:5" ht="15.75" customHeight="1" x14ac:dyDescent="0.2">
      <c r="C805" s="39"/>
      <c r="D805" s="39"/>
      <c r="E805" s="39"/>
    </row>
    <row r="806" spans="3:5" ht="15.75" customHeight="1" x14ac:dyDescent="0.2">
      <c r="C806" s="39"/>
      <c r="D806" s="39"/>
      <c r="E806" s="39"/>
    </row>
    <row r="807" spans="3:5" ht="15.75" customHeight="1" x14ac:dyDescent="0.2">
      <c r="C807" s="39"/>
      <c r="D807" s="39"/>
      <c r="E807" s="39"/>
    </row>
    <row r="808" spans="3:5" ht="15.75" customHeight="1" x14ac:dyDescent="0.2">
      <c r="C808" s="39"/>
      <c r="D808" s="39"/>
      <c r="E808" s="39"/>
    </row>
    <row r="809" spans="3:5" ht="15.75" customHeight="1" x14ac:dyDescent="0.2">
      <c r="C809" s="39"/>
      <c r="D809" s="39"/>
      <c r="E809" s="39"/>
    </row>
    <row r="810" spans="3:5" ht="15.75" customHeight="1" x14ac:dyDescent="0.2">
      <c r="C810" s="39"/>
      <c r="D810" s="39"/>
      <c r="E810" s="39"/>
    </row>
    <row r="811" spans="3:5" ht="15.75" customHeight="1" x14ac:dyDescent="0.2">
      <c r="C811" s="39"/>
      <c r="D811" s="39"/>
      <c r="E811" s="39"/>
    </row>
    <row r="812" spans="3:5" ht="15.75" customHeight="1" x14ac:dyDescent="0.2">
      <c r="C812" s="39"/>
      <c r="D812" s="39"/>
      <c r="E812" s="39"/>
    </row>
    <row r="813" spans="3:5" ht="15.75" customHeight="1" x14ac:dyDescent="0.2">
      <c r="C813" s="39"/>
      <c r="D813" s="39"/>
      <c r="E813" s="39"/>
    </row>
    <row r="814" spans="3:5" ht="15.75" customHeight="1" x14ac:dyDescent="0.2">
      <c r="C814" s="39"/>
      <c r="D814" s="39"/>
      <c r="E814" s="39"/>
    </row>
    <row r="815" spans="3:5" ht="15.75" customHeight="1" x14ac:dyDescent="0.2">
      <c r="C815" s="39"/>
      <c r="D815" s="39"/>
      <c r="E815" s="39"/>
    </row>
    <row r="816" spans="3:5" ht="15.75" customHeight="1" x14ac:dyDescent="0.2">
      <c r="C816" s="39"/>
      <c r="D816" s="39"/>
      <c r="E816" s="39"/>
    </row>
    <row r="817" spans="3:5" ht="15.75" customHeight="1" x14ac:dyDescent="0.2">
      <c r="C817" s="39"/>
      <c r="D817" s="39"/>
      <c r="E817" s="39"/>
    </row>
    <row r="818" spans="3:5" ht="15.75" customHeight="1" x14ac:dyDescent="0.2">
      <c r="C818" s="39"/>
      <c r="D818" s="39"/>
      <c r="E818" s="39"/>
    </row>
    <row r="819" spans="3:5" ht="15.75" customHeight="1" x14ac:dyDescent="0.2">
      <c r="C819" s="39"/>
      <c r="D819" s="39"/>
      <c r="E819" s="39"/>
    </row>
    <row r="820" spans="3:5" ht="15.75" customHeight="1" x14ac:dyDescent="0.2">
      <c r="C820" s="39"/>
      <c r="D820" s="39"/>
      <c r="E820" s="39"/>
    </row>
    <row r="821" spans="3:5" ht="15.75" customHeight="1" x14ac:dyDescent="0.2">
      <c r="C821" s="39"/>
      <c r="D821" s="39"/>
      <c r="E821" s="39"/>
    </row>
    <row r="822" spans="3:5" ht="15.75" customHeight="1" x14ac:dyDescent="0.2">
      <c r="C822" s="39"/>
      <c r="D822" s="39"/>
      <c r="E822" s="39"/>
    </row>
    <row r="823" spans="3:5" ht="15.75" customHeight="1" x14ac:dyDescent="0.2">
      <c r="C823" s="39"/>
      <c r="D823" s="39"/>
      <c r="E823" s="39"/>
    </row>
    <row r="824" spans="3:5" ht="15.75" customHeight="1" x14ac:dyDescent="0.2">
      <c r="C824" s="39"/>
      <c r="D824" s="39"/>
      <c r="E824" s="39"/>
    </row>
    <row r="825" spans="3:5" ht="15.75" customHeight="1" x14ac:dyDescent="0.2">
      <c r="C825" s="39"/>
      <c r="D825" s="39"/>
      <c r="E825" s="39"/>
    </row>
    <row r="826" spans="3:5" ht="15.75" customHeight="1" x14ac:dyDescent="0.2">
      <c r="C826" s="39"/>
      <c r="D826" s="39"/>
      <c r="E826" s="39"/>
    </row>
    <row r="827" spans="3:5" ht="15.75" customHeight="1" x14ac:dyDescent="0.2">
      <c r="C827" s="39"/>
      <c r="D827" s="39"/>
      <c r="E827" s="39"/>
    </row>
    <row r="828" spans="3:5" ht="15.75" customHeight="1" x14ac:dyDescent="0.2">
      <c r="C828" s="39"/>
      <c r="D828" s="39"/>
      <c r="E828" s="39"/>
    </row>
    <row r="829" spans="3:5" ht="15.75" customHeight="1" x14ac:dyDescent="0.2">
      <c r="C829" s="39"/>
      <c r="D829" s="39"/>
      <c r="E829" s="39"/>
    </row>
    <row r="830" spans="3:5" ht="15.75" customHeight="1" x14ac:dyDescent="0.2">
      <c r="C830" s="39"/>
      <c r="D830" s="39"/>
      <c r="E830" s="39"/>
    </row>
    <row r="831" spans="3:5" ht="15.75" customHeight="1" x14ac:dyDescent="0.2">
      <c r="C831" s="39"/>
      <c r="D831" s="39"/>
      <c r="E831" s="39"/>
    </row>
    <row r="832" spans="3:5" ht="15.75" customHeight="1" x14ac:dyDescent="0.2">
      <c r="C832" s="39"/>
      <c r="D832" s="39"/>
      <c r="E832" s="39"/>
    </row>
    <row r="833" spans="3:5" ht="15.75" customHeight="1" x14ac:dyDescent="0.2">
      <c r="C833" s="39"/>
      <c r="D833" s="39"/>
      <c r="E833" s="39"/>
    </row>
    <row r="834" spans="3:5" ht="15.75" customHeight="1" x14ac:dyDescent="0.2">
      <c r="C834" s="39"/>
      <c r="D834" s="39"/>
      <c r="E834" s="39"/>
    </row>
    <row r="835" spans="3:5" ht="15.75" customHeight="1" x14ac:dyDescent="0.2">
      <c r="C835" s="39"/>
      <c r="D835" s="39"/>
      <c r="E835" s="39"/>
    </row>
    <row r="836" spans="3:5" ht="15.75" customHeight="1" x14ac:dyDescent="0.2">
      <c r="C836" s="39"/>
      <c r="D836" s="39"/>
      <c r="E836" s="39"/>
    </row>
    <row r="837" spans="3:5" ht="15.75" customHeight="1" x14ac:dyDescent="0.2">
      <c r="C837" s="39"/>
      <c r="D837" s="39"/>
      <c r="E837" s="39"/>
    </row>
    <row r="838" spans="3:5" ht="15.75" customHeight="1" x14ac:dyDescent="0.2">
      <c r="C838" s="39"/>
      <c r="D838" s="39"/>
      <c r="E838" s="39"/>
    </row>
    <row r="839" spans="3:5" ht="15.75" customHeight="1" x14ac:dyDescent="0.2">
      <c r="C839" s="39"/>
      <c r="D839" s="39"/>
      <c r="E839" s="39"/>
    </row>
    <row r="840" spans="3:5" ht="15.75" customHeight="1" x14ac:dyDescent="0.2">
      <c r="C840" s="39"/>
      <c r="D840" s="39"/>
      <c r="E840" s="39"/>
    </row>
    <row r="841" spans="3:5" ht="15.75" customHeight="1" x14ac:dyDescent="0.2">
      <c r="C841" s="39"/>
      <c r="D841" s="39"/>
      <c r="E841" s="39"/>
    </row>
    <row r="842" spans="3:5" ht="15.75" customHeight="1" x14ac:dyDescent="0.2">
      <c r="C842" s="39"/>
      <c r="D842" s="39"/>
      <c r="E842" s="39"/>
    </row>
    <row r="843" spans="3:5" ht="15.75" customHeight="1" x14ac:dyDescent="0.2">
      <c r="C843" s="39"/>
      <c r="D843" s="39"/>
      <c r="E843" s="39"/>
    </row>
    <row r="844" spans="3:5" ht="15.75" customHeight="1" x14ac:dyDescent="0.2">
      <c r="C844" s="39"/>
      <c r="D844" s="39"/>
      <c r="E844" s="39"/>
    </row>
    <row r="845" spans="3:5" ht="15.75" customHeight="1" x14ac:dyDescent="0.2">
      <c r="C845" s="39"/>
      <c r="D845" s="39"/>
      <c r="E845" s="39"/>
    </row>
    <row r="846" spans="3:5" ht="15.75" customHeight="1" x14ac:dyDescent="0.2">
      <c r="C846" s="39"/>
      <c r="D846" s="39"/>
      <c r="E846" s="39"/>
    </row>
    <row r="847" spans="3:5" ht="15.75" customHeight="1" x14ac:dyDescent="0.2">
      <c r="C847" s="39"/>
      <c r="D847" s="39"/>
      <c r="E847" s="39"/>
    </row>
    <row r="848" spans="3:5" ht="15.75" customHeight="1" x14ac:dyDescent="0.2">
      <c r="C848" s="39"/>
      <c r="D848" s="39"/>
      <c r="E848" s="39"/>
    </row>
    <row r="849" spans="3:5" ht="15.75" customHeight="1" x14ac:dyDescent="0.2">
      <c r="C849" s="39"/>
      <c r="D849" s="39"/>
      <c r="E849" s="39"/>
    </row>
    <row r="850" spans="3:5" ht="15.75" customHeight="1" x14ac:dyDescent="0.2">
      <c r="C850" s="39"/>
      <c r="D850" s="39"/>
      <c r="E850" s="39"/>
    </row>
    <row r="851" spans="3:5" ht="15.75" customHeight="1" x14ac:dyDescent="0.2">
      <c r="C851" s="39"/>
      <c r="D851" s="39"/>
      <c r="E851" s="39"/>
    </row>
    <row r="852" spans="3:5" ht="15.75" customHeight="1" x14ac:dyDescent="0.2">
      <c r="C852" s="39"/>
      <c r="D852" s="39"/>
      <c r="E852" s="39"/>
    </row>
    <row r="853" spans="3:5" ht="15.75" customHeight="1" x14ac:dyDescent="0.2">
      <c r="C853" s="39"/>
      <c r="D853" s="39"/>
      <c r="E853" s="39"/>
    </row>
    <row r="854" spans="3:5" ht="15.75" customHeight="1" x14ac:dyDescent="0.2">
      <c r="C854" s="39"/>
      <c r="D854" s="39"/>
      <c r="E854" s="39"/>
    </row>
    <row r="855" spans="3:5" ht="15.75" customHeight="1" x14ac:dyDescent="0.2">
      <c r="C855" s="39"/>
      <c r="D855" s="39"/>
      <c r="E855" s="39"/>
    </row>
    <row r="856" spans="3:5" ht="15.75" customHeight="1" x14ac:dyDescent="0.2">
      <c r="C856" s="39"/>
      <c r="D856" s="39"/>
      <c r="E856" s="39"/>
    </row>
    <row r="857" spans="3:5" ht="15.75" customHeight="1" x14ac:dyDescent="0.2">
      <c r="C857" s="39"/>
      <c r="D857" s="39"/>
      <c r="E857" s="39"/>
    </row>
    <row r="858" spans="3:5" ht="15.75" customHeight="1" x14ac:dyDescent="0.2">
      <c r="C858" s="39"/>
      <c r="D858" s="39"/>
      <c r="E858" s="39"/>
    </row>
    <row r="859" spans="3:5" ht="15.75" customHeight="1" x14ac:dyDescent="0.2">
      <c r="C859" s="39"/>
      <c r="D859" s="39"/>
      <c r="E859" s="39"/>
    </row>
    <row r="860" spans="3:5" ht="15.75" customHeight="1" x14ac:dyDescent="0.2">
      <c r="C860" s="39"/>
      <c r="D860" s="39"/>
      <c r="E860" s="39"/>
    </row>
    <row r="861" spans="3:5" ht="15.75" customHeight="1" x14ac:dyDescent="0.2">
      <c r="C861" s="39"/>
      <c r="D861" s="39"/>
      <c r="E861" s="39"/>
    </row>
    <row r="862" spans="3:5" ht="15.75" customHeight="1" x14ac:dyDescent="0.2">
      <c r="C862" s="39"/>
      <c r="D862" s="39"/>
      <c r="E862" s="39"/>
    </row>
    <row r="863" spans="3:5" ht="15.75" customHeight="1" x14ac:dyDescent="0.2">
      <c r="C863" s="39"/>
      <c r="D863" s="39"/>
      <c r="E863" s="39"/>
    </row>
    <row r="864" spans="3:5" ht="15.75" customHeight="1" x14ac:dyDescent="0.2">
      <c r="C864" s="39"/>
      <c r="D864" s="39"/>
      <c r="E864" s="39"/>
    </row>
    <row r="865" spans="3:5" ht="15.75" customHeight="1" x14ac:dyDescent="0.2">
      <c r="C865" s="39"/>
      <c r="D865" s="39"/>
      <c r="E865" s="39"/>
    </row>
    <row r="866" spans="3:5" ht="15.75" customHeight="1" x14ac:dyDescent="0.2">
      <c r="C866" s="39"/>
      <c r="D866" s="39"/>
      <c r="E866" s="39"/>
    </row>
    <row r="867" spans="3:5" ht="15.75" customHeight="1" x14ac:dyDescent="0.2">
      <c r="C867" s="39"/>
      <c r="D867" s="39"/>
      <c r="E867" s="39"/>
    </row>
    <row r="868" spans="3:5" ht="15.75" customHeight="1" x14ac:dyDescent="0.2">
      <c r="C868" s="39"/>
      <c r="D868" s="39"/>
      <c r="E868" s="39"/>
    </row>
    <row r="869" spans="3:5" ht="15.75" customHeight="1" x14ac:dyDescent="0.2">
      <c r="C869" s="39"/>
      <c r="D869" s="39"/>
      <c r="E869" s="39"/>
    </row>
    <row r="870" spans="3:5" ht="15.75" customHeight="1" x14ac:dyDescent="0.2">
      <c r="C870" s="39"/>
      <c r="D870" s="39"/>
      <c r="E870" s="39"/>
    </row>
    <row r="871" spans="3:5" ht="15.75" customHeight="1" x14ac:dyDescent="0.2">
      <c r="C871" s="39"/>
      <c r="D871" s="39"/>
      <c r="E871" s="39"/>
    </row>
    <row r="872" spans="3:5" ht="15.75" customHeight="1" x14ac:dyDescent="0.2">
      <c r="C872" s="39"/>
      <c r="D872" s="39"/>
      <c r="E872" s="39"/>
    </row>
    <row r="873" spans="3:5" ht="15.75" customHeight="1" x14ac:dyDescent="0.2">
      <c r="C873" s="39"/>
      <c r="D873" s="39"/>
      <c r="E873" s="39"/>
    </row>
    <row r="874" spans="3:5" ht="15.75" customHeight="1" x14ac:dyDescent="0.2">
      <c r="C874" s="39"/>
      <c r="D874" s="39"/>
      <c r="E874" s="39"/>
    </row>
    <row r="875" spans="3:5" ht="15.75" customHeight="1" x14ac:dyDescent="0.2">
      <c r="C875" s="39"/>
      <c r="D875" s="39"/>
      <c r="E875" s="39"/>
    </row>
    <row r="876" spans="3:5" ht="15.75" customHeight="1" x14ac:dyDescent="0.2">
      <c r="C876" s="39"/>
      <c r="D876" s="39"/>
      <c r="E876" s="39"/>
    </row>
    <row r="877" spans="3:5" ht="15.75" customHeight="1" x14ac:dyDescent="0.2">
      <c r="C877" s="39"/>
      <c r="D877" s="39"/>
      <c r="E877" s="39"/>
    </row>
    <row r="878" spans="3:5" ht="15.75" customHeight="1" x14ac:dyDescent="0.2">
      <c r="C878" s="39"/>
      <c r="D878" s="39"/>
      <c r="E878" s="39"/>
    </row>
    <row r="879" spans="3:5" ht="15.75" customHeight="1" x14ac:dyDescent="0.2">
      <c r="C879" s="39"/>
      <c r="D879" s="39"/>
      <c r="E879" s="39"/>
    </row>
    <row r="880" spans="3:5" ht="15.75" customHeight="1" x14ac:dyDescent="0.2">
      <c r="C880" s="39"/>
      <c r="D880" s="39"/>
      <c r="E880" s="39"/>
    </row>
    <row r="881" spans="3:5" ht="15.75" customHeight="1" x14ac:dyDescent="0.2">
      <c r="C881" s="39"/>
      <c r="D881" s="39"/>
      <c r="E881" s="39"/>
    </row>
    <row r="882" spans="3:5" ht="15.75" customHeight="1" x14ac:dyDescent="0.2">
      <c r="C882" s="39"/>
      <c r="D882" s="39"/>
      <c r="E882" s="39"/>
    </row>
    <row r="883" spans="3:5" ht="15.75" customHeight="1" x14ac:dyDescent="0.2">
      <c r="C883" s="39"/>
      <c r="D883" s="39"/>
      <c r="E883" s="39"/>
    </row>
    <row r="884" spans="3:5" ht="15.75" customHeight="1" x14ac:dyDescent="0.2">
      <c r="C884" s="39"/>
      <c r="D884" s="39"/>
      <c r="E884" s="39"/>
    </row>
    <row r="885" spans="3:5" ht="15.75" customHeight="1" x14ac:dyDescent="0.2">
      <c r="C885" s="39"/>
      <c r="D885" s="39"/>
      <c r="E885" s="39"/>
    </row>
    <row r="886" spans="3:5" ht="15.75" customHeight="1" x14ac:dyDescent="0.2">
      <c r="C886" s="39"/>
      <c r="D886" s="39"/>
      <c r="E886" s="39"/>
    </row>
    <row r="887" spans="3:5" ht="15.75" customHeight="1" x14ac:dyDescent="0.2">
      <c r="C887" s="39"/>
      <c r="D887" s="39"/>
      <c r="E887" s="39"/>
    </row>
    <row r="888" spans="3:5" ht="15.75" customHeight="1" x14ac:dyDescent="0.2">
      <c r="C888" s="39"/>
      <c r="D888" s="39"/>
      <c r="E888" s="39"/>
    </row>
    <row r="889" spans="3:5" ht="15.75" customHeight="1" x14ac:dyDescent="0.2">
      <c r="C889" s="39"/>
      <c r="D889" s="39"/>
      <c r="E889" s="39"/>
    </row>
    <row r="890" spans="3:5" ht="15.75" customHeight="1" x14ac:dyDescent="0.2">
      <c r="C890" s="39"/>
      <c r="D890" s="39"/>
      <c r="E890" s="39"/>
    </row>
    <row r="891" spans="3:5" ht="15.75" customHeight="1" x14ac:dyDescent="0.2">
      <c r="C891" s="39"/>
      <c r="D891" s="39"/>
      <c r="E891" s="39"/>
    </row>
    <row r="892" spans="3:5" ht="15.75" customHeight="1" x14ac:dyDescent="0.2">
      <c r="C892" s="39"/>
      <c r="D892" s="39"/>
      <c r="E892" s="39"/>
    </row>
    <row r="893" spans="3:5" ht="15.75" customHeight="1" x14ac:dyDescent="0.2">
      <c r="C893" s="39"/>
      <c r="D893" s="39"/>
      <c r="E893" s="39"/>
    </row>
    <row r="894" spans="3:5" ht="15.75" customHeight="1" x14ac:dyDescent="0.2">
      <c r="C894" s="39"/>
      <c r="D894" s="39"/>
      <c r="E894" s="39"/>
    </row>
    <row r="895" spans="3:5" ht="15.75" customHeight="1" x14ac:dyDescent="0.2">
      <c r="C895" s="39"/>
      <c r="D895" s="39"/>
      <c r="E895" s="39"/>
    </row>
    <row r="896" spans="3:5" ht="15.75" customHeight="1" x14ac:dyDescent="0.2">
      <c r="C896" s="39"/>
      <c r="D896" s="39"/>
      <c r="E896" s="39"/>
    </row>
    <row r="897" spans="3:5" ht="15.75" customHeight="1" x14ac:dyDescent="0.2">
      <c r="C897" s="39"/>
      <c r="D897" s="39"/>
      <c r="E897" s="39"/>
    </row>
    <row r="898" spans="3:5" ht="15.75" customHeight="1" x14ac:dyDescent="0.2">
      <c r="C898" s="39"/>
      <c r="D898" s="39"/>
      <c r="E898" s="39"/>
    </row>
    <row r="899" spans="3:5" ht="15.75" customHeight="1" x14ac:dyDescent="0.2">
      <c r="C899" s="39"/>
      <c r="D899" s="39"/>
      <c r="E899" s="39"/>
    </row>
    <row r="900" spans="3:5" ht="15.75" customHeight="1" x14ac:dyDescent="0.2">
      <c r="C900" s="39"/>
      <c r="D900" s="39"/>
      <c r="E900" s="39"/>
    </row>
    <row r="901" spans="3:5" ht="15.75" customHeight="1" x14ac:dyDescent="0.2">
      <c r="C901" s="39"/>
      <c r="D901" s="39"/>
      <c r="E901" s="39"/>
    </row>
    <row r="902" spans="3:5" ht="15.75" customHeight="1" x14ac:dyDescent="0.2">
      <c r="C902" s="39"/>
      <c r="D902" s="39"/>
      <c r="E902" s="39"/>
    </row>
    <row r="903" spans="3:5" ht="15.75" customHeight="1" x14ac:dyDescent="0.2">
      <c r="C903" s="39"/>
      <c r="D903" s="39"/>
      <c r="E903" s="39"/>
    </row>
    <row r="904" spans="3:5" ht="15.75" customHeight="1" x14ac:dyDescent="0.2">
      <c r="C904" s="39"/>
      <c r="D904" s="39"/>
      <c r="E904" s="39"/>
    </row>
    <row r="905" spans="3:5" ht="15.75" customHeight="1" x14ac:dyDescent="0.2">
      <c r="C905" s="39"/>
      <c r="D905" s="39"/>
      <c r="E905" s="39"/>
    </row>
    <row r="906" spans="3:5" ht="15.75" customHeight="1" x14ac:dyDescent="0.2">
      <c r="C906" s="39"/>
      <c r="D906" s="39"/>
      <c r="E906" s="39"/>
    </row>
    <row r="907" spans="3:5" ht="15.75" customHeight="1" x14ac:dyDescent="0.2">
      <c r="C907" s="39"/>
      <c r="D907" s="39"/>
      <c r="E907" s="39"/>
    </row>
    <row r="908" spans="3:5" ht="15.75" customHeight="1" x14ac:dyDescent="0.2">
      <c r="C908" s="39"/>
      <c r="D908" s="39"/>
      <c r="E908" s="39"/>
    </row>
    <row r="909" spans="3:5" ht="15.75" customHeight="1" x14ac:dyDescent="0.2">
      <c r="C909" s="39"/>
      <c r="D909" s="39"/>
      <c r="E909" s="39"/>
    </row>
    <row r="910" spans="3:5" ht="15.75" customHeight="1" x14ac:dyDescent="0.2">
      <c r="C910" s="39"/>
      <c r="D910" s="39"/>
      <c r="E910" s="39"/>
    </row>
    <row r="911" spans="3:5" ht="15.75" customHeight="1" x14ac:dyDescent="0.2">
      <c r="C911" s="39"/>
      <c r="D911" s="39"/>
      <c r="E911" s="39"/>
    </row>
    <row r="912" spans="3:5" ht="15.75" customHeight="1" x14ac:dyDescent="0.2">
      <c r="C912" s="39"/>
      <c r="D912" s="39"/>
      <c r="E912" s="39"/>
    </row>
    <row r="913" spans="3:5" ht="15.75" customHeight="1" x14ac:dyDescent="0.2">
      <c r="C913" s="39"/>
      <c r="D913" s="39"/>
      <c r="E913" s="39"/>
    </row>
    <row r="914" spans="3:5" ht="15.75" customHeight="1" x14ac:dyDescent="0.2">
      <c r="C914" s="39"/>
      <c r="D914" s="39"/>
      <c r="E914" s="39"/>
    </row>
    <row r="915" spans="3:5" ht="15.75" customHeight="1" x14ac:dyDescent="0.2">
      <c r="C915" s="39"/>
      <c r="D915" s="39"/>
      <c r="E915" s="39"/>
    </row>
    <row r="916" spans="3:5" ht="15.75" customHeight="1" x14ac:dyDescent="0.2">
      <c r="C916" s="39"/>
      <c r="D916" s="39"/>
      <c r="E916" s="39"/>
    </row>
    <row r="917" spans="3:5" ht="15.75" customHeight="1" x14ac:dyDescent="0.2">
      <c r="C917" s="39"/>
      <c r="D917" s="39"/>
      <c r="E917" s="39"/>
    </row>
    <row r="918" spans="3:5" ht="15.75" customHeight="1" x14ac:dyDescent="0.2">
      <c r="C918" s="39"/>
      <c r="D918" s="39"/>
      <c r="E918" s="39"/>
    </row>
    <row r="919" spans="3:5" ht="15.75" customHeight="1" x14ac:dyDescent="0.2">
      <c r="C919" s="39"/>
      <c r="D919" s="39"/>
      <c r="E919" s="39"/>
    </row>
    <row r="920" spans="3:5" ht="15.75" customHeight="1" x14ac:dyDescent="0.2">
      <c r="C920" s="39"/>
      <c r="D920" s="39"/>
      <c r="E920" s="39"/>
    </row>
    <row r="921" spans="3:5" ht="15.75" customHeight="1" x14ac:dyDescent="0.2">
      <c r="C921" s="39"/>
      <c r="D921" s="39"/>
      <c r="E921" s="39"/>
    </row>
    <row r="922" spans="3:5" ht="15.75" customHeight="1" x14ac:dyDescent="0.2">
      <c r="C922" s="39"/>
      <c r="D922" s="39"/>
      <c r="E922" s="39"/>
    </row>
    <row r="923" spans="3:5" ht="15.75" customHeight="1" x14ac:dyDescent="0.2">
      <c r="C923" s="39"/>
      <c r="D923" s="39"/>
      <c r="E923" s="39"/>
    </row>
    <row r="924" spans="3:5" ht="15.75" customHeight="1" x14ac:dyDescent="0.2">
      <c r="C924" s="39"/>
      <c r="D924" s="39"/>
      <c r="E924" s="39"/>
    </row>
    <row r="925" spans="3:5" ht="15.75" customHeight="1" x14ac:dyDescent="0.2">
      <c r="C925" s="39"/>
      <c r="D925" s="39"/>
      <c r="E925" s="39"/>
    </row>
    <row r="926" spans="3:5" ht="15.75" customHeight="1" x14ac:dyDescent="0.2">
      <c r="C926" s="39"/>
      <c r="D926" s="39"/>
      <c r="E926" s="39"/>
    </row>
    <row r="927" spans="3:5" ht="15.75" customHeight="1" x14ac:dyDescent="0.2">
      <c r="C927" s="39"/>
      <c r="D927" s="39"/>
      <c r="E927" s="39"/>
    </row>
    <row r="928" spans="3:5" ht="15.75" customHeight="1" x14ac:dyDescent="0.2">
      <c r="C928" s="39"/>
      <c r="D928" s="39"/>
      <c r="E928" s="39"/>
    </row>
    <row r="929" spans="3:5" ht="15.75" customHeight="1" x14ac:dyDescent="0.2">
      <c r="C929" s="39"/>
      <c r="D929" s="39"/>
      <c r="E929" s="39"/>
    </row>
    <row r="930" spans="3:5" ht="15.75" customHeight="1" x14ac:dyDescent="0.2">
      <c r="C930" s="39"/>
      <c r="D930" s="39"/>
      <c r="E930" s="39"/>
    </row>
    <row r="931" spans="3:5" ht="15.75" customHeight="1" x14ac:dyDescent="0.2">
      <c r="C931" s="39"/>
      <c r="D931" s="39"/>
      <c r="E931" s="39"/>
    </row>
    <row r="932" spans="3:5" ht="15.75" customHeight="1" x14ac:dyDescent="0.2">
      <c r="C932" s="39"/>
      <c r="D932" s="39"/>
      <c r="E932" s="39"/>
    </row>
    <row r="933" spans="3:5" ht="15.75" customHeight="1" x14ac:dyDescent="0.2">
      <c r="C933" s="39"/>
      <c r="D933" s="39"/>
      <c r="E933" s="39"/>
    </row>
    <row r="934" spans="3:5" ht="15.75" customHeight="1" x14ac:dyDescent="0.2">
      <c r="C934" s="39"/>
      <c r="D934" s="39"/>
      <c r="E934" s="39"/>
    </row>
    <row r="935" spans="3:5" ht="15.75" customHeight="1" x14ac:dyDescent="0.2">
      <c r="C935" s="39"/>
      <c r="D935" s="39"/>
      <c r="E935" s="39"/>
    </row>
    <row r="936" spans="3:5" ht="15.75" customHeight="1" x14ac:dyDescent="0.2">
      <c r="C936" s="39"/>
      <c r="D936" s="39"/>
      <c r="E936" s="39"/>
    </row>
    <row r="937" spans="3:5" ht="15.75" customHeight="1" x14ac:dyDescent="0.2">
      <c r="C937" s="39"/>
      <c r="D937" s="39"/>
      <c r="E937" s="39"/>
    </row>
    <row r="938" spans="3:5" ht="15.75" customHeight="1" x14ac:dyDescent="0.2">
      <c r="C938" s="39"/>
      <c r="D938" s="39"/>
      <c r="E938" s="39"/>
    </row>
    <row r="939" spans="3:5" ht="15.75" customHeight="1" x14ac:dyDescent="0.2">
      <c r="C939" s="39"/>
      <c r="D939" s="39"/>
      <c r="E939" s="39"/>
    </row>
    <row r="940" spans="3:5" ht="15.75" customHeight="1" x14ac:dyDescent="0.2">
      <c r="C940" s="39"/>
      <c r="D940" s="39"/>
      <c r="E940" s="39"/>
    </row>
    <row r="941" spans="3:5" ht="15.75" customHeight="1" x14ac:dyDescent="0.2">
      <c r="C941" s="39"/>
      <c r="D941" s="39"/>
      <c r="E941" s="39"/>
    </row>
    <row r="942" spans="3:5" ht="15.75" customHeight="1" x14ac:dyDescent="0.2">
      <c r="C942" s="39"/>
      <c r="D942" s="39"/>
      <c r="E942" s="39"/>
    </row>
    <row r="943" spans="3:5" ht="15.75" customHeight="1" x14ac:dyDescent="0.2">
      <c r="C943" s="39"/>
      <c r="D943" s="39"/>
      <c r="E943" s="39"/>
    </row>
    <row r="944" spans="3:5" ht="15.75" customHeight="1" x14ac:dyDescent="0.2">
      <c r="C944" s="39"/>
      <c r="D944" s="39"/>
      <c r="E944" s="39"/>
    </row>
    <row r="945" spans="3:5" ht="15.75" customHeight="1" x14ac:dyDescent="0.2">
      <c r="C945" s="39"/>
      <c r="D945" s="39"/>
      <c r="E945" s="39"/>
    </row>
    <row r="946" spans="3:5" ht="15.75" customHeight="1" x14ac:dyDescent="0.2">
      <c r="C946" s="39"/>
      <c r="D946" s="39"/>
      <c r="E946" s="39"/>
    </row>
    <row r="947" spans="3:5" ht="15.75" customHeight="1" x14ac:dyDescent="0.2">
      <c r="C947" s="39"/>
      <c r="D947" s="39"/>
      <c r="E947" s="39"/>
    </row>
    <row r="948" spans="3:5" ht="15.75" customHeight="1" x14ac:dyDescent="0.2">
      <c r="C948" s="39"/>
      <c r="D948" s="39"/>
      <c r="E948" s="39"/>
    </row>
    <row r="949" spans="3:5" ht="15.75" customHeight="1" x14ac:dyDescent="0.2">
      <c r="C949" s="39"/>
      <c r="D949" s="39"/>
      <c r="E949" s="39"/>
    </row>
    <row r="950" spans="3:5" ht="15.75" customHeight="1" x14ac:dyDescent="0.2">
      <c r="C950" s="39"/>
      <c r="D950" s="39"/>
      <c r="E950" s="39"/>
    </row>
    <row r="951" spans="3:5" ht="15.75" customHeight="1" x14ac:dyDescent="0.2">
      <c r="C951" s="39"/>
      <c r="D951" s="39"/>
      <c r="E951" s="39"/>
    </row>
    <row r="952" spans="3:5" ht="15.75" customHeight="1" x14ac:dyDescent="0.2">
      <c r="C952" s="39"/>
      <c r="D952" s="39"/>
      <c r="E952" s="39"/>
    </row>
    <row r="953" spans="3:5" ht="15.75" customHeight="1" x14ac:dyDescent="0.2">
      <c r="C953" s="39"/>
      <c r="D953" s="39"/>
      <c r="E953" s="39"/>
    </row>
    <row r="954" spans="3:5" ht="15.75" customHeight="1" x14ac:dyDescent="0.2">
      <c r="C954" s="39"/>
      <c r="D954" s="39"/>
      <c r="E954" s="39"/>
    </row>
    <row r="955" spans="3:5" ht="15.75" customHeight="1" x14ac:dyDescent="0.2">
      <c r="C955" s="39"/>
      <c r="D955" s="39"/>
      <c r="E955" s="39"/>
    </row>
    <row r="956" spans="3:5" ht="15.75" customHeight="1" x14ac:dyDescent="0.2">
      <c r="C956" s="39"/>
      <c r="D956" s="39"/>
      <c r="E956" s="39"/>
    </row>
    <row r="957" spans="3:5" ht="15.75" customHeight="1" x14ac:dyDescent="0.2">
      <c r="C957" s="39"/>
      <c r="D957" s="39"/>
      <c r="E957" s="39"/>
    </row>
    <row r="958" spans="3:5" ht="15.75" customHeight="1" x14ac:dyDescent="0.2">
      <c r="C958" s="39"/>
      <c r="D958" s="39"/>
      <c r="E958" s="39"/>
    </row>
    <row r="959" spans="3:5" ht="15.75" customHeight="1" x14ac:dyDescent="0.2">
      <c r="C959" s="39"/>
      <c r="D959" s="39"/>
      <c r="E959" s="39"/>
    </row>
    <row r="960" spans="3:5" ht="15.75" customHeight="1" x14ac:dyDescent="0.2">
      <c r="C960" s="39"/>
      <c r="D960" s="39"/>
      <c r="E960" s="39"/>
    </row>
    <row r="961" spans="3:5" ht="15.75" customHeight="1" x14ac:dyDescent="0.2">
      <c r="C961" s="39"/>
      <c r="D961" s="39"/>
      <c r="E961" s="39"/>
    </row>
    <row r="962" spans="3:5" ht="15.75" customHeight="1" x14ac:dyDescent="0.2">
      <c r="C962" s="39"/>
      <c r="D962" s="39"/>
      <c r="E962" s="39"/>
    </row>
    <row r="963" spans="3:5" ht="15.75" customHeight="1" x14ac:dyDescent="0.2">
      <c r="C963" s="39"/>
      <c r="D963" s="39"/>
      <c r="E963" s="39"/>
    </row>
    <row r="964" spans="3:5" ht="15.75" customHeight="1" x14ac:dyDescent="0.2">
      <c r="C964" s="39"/>
      <c r="D964" s="39"/>
      <c r="E964" s="39"/>
    </row>
    <row r="965" spans="3:5" ht="15.75" customHeight="1" x14ac:dyDescent="0.2">
      <c r="C965" s="39"/>
      <c r="D965" s="39"/>
      <c r="E965" s="39"/>
    </row>
    <row r="966" spans="3:5" ht="15.75" customHeight="1" x14ac:dyDescent="0.2">
      <c r="C966" s="39"/>
      <c r="D966" s="39"/>
      <c r="E966" s="39"/>
    </row>
    <row r="967" spans="3:5" ht="15.75" customHeight="1" x14ac:dyDescent="0.2">
      <c r="C967" s="39"/>
      <c r="D967" s="39"/>
      <c r="E967" s="39"/>
    </row>
    <row r="968" spans="3:5" ht="15.75" customHeight="1" x14ac:dyDescent="0.2">
      <c r="C968" s="39"/>
      <c r="D968" s="39"/>
      <c r="E968" s="39"/>
    </row>
    <row r="969" spans="3:5" ht="15.75" customHeight="1" x14ac:dyDescent="0.2">
      <c r="C969" s="39"/>
      <c r="D969" s="39"/>
      <c r="E969" s="39"/>
    </row>
    <row r="970" spans="3:5" ht="15.75" customHeight="1" x14ac:dyDescent="0.2">
      <c r="C970" s="39"/>
      <c r="D970" s="39"/>
      <c r="E970" s="39"/>
    </row>
    <row r="971" spans="3:5" ht="15.75" customHeight="1" x14ac:dyDescent="0.2">
      <c r="C971" s="39"/>
      <c r="D971" s="39"/>
      <c r="E971" s="39"/>
    </row>
    <row r="972" spans="3:5" ht="15.75" customHeight="1" x14ac:dyDescent="0.2">
      <c r="C972" s="39"/>
      <c r="D972" s="39"/>
      <c r="E972" s="39"/>
    </row>
    <row r="973" spans="3:5" ht="15.75" customHeight="1" x14ac:dyDescent="0.2">
      <c r="C973" s="39"/>
      <c r="D973" s="39"/>
      <c r="E973" s="39"/>
    </row>
    <row r="974" spans="3:5" ht="15.75" customHeight="1" x14ac:dyDescent="0.2">
      <c r="C974" s="39"/>
      <c r="D974" s="39"/>
      <c r="E974" s="39"/>
    </row>
    <row r="975" spans="3:5" ht="15.75" customHeight="1" x14ac:dyDescent="0.2">
      <c r="C975" s="39"/>
      <c r="D975" s="39"/>
      <c r="E975" s="39"/>
    </row>
    <row r="976" spans="3:5" ht="15.75" customHeight="1" x14ac:dyDescent="0.2">
      <c r="C976" s="39"/>
      <c r="D976" s="39"/>
      <c r="E976" s="39"/>
    </row>
    <row r="977" spans="3:5" ht="15.75" customHeight="1" x14ac:dyDescent="0.2">
      <c r="C977" s="39"/>
      <c r="D977" s="39"/>
      <c r="E977" s="39"/>
    </row>
    <row r="978" spans="3:5" ht="15.75" customHeight="1" x14ac:dyDescent="0.2">
      <c r="C978" s="39"/>
      <c r="D978" s="39"/>
      <c r="E978" s="39"/>
    </row>
    <row r="979" spans="3:5" ht="15.75" customHeight="1" x14ac:dyDescent="0.2">
      <c r="C979" s="39"/>
      <c r="D979" s="39"/>
      <c r="E979" s="39"/>
    </row>
    <row r="980" spans="3:5" ht="15.75" customHeight="1" x14ac:dyDescent="0.2">
      <c r="C980" s="39"/>
      <c r="D980" s="39"/>
      <c r="E980" s="39"/>
    </row>
    <row r="981" spans="3:5" ht="15.75" customHeight="1" x14ac:dyDescent="0.2">
      <c r="C981" s="39"/>
      <c r="D981" s="39"/>
      <c r="E981" s="39"/>
    </row>
    <row r="982" spans="3:5" ht="15.75" customHeight="1" x14ac:dyDescent="0.2">
      <c r="C982" s="39"/>
      <c r="D982" s="39"/>
      <c r="E982" s="39"/>
    </row>
    <row r="983" spans="3:5" ht="15.75" customHeight="1" x14ac:dyDescent="0.2">
      <c r="C983" s="39"/>
      <c r="D983" s="39"/>
      <c r="E983" s="39"/>
    </row>
    <row r="984" spans="3:5" ht="15.75" customHeight="1" x14ac:dyDescent="0.2">
      <c r="C984" s="39"/>
      <c r="D984" s="39"/>
      <c r="E984" s="39"/>
    </row>
    <row r="985" spans="3:5" ht="15.75" customHeight="1" x14ac:dyDescent="0.2">
      <c r="C985" s="39"/>
      <c r="D985" s="39"/>
      <c r="E985" s="39"/>
    </row>
    <row r="986" spans="3:5" ht="15.75" customHeight="1" x14ac:dyDescent="0.2">
      <c r="C986" s="39"/>
      <c r="D986" s="39"/>
      <c r="E986" s="39"/>
    </row>
    <row r="987" spans="3:5" ht="15.75" customHeight="1" x14ac:dyDescent="0.2">
      <c r="C987" s="39"/>
      <c r="D987" s="39"/>
      <c r="E987" s="39"/>
    </row>
    <row r="988" spans="3:5" ht="15.75" customHeight="1" x14ac:dyDescent="0.2">
      <c r="C988" s="39"/>
      <c r="D988" s="39"/>
      <c r="E988" s="39"/>
    </row>
    <row r="989" spans="3:5" ht="15.75" customHeight="1" x14ac:dyDescent="0.2">
      <c r="C989" s="39"/>
      <c r="D989" s="39"/>
      <c r="E989" s="39"/>
    </row>
    <row r="990" spans="3:5" ht="15.75" customHeight="1" x14ac:dyDescent="0.2">
      <c r="C990" s="39"/>
      <c r="D990" s="39"/>
      <c r="E990" s="39"/>
    </row>
    <row r="991" spans="3:5" ht="15.75" customHeight="1" x14ac:dyDescent="0.2">
      <c r="C991" s="39"/>
      <c r="D991" s="39"/>
      <c r="E991" s="39"/>
    </row>
    <row r="992" spans="3:5" ht="15.75" customHeight="1" x14ac:dyDescent="0.2">
      <c r="C992" s="39"/>
      <c r="D992" s="39"/>
      <c r="E992" s="39"/>
    </row>
    <row r="993" spans="3:5" ht="15.75" customHeight="1" x14ac:dyDescent="0.2">
      <c r="C993" s="39"/>
      <c r="D993" s="39"/>
      <c r="E993" s="39"/>
    </row>
    <row r="994" spans="3:5" ht="15.75" customHeight="1" x14ac:dyDescent="0.2">
      <c r="C994" s="39"/>
      <c r="D994" s="39"/>
      <c r="E994" s="39"/>
    </row>
    <row r="995" spans="3:5" ht="15.75" customHeight="1" x14ac:dyDescent="0.2">
      <c r="C995" s="39"/>
      <c r="D995" s="39"/>
      <c r="E995" s="39"/>
    </row>
    <row r="996" spans="3:5" ht="15.75" customHeight="1" x14ac:dyDescent="0.2">
      <c r="C996" s="39"/>
      <c r="D996" s="39"/>
      <c r="E996" s="39"/>
    </row>
    <row r="997" spans="3:5" ht="15.75" customHeight="1" x14ac:dyDescent="0.2">
      <c r="C997" s="39"/>
      <c r="D997" s="39"/>
      <c r="E997" s="39"/>
    </row>
    <row r="998" spans="3:5" ht="15.75" customHeight="1" x14ac:dyDescent="0.2">
      <c r="C998" s="39"/>
      <c r="D998" s="39"/>
      <c r="E998" s="39"/>
    </row>
    <row r="999" spans="3:5" ht="15.75" customHeight="1" x14ac:dyDescent="0.2">
      <c r="C999" s="39"/>
      <c r="D999" s="39"/>
      <c r="E999" s="39"/>
    </row>
    <row r="1000" spans="3:5" ht="15.75" customHeight="1" x14ac:dyDescent="0.2">
      <c r="C1000" s="39"/>
      <c r="D1000" s="39"/>
      <c r="E1000" s="39"/>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C5856"/>
  <sheetViews>
    <sheetView workbookViewId="0"/>
  </sheetViews>
  <sheetFormatPr baseColWidth="10" defaultColWidth="11.1640625" defaultRowHeight="15" customHeight="1" x14ac:dyDescent="0.2"/>
  <cols>
    <col min="1" max="2" width="10.5" customWidth="1"/>
    <col min="3" max="3" width="80" customWidth="1"/>
    <col min="4" max="6" width="10.5" customWidth="1"/>
  </cols>
  <sheetData>
    <row r="1" spans="1:3" ht="15.75" customHeight="1" x14ac:dyDescent="0.2">
      <c r="A1" s="40" t="s">
        <v>592</v>
      </c>
      <c r="B1" s="40" t="s">
        <v>22</v>
      </c>
      <c r="C1" s="43" t="s">
        <v>593</v>
      </c>
    </row>
    <row r="2" spans="1:3" ht="15.75" customHeight="1" x14ac:dyDescent="0.2">
      <c r="A2" s="42">
        <v>367</v>
      </c>
      <c r="B2" s="42">
        <v>17311</v>
      </c>
      <c r="C2" s="34" t="s">
        <v>1238</v>
      </c>
    </row>
    <row r="3" spans="1:3" ht="15.75" customHeight="1" x14ac:dyDescent="0.2">
      <c r="A3" s="42">
        <v>368</v>
      </c>
      <c r="B3" s="42">
        <v>17311</v>
      </c>
      <c r="C3" s="34" t="s">
        <v>1239</v>
      </c>
    </row>
    <row r="4" spans="1:3" ht="15.75" customHeight="1" x14ac:dyDescent="0.2">
      <c r="A4" s="42">
        <v>369</v>
      </c>
      <c r="B4" s="42">
        <v>17311</v>
      </c>
      <c r="C4" s="34" t="s">
        <v>1240</v>
      </c>
    </row>
    <row r="5" spans="1:3" ht="15.75" customHeight="1" x14ac:dyDescent="0.2">
      <c r="A5" s="42">
        <v>370</v>
      </c>
      <c r="B5" s="42">
        <v>17311</v>
      </c>
      <c r="C5" s="34" t="s">
        <v>1241</v>
      </c>
    </row>
    <row r="6" spans="1:3" ht="15.75" customHeight="1" x14ac:dyDescent="0.2">
      <c r="A6" s="42">
        <v>371</v>
      </c>
      <c r="B6" s="42">
        <v>17311</v>
      </c>
      <c r="C6" s="34" t="s">
        <v>1242</v>
      </c>
    </row>
    <row r="7" spans="1:3" ht="15.75" customHeight="1" x14ac:dyDescent="0.2">
      <c r="A7" s="42">
        <v>372</v>
      </c>
      <c r="B7" s="42">
        <v>17311</v>
      </c>
      <c r="C7" s="34" t="s">
        <v>1243</v>
      </c>
    </row>
    <row r="8" spans="1:3" ht="15.75" customHeight="1" x14ac:dyDescent="0.2">
      <c r="A8" s="42">
        <v>373</v>
      </c>
      <c r="B8" s="42">
        <v>17311</v>
      </c>
      <c r="C8" s="34" t="s">
        <v>1244</v>
      </c>
    </row>
    <row r="9" spans="1:3" ht="15.75" customHeight="1" x14ac:dyDescent="0.2">
      <c r="A9" s="42">
        <v>374</v>
      </c>
      <c r="B9" s="42">
        <v>17311</v>
      </c>
      <c r="C9" s="34" t="s">
        <v>1245</v>
      </c>
    </row>
    <row r="10" spans="1:3" ht="15.75" customHeight="1" x14ac:dyDescent="0.2">
      <c r="A10" s="42">
        <v>375</v>
      </c>
      <c r="B10" s="42">
        <v>17311</v>
      </c>
      <c r="C10" s="34" t="s">
        <v>1246</v>
      </c>
    </row>
    <row r="11" spans="1:3" ht="15.75" customHeight="1" x14ac:dyDescent="0.2">
      <c r="A11" s="42">
        <v>376</v>
      </c>
      <c r="B11" s="42">
        <v>17311</v>
      </c>
      <c r="C11" s="34" t="s">
        <v>1247</v>
      </c>
    </row>
    <row r="12" spans="1:3" ht="15.75" customHeight="1" x14ac:dyDescent="0.2">
      <c r="A12" s="42">
        <v>377</v>
      </c>
      <c r="B12" s="42">
        <v>17311</v>
      </c>
      <c r="C12" s="34" t="s">
        <v>1248</v>
      </c>
    </row>
    <row r="13" spans="1:3" ht="15.75" customHeight="1" x14ac:dyDescent="0.2">
      <c r="A13" s="42">
        <v>378</v>
      </c>
      <c r="B13" s="42">
        <v>17311</v>
      </c>
      <c r="C13" s="34" t="s">
        <v>1249</v>
      </c>
    </row>
    <row r="14" spans="1:3" ht="15.75" customHeight="1" x14ac:dyDescent="0.2">
      <c r="A14" s="42">
        <v>379</v>
      </c>
      <c r="B14" s="42">
        <v>17311</v>
      </c>
      <c r="C14" s="34" t="s">
        <v>1250</v>
      </c>
    </row>
    <row r="15" spans="1:3" ht="15.75" customHeight="1" x14ac:dyDescent="0.2">
      <c r="A15" s="42">
        <v>380</v>
      </c>
      <c r="B15" s="42">
        <v>17311</v>
      </c>
      <c r="C15" s="34" t="s">
        <v>1251</v>
      </c>
    </row>
    <row r="16" spans="1:3" ht="15.75" customHeight="1" x14ac:dyDescent="0.2">
      <c r="A16" s="42">
        <v>381</v>
      </c>
      <c r="B16" s="42">
        <v>17311</v>
      </c>
      <c r="C16" s="34" t="s">
        <v>1252</v>
      </c>
    </row>
    <row r="17" spans="1:3" ht="15.75" customHeight="1" x14ac:dyDescent="0.2">
      <c r="A17" s="42">
        <v>382</v>
      </c>
      <c r="B17" s="42">
        <v>17311</v>
      </c>
      <c r="C17" s="34" t="s">
        <v>1253</v>
      </c>
    </row>
    <row r="18" spans="1:3" ht="15.75" customHeight="1" x14ac:dyDescent="0.2">
      <c r="A18" s="42">
        <v>383</v>
      </c>
      <c r="B18" s="42">
        <v>17311</v>
      </c>
      <c r="C18" s="34" t="s">
        <v>1254</v>
      </c>
    </row>
    <row r="19" spans="1:3" ht="15.75" customHeight="1" x14ac:dyDescent="0.2">
      <c r="A19" s="42">
        <v>384</v>
      </c>
      <c r="B19" s="42">
        <v>17311</v>
      </c>
      <c r="C19" s="34" t="s">
        <v>1255</v>
      </c>
    </row>
    <row r="20" spans="1:3" ht="15.75" customHeight="1" x14ac:dyDescent="0.2">
      <c r="A20" s="42">
        <v>385</v>
      </c>
      <c r="B20" s="42">
        <v>17311</v>
      </c>
      <c r="C20" s="34" t="s">
        <v>1256</v>
      </c>
    </row>
    <row r="21" spans="1:3" ht="15.75" customHeight="1" x14ac:dyDescent="0.2">
      <c r="A21" s="42">
        <v>386</v>
      </c>
      <c r="B21" s="42">
        <v>17311</v>
      </c>
      <c r="C21" s="34" t="s">
        <v>1257</v>
      </c>
    </row>
    <row r="22" spans="1:3" ht="15.75" customHeight="1" x14ac:dyDescent="0.2">
      <c r="A22" s="42">
        <v>387</v>
      </c>
      <c r="B22" s="42">
        <v>17311</v>
      </c>
      <c r="C22" s="34" t="s">
        <v>1258</v>
      </c>
    </row>
    <row r="23" spans="1:3" ht="15.75" customHeight="1" x14ac:dyDescent="0.2">
      <c r="A23" s="42">
        <v>388</v>
      </c>
      <c r="B23" s="42">
        <v>17311</v>
      </c>
      <c r="C23" s="34" t="s">
        <v>1259</v>
      </c>
    </row>
    <row r="24" spans="1:3" ht="15.75" customHeight="1" x14ac:dyDescent="0.2">
      <c r="A24" s="42">
        <v>389</v>
      </c>
      <c r="B24" s="42">
        <v>17311</v>
      </c>
      <c r="C24" s="34" t="s">
        <v>1260</v>
      </c>
    </row>
    <row r="25" spans="1:3" ht="15.75" customHeight="1" x14ac:dyDescent="0.2">
      <c r="A25" s="42">
        <v>390</v>
      </c>
      <c r="B25" s="42">
        <v>17311</v>
      </c>
      <c r="C25" s="34" t="s">
        <v>1261</v>
      </c>
    </row>
    <row r="26" spans="1:3" ht="15.75" customHeight="1" x14ac:dyDescent="0.2">
      <c r="A26" s="42">
        <v>391</v>
      </c>
      <c r="B26" s="42">
        <v>17311</v>
      </c>
      <c r="C26" s="34" t="s">
        <v>1262</v>
      </c>
    </row>
    <row r="27" spans="1:3" ht="15.75" customHeight="1" x14ac:dyDescent="0.2">
      <c r="A27" s="42">
        <v>392</v>
      </c>
      <c r="B27" s="42">
        <v>17311</v>
      </c>
      <c r="C27" s="34" t="s">
        <v>1263</v>
      </c>
    </row>
    <row r="28" spans="1:3" ht="15.75" customHeight="1" x14ac:dyDescent="0.2">
      <c r="A28" s="42">
        <v>393</v>
      </c>
      <c r="B28" s="42">
        <v>17311</v>
      </c>
      <c r="C28" s="34" t="s">
        <v>1264</v>
      </c>
    </row>
    <row r="29" spans="1:3" ht="15.75" customHeight="1" x14ac:dyDescent="0.2">
      <c r="A29" s="42">
        <v>394</v>
      </c>
      <c r="B29" s="42">
        <v>17311</v>
      </c>
      <c r="C29" s="34" t="s">
        <v>1265</v>
      </c>
    </row>
    <row r="30" spans="1:3" ht="15.75" customHeight="1" x14ac:dyDescent="0.2">
      <c r="A30" s="42">
        <v>395</v>
      </c>
      <c r="B30" s="42">
        <v>17311</v>
      </c>
      <c r="C30" s="34" t="s">
        <v>1266</v>
      </c>
    </row>
    <row r="31" spans="1:3" ht="15.75" customHeight="1" x14ac:dyDescent="0.2">
      <c r="A31" s="42">
        <v>396</v>
      </c>
      <c r="B31" s="42">
        <v>17311</v>
      </c>
      <c r="C31" s="34" t="s">
        <v>1267</v>
      </c>
    </row>
    <row r="32" spans="1:3" ht="15.75" customHeight="1" x14ac:dyDescent="0.2">
      <c r="A32" s="42">
        <v>397</v>
      </c>
      <c r="B32" s="42">
        <v>17311</v>
      </c>
      <c r="C32" s="34" t="s">
        <v>1268</v>
      </c>
    </row>
    <row r="33" spans="1:3" ht="15.75" customHeight="1" x14ac:dyDescent="0.2">
      <c r="A33" s="42">
        <v>398</v>
      </c>
      <c r="B33" s="42">
        <v>17311</v>
      </c>
      <c r="C33" s="34" t="s">
        <v>1269</v>
      </c>
    </row>
    <row r="34" spans="1:3" ht="15.75" customHeight="1" x14ac:dyDescent="0.2">
      <c r="A34" s="42">
        <v>399</v>
      </c>
      <c r="B34" s="42">
        <v>17311</v>
      </c>
      <c r="C34" s="34" t="s">
        <v>1270</v>
      </c>
    </row>
    <row r="35" spans="1:3" ht="15.75" customHeight="1" x14ac:dyDescent="0.2">
      <c r="A35" s="42">
        <v>400</v>
      </c>
      <c r="B35" s="42">
        <v>17311</v>
      </c>
      <c r="C35" s="34" t="s">
        <v>1271</v>
      </c>
    </row>
    <row r="36" spans="1:3" ht="15.75" customHeight="1" x14ac:dyDescent="0.2">
      <c r="A36" s="42">
        <v>401</v>
      </c>
      <c r="B36" s="42">
        <v>17311</v>
      </c>
      <c r="C36" s="34" t="s">
        <v>1272</v>
      </c>
    </row>
    <row r="37" spans="1:3" ht="15.75" customHeight="1" x14ac:dyDescent="0.2">
      <c r="A37" s="42">
        <v>402</v>
      </c>
      <c r="B37" s="42">
        <v>17311</v>
      </c>
      <c r="C37" s="34" t="s">
        <v>1273</v>
      </c>
    </row>
    <row r="38" spans="1:3" ht="15.75" customHeight="1" x14ac:dyDescent="0.2">
      <c r="A38" s="42">
        <v>403</v>
      </c>
      <c r="B38" s="42">
        <v>17311</v>
      </c>
      <c r="C38" s="34" t="s">
        <v>1274</v>
      </c>
    </row>
    <row r="39" spans="1:3" ht="15.75" customHeight="1" x14ac:dyDescent="0.2">
      <c r="A39" s="42">
        <v>404</v>
      </c>
      <c r="B39" s="42">
        <v>17311</v>
      </c>
      <c r="C39" s="34" t="s">
        <v>1275</v>
      </c>
    </row>
    <row r="40" spans="1:3" ht="15.75" customHeight="1" x14ac:dyDescent="0.2">
      <c r="A40" s="42">
        <v>405</v>
      </c>
      <c r="B40" s="42">
        <v>17311</v>
      </c>
      <c r="C40" s="34" t="s">
        <v>1276</v>
      </c>
    </row>
    <row r="41" spans="1:3" ht="15.75" customHeight="1" x14ac:dyDescent="0.2">
      <c r="A41" s="42">
        <v>406</v>
      </c>
      <c r="B41" s="42">
        <v>17311</v>
      </c>
      <c r="C41" s="34" t="s">
        <v>1277</v>
      </c>
    </row>
    <row r="42" spans="1:3" ht="15.75" customHeight="1" x14ac:dyDescent="0.2">
      <c r="A42" s="42">
        <v>407</v>
      </c>
      <c r="B42" s="42">
        <v>17311</v>
      </c>
      <c r="C42" s="34" t="s">
        <v>1278</v>
      </c>
    </row>
    <row r="43" spans="1:3" ht="15.75" customHeight="1" x14ac:dyDescent="0.2">
      <c r="A43" s="42">
        <v>408</v>
      </c>
      <c r="B43" s="42">
        <v>17311</v>
      </c>
      <c r="C43" s="34" t="s">
        <v>1279</v>
      </c>
    </row>
    <row r="44" spans="1:3" ht="15.75" customHeight="1" x14ac:dyDescent="0.2">
      <c r="A44" s="42">
        <v>409</v>
      </c>
      <c r="B44" s="42">
        <v>17311</v>
      </c>
      <c r="C44" s="34" t="s">
        <v>1280</v>
      </c>
    </row>
    <row r="45" spans="1:3" ht="15.75" customHeight="1" x14ac:dyDescent="0.2">
      <c r="A45" s="42">
        <v>410</v>
      </c>
      <c r="B45" s="42">
        <v>17311</v>
      </c>
      <c r="C45" s="34" t="s">
        <v>1281</v>
      </c>
    </row>
    <row r="46" spans="1:3" ht="15.75" customHeight="1" x14ac:dyDescent="0.2">
      <c r="A46" s="42">
        <v>411</v>
      </c>
      <c r="B46" s="42">
        <v>17311</v>
      </c>
      <c r="C46" s="34" t="s">
        <v>1282</v>
      </c>
    </row>
    <row r="47" spans="1:3" ht="15.75" customHeight="1" x14ac:dyDescent="0.2">
      <c r="A47" s="42">
        <v>412</v>
      </c>
      <c r="B47" s="42">
        <v>17311</v>
      </c>
      <c r="C47" s="34" t="s">
        <v>1283</v>
      </c>
    </row>
    <row r="48" spans="1:3" ht="15.75" customHeight="1" x14ac:dyDescent="0.2">
      <c r="A48" s="42">
        <v>413</v>
      </c>
      <c r="B48" s="42">
        <v>17311</v>
      </c>
      <c r="C48" s="34" t="s">
        <v>1284</v>
      </c>
    </row>
    <row r="49" spans="1:3" ht="15.75" customHeight="1" x14ac:dyDescent="0.2">
      <c r="A49" s="42">
        <v>414</v>
      </c>
      <c r="B49" s="42">
        <v>17311</v>
      </c>
      <c r="C49" s="34" t="s">
        <v>1285</v>
      </c>
    </row>
    <row r="50" spans="1:3" ht="15.75" customHeight="1" x14ac:dyDescent="0.2">
      <c r="A50" s="42">
        <v>415</v>
      </c>
      <c r="B50" s="42">
        <v>17311</v>
      </c>
      <c r="C50" s="34" t="s">
        <v>1286</v>
      </c>
    </row>
    <row r="51" spans="1:3" ht="15.75" customHeight="1" x14ac:dyDescent="0.2">
      <c r="A51" s="42">
        <v>416</v>
      </c>
      <c r="B51" s="42">
        <v>17311</v>
      </c>
      <c r="C51" s="34" t="s">
        <v>1287</v>
      </c>
    </row>
    <row r="52" spans="1:3" ht="15.75" customHeight="1" x14ac:dyDescent="0.2">
      <c r="A52" s="42">
        <v>417</v>
      </c>
      <c r="B52" s="42">
        <v>17311</v>
      </c>
      <c r="C52" s="34" t="s">
        <v>1288</v>
      </c>
    </row>
    <row r="53" spans="1:3" ht="15.75" customHeight="1" x14ac:dyDescent="0.2">
      <c r="A53" s="42">
        <v>418</v>
      </c>
      <c r="B53" s="42">
        <v>17311</v>
      </c>
      <c r="C53" s="34" t="s">
        <v>1289</v>
      </c>
    </row>
    <row r="54" spans="1:3" ht="15.75" customHeight="1" x14ac:dyDescent="0.2">
      <c r="A54" s="42">
        <v>419</v>
      </c>
      <c r="B54" s="42">
        <v>17311</v>
      </c>
      <c r="C54" s="34" t="s">
        <v>1290</v>
      </c>
    </row>
    <row r="55" spans="1:3" ht="15.75" customHeight="1" x14ac:dyDescent="0.2">
      <c r="A55" s="42">
        <v>420</v>
      </c>
      <c r="B55" s="42">
        <v>17311</v>
      </c>
      <c r="C55" s="34" t="s">
        <v>1291</v>
      </c>
    </row>
    <row r="56" spans="1:3" ht="15.75" customHeight="1" x14ac:dyDescent="0.2">
      <c r="A56" s="42">
        <v>421</v>
      </c>
      <c r="B56" s="42">
        <v>17311</v>
      </c>
      <c r="C56" s="34" t="s">
        <v>1292</v>
      </c>
    </row>
    <row r="57" spans="1:3" ht="15.75" customHeight="1" x14ac:dyDescent="0.2">
      <c r="A57" s="42">
        <v>422</v>
      </c>
      <c r="B57" s="42">
        <v>17311</v>
      </c>
      <c r="C57" s="34" t="s">
        <v>1293</v>
      </c>
    </row>
    <row r="58" spans="1:3" ht="15.75" customHeight="1" x14ac:dyDescent="0.2">
      <c r="A58" s="42">
        <v>423</v>
      </c>
      <c r="B58" s="42">
        <v>17311</v>
      </c>
      <c r="C58" s="34" t="s">
        <v>1294</v>
      </c>
    </row>
    <row r="59" spans="1:3" ht="15.75" customHeight="1" x14ac:dyDescent="0.2">
      <c r="A59" s="42">
        <v>424</v>
      </c>
      <c r="B59" s="42">
        <v>17311</v>
      </c>
      <c r="C59" s="34" t="s">
        <v>1295</v>
      </c>
    </row>
    <row r="60" spans="1:3" ht="15.75" customHeight="1" x14ac:dyDescent="0.2">
      <c r="A60" s="42">
        <v>425</v>
      </c>
      <c r="B60" s="42">
        <v>17311</v>
      </c>
      <c r="C60" s="34" t="s">
        <v>1296</v>
      </c>
    </row>
    <row r="61" spans="1:3" ht="15.75" customHeight="1" x14ac:dyDescent="0.2">
      <c r="A61" s="42">
        <v>426</v>
      </c>
      <c r="B61" s="42">
        <v>17311</v>
      </c>
      <c r="C61" s="34" t="s">
        <v>1297</v>
      </c>
    </row>
    <row r="62" spans="1:3" ht="15.75" customHeight="1" x14ac:dyDescent="0.2">
      <c r="A62" s="42">
        <v>427</v>
      </c>
      <c r="B62" s="42">
        <v>17311</v>
      </c>
      <c r="C62" s="34" t="s">
        <v>1298</v>
      </c>
    </row>
    <row r="63" spans="1:3" ht="15.75" customHeight="1" x14ac:dyDescent="0.2">
      <c r="A63" s="42">
        <v>428</v>
      </c>
      <c r="B63" s="42">
        <v>17311</v>
      </c>
      <c r="C63" s="34" t="s">
        <v>1299</v>
      </c>
    </row>
    <row r="64" spans="1:3" ht="15.75" customHeight="1" x14ac:dyDescent="0.2">
      <c r="A64" s="42">
        <v>429</v>
      </c>
      <c r="B64" s="42">
        <v>17311</v>
      </c>
      <c r="C64" s="34" t="s">
        <v>1300</v>
      </c>
    </row>
    <row r="65" spans="1:3" ht="15.75" customHeight="1" x14ac:dyDescent="0.2">
      <c r="A65" s="42">
        <v>430</v>
      </c>
      <c r="B65" s="42">
        <v>17311</v>
      </c>
      <c r="C65" s="34" t="s">
        <v>1301</v>
      </c>
    </row>
    <row r="66" spans="1:3" ht="15.75" customHeight="1" x14ac:dyDescent="0.2">
      <c r="A66" s="42">
        <v>431</v>
      </c>
      <c r="B66" s="42">
        <v>17311</v>
      </c>
      <c r="C66" s="34" t="s">
        <v>1302</v>
      </c>
    </row>
    <row r="67" spans="1:3" ht="15.75" customHeight="1" x14ac:dyDescent="0.2">
      <c r="A67" s="42">
        <v>432</v>
      </c>
      <c r="B67" s="42">
        <v>17311</v>
      </c>
      <c r="C67" s="34" t="s">
        <v>1303</v>
      </c>
    </row>
    <row r="68" spans="1:3" ht="15.75" customHeight="1" x14ac:dyDescent="0.2">
      <c r="A68" s="42">
        <v>433</v>
      </c>
      <c r="B68" s="42">
        <v>17311</v>
      </c>
      <c r="C68" s="34" t="s">
        <v>1304</v>
      </c>
    </row>
    <row r="69" spans="1:3" ht="15.75" customHeight="1" x14ac:dyDescent="0.2">
      <c r="A69" s="42">
        <v>434</v>
      </c>
      <c r="B69" s="42">
        <v>17311</v>
      </c>
      <c r="C69" s="34" t="s">
        <v>1305</v>
      </c>
    </row>
    <row r="70" spans="1:3" ht="15.75" customHeight="1" x14ac:dyDescent="0.2">
      <c r="A70" s="42">
        <v>435</v>
      </c>
      <c r="B70" s="42">
        <v>17311</v>
      </c>
      <c r="C70" s="34" t="s">
        <v>1306</v>
      </c>
    </row>
    <row r="71" spans="1:3" ht="15.75" customHeight="1" x14ac:dyDescent="0.2">
      <c r="A71" s="42">
        <v>436</v>
      </c>
      <c r="B71" s="42">
        <v>17311</v>
      </c>
      <c r="C71" s="34" t="s">
        <v>1307</v>
      </c>
    </row>
    <row r="72" spans="1:3" ht="15.75" customHeight="1" x14ac:dyDescent="0.2">
      <c r="A72" s="42">
        <v>437</v>
      </c>
      <c r="B72" s="42">
        <v>17311</v>
      </c>
      <c r="C72" s="34" t="s">
        <v>1308</v>
      </c>
    </row>
    <row r="73" spans="1:3" ht="15.75" customHeight="1" x14ac:dyDescent="0.2">
      <c r="A73" s="42">
        <v>438</v>
      </c>
      <c r="B73" s="42">
        <v>17311</v>
      </c>
      <c r="C73" s="34" t="s">
        <v>1309</v>
      </c>
    </row>
    <row r="74" spans="1:3" ht="15.75" customHeight="1" x14ac:dyDescent="0.2">
      <c r="A74" s="42">
        <v>439</v>
      </c>
      <c r="B74" s="42">
        <v>17311</v>
      </c>
      <c r="C74" s="34" t="s">
        <v>1310</v>
      </c>
    </row>
    <row r="75" spans="1:3" ht="15.75" customHeight="1" x14ac:dyDescent="0.2">
      <c r="A75" s="42">
        <v>440</v>
      </c>
      <c r="B75" s="42">
        <v>17311</v>
      </c>
      <c r="C75" s="34" t="s">
        <v>1311</v>
      </c>
    </row>
    <row r="76" spans="1:3" ht="15.75" customHeight="1" x14ac:dyDescent="0.2">
      <c r="A76" s="42">
        <v>441</v>
      </c>
      <c r="B76" s="42">
        <v>17311</v>
      </c>
      <c r="C76" s="34" t="s">
        <v>1312</v>
      </c>
    </row>
    <row r="77" spans="1:3" ht="15.75" customHeight="1" x14ac:dyDescent="0.2">
      <c r="A77" s="42">
        <v>442</v>
      </c>
      <c r="B77" s="42">
        <v>17311</v>
      </c>
      <c r="C77" s="34" t="s">
        <v>1313</v>
      </c>
    </row>
    <row r="78" spans="1:3" ht="15.75" customHeight="1" x14ac:dyDescent="0.2">
      <c r="A78" s="42">
        <v>443</v>
      </c>
      <c r="B78" s="42">
        <v>17311</v>
      </c>
      <c r="C78" s="34" t="s">
        <v>1314</v>
      </c>
    </row>
    <row r="79" spans="1:3" ht="15.75" customHeight="1" x14ac:dyDescent="0.2">
      <c r="A79" s="42">
        <v>444</v>
      </c>
      <c r="B79" s="42">
        <v>17311</v>
      </c>
      <c r="C79" s="34" t="s">
        <v>1315</v>
      </c>
    </row>
    <row r="80" spans="1:3" ht="15.75" customHeight="1" x14ac:dyDescent="0.2">
      <c r="A80" s="42">
        <v>445</v>
      </c>
      <c r="B80" s="42">
        <v>17311</v>
      </c>
      <c r="C80" s="34" t="s">
        <v>1316</v>
      </c>
    </row>
    <row r="81" spans="1:3" ht="15.75" customHeight="1" x14ac:dyDescent="0.2">
      <c r="A81" s="42">
        <v>446</v>
      </c>
      <c r="B81" s="42">
        <v>17311</v>
      </c>
      <c r="C81" s="34" t="s">
        <v>1317</v>
      </c>
    </row>
    <row r="82" spans="1:3" ht="15.75" customHeight="1" x14ac:dyDescent="0.2">
      <c r="A82" s="42">
        <v>447</v>
      </c>
      <c r="B82" s="42">
        <v>17311</v>
      </c>
      <c r="C82" s="34" t="s">
        <v>1318</v>
      </c>
    </row>
    <row r="83" spans="1:3" ht="15.75" customHeight="1" x14ac:dyDescent="0.2">
      <c r="A83" s="42">
        <v>448</v>
      </c>
      <c r="B83" s="42">
        <v>17311</v>
      </c>
      <c r="C83" s="34" t="s">
        <v>1319</v>
      </c>
    </row>
    <row r="84" spans="1:3" ht="15.75" customHeight="1" x14ac:dyDescent="0.2">
      <c r="A84" s="42">
        <v>449</v>
      </c>
      <c r="B84" s="42">
        <v>17311</v>
      </c>
      <c r="C84" s="34" t="s">
        <v>1320</v>
      </c>
    </row>
    <row r="85" spans="1:3" ht="15.75" customHeight="1" x14ac:dyDescent="0.2">
      <c r="A85" s="42">
        <v>450</v>
      </c>
      <c r="B85" s="42">
        <v>17311</v>
      </c>
      <c r="C85" s="34" t="s">
        <v>1321</v>
      </c>
    </row>
    <row r="86" spans="1:3" ht="15.75" customHeight="1" x14ac:dyDescent="0.2">
      <c r="A86" s="42">
        <v>451</v>
      </c>
      <c r="B86" s="42">
        <v>17311</v>
      </c>
      <c r="C86" s="34" t="s">
        <v>1322</v>
      </c>
    </row>
    <row r="87" spans="1:3" ht="15.75" customHeight="1" x14ac:dyDescent="0.2">
      <c r="A87" s="42">
        <v>452</v>
      </c>
      <c r="B87" s="42">
        <v>17311</v>
      </c>
      <c r="C87" s="34" t="s">
        <v>1323</v>
      </c>
    </row>
    <row r="88" spans="1:3" ht="15.75" customHeight="1" x14ac:dyDescent="0.2">
      <c r="A88" s="42">
        <v>453</v>
      </c>
      <c r="B88" s="42">
        <v>17311</v>
      </c>
      <c r="C88" s="34" t="s">
        <v>1324</v>
      </c>
    </row>
    <row r="89" spans="1:3" ht="15.75" customHeight="1" x14ac:dyDescent="0.2">
      <c r="A89" s="42">
        <v>454</v>
      </c>
      <c r="B89" s="42">
        <v>17311</v>
      </c>
      <c r="C89" s="34" t="s">
        <v>1325</v>
      </c>
    </row>
    <row r="90" spans="1:3" ht="15.75" customHeight="1" x14ac:dyDescent="0.2">
      <c r="A90" s="42">
        <v>455</v>
      </c>
      <c r="B90" s="42">
        <v>17311</v>
      </c>
      <c r="C90" s="34" t="s">
        <v>1326</v>
      </c>
    </row>
    <row r="91" spans="1:3" ht="15.75" customHeight="1" x14ac:dyDescent="0.2">
      <c r="A91" s="42">
        <v>456</v>
      </c>
      <c r="B91" s="42">
        <v>17311</v>
      </c>
      <c r="C91" s="34" t="s">
        <v>1327</v>
      </c>
    </row>
    <row r="92" spans="1:3" ht="15.75" customHeight="1" x14ac:dyDescent="0.2">
      <c r="A92" s="42">
        <v>457</v>
      </c>
      <c r="B92" s="42">
        <v>17311</v>
      </c>
      <c r="C92" s="34" t="s">
        <v>1328</v>
      </c>
    </row>
    <row r="93" spans="1:3" ht="15.75" customHeight="1" x14ac:dyDescent="0.2">
      <c r="A93" s="42">
        <v>458</v>
      </c>
      <c r="B93" s="42">
        <v>17312</v>
      </c>
      <c r="C93" s="34" t="s">
        <v>1329</v>
      </c>
    </row>
    <row r="94" spans="1:3" ht="15.75" customHeight="1" x14ac:dyDescent="0.2">
      <c r="A94" s="42">
        <v>459</v>
      </c>
      <c r="B94" s="42">
        <v>17312</v>
      </c>
      <c r="C94" s="34" t="s">
        <v>1330</v>
      </c>
    </row>
    <row r="95" spans="1:3" ht="15.75" customHeight="1" x14ac:dyDescent="0.2">
      <c r="A95" s="42">
        <v>460</v>
      </c>
      <c r="B95" s="42">
        <v>17312</v>
      </c>
      <c r="C95" s="34" t="s">
        <v>1331</v>
      </c>
    </row>
    <row r="96" spans="1:3" ht="15.75" customHeight="1" x14ac:dyDescent="0.2">
      <c r="A96" s="42">
        <v>461</v>
      </c>
      <c r="B96" s="42">
        <v>17312</v>
      </c>
      <c r="C96" s="34" t="s">
        <v>1332</v>
      </c>
    </row>
    <row r="97" spans="1:3" ht="15.75" customHeight="1" x14ac:dyDescent="0.2">
      <c r="A97" s="42">
        <v>462</v>
      </c>
      <c r="B97" s="42">
        <v>17312</v>
      </c>
      <c r="C97" s="34" t="s">
        <v>1333</v>
      </c>
    </row>
    <row r="98" spans="1:3" ht="15.75" customHeight="1" x14ac:dyDescent="0.2">
      <c r="A98" s="42">
        <v>463</v>
      </c>
      <c r="B98" s="42">
        <v>17312</v>
      </c>
      <c r="C98" s="34" t="s">
        <v>1334</v>
      </c>
    </row>
    <row r="99" spans="1:3" ht="15.75" customHeight="1" x14ac:dyDescent="0.2">
      <c r="A99" s="42">
        <v>464</v>
      </c>
      <c r="B99" s="42">
        <v>17312</v>
      </c>
      <c r="C99" s="34" t="s">
        <v>1335</v>
      </c>
    </row>
    <row r="100" spans="1:3" ht="15.75" customHeight="1" x14ac:dyDescent="0.2">
      <c r="A100" s="42">
        <v>465</v>
      </c>
      <c r="B100" s="42">
        <v>17312</v>
      </c>
      <c r="C100" s="34" t="s">
        <v>1336</v>
      </c>
    </row>
    <row r="101" spans="1:3" ht="15.75" customHeight="1" x14ac:dyDescent="0.2">
      <c r="A101" s="42">
        <v>466</v>
      </c>
      <c r="B101" s="42">
        <v>17312</v>
      </c>
      <c r="C101" s="34" t="s">
        <v>1337</v>
      </c>
    </row>
    <row r="102" spans="1:3" ht="15.75" customHeight="1" x14ac:dyDescent="0.2">
      <c r="A102" s="42">
        <v>467</v>
      </c>
      <c r="B102" s="42">
        <v>17312</v>
      </c>
      <c r="C102" s="34" t="s">
        <v>1338</v>
      </c>
    </row>
    <row r="103" spans="1:3" ht="15.75" customHeight="1" x14ac:dyDescent="0.2">
      <c r="A103" s="42">
        <v>468</v>
      </c>
      <c r="B103" s="42">
        <v>17312</v>
      </c>
      <c r="C103" s="34" t="s">
        <v>1339</v>
      </c>
    </row>
    <row r="104" spans="1:3" ht="15.75" customHeight="1" x14ac:dyDescent="0.2">
      <c r="A104" s="42">
        <v>469</v>
      </c>
      <c r="B104" s="42">
        <v>17312</v>
      </c>
      <c r="C104" s="34" t="s">
        <v>1340</v>
      </c>
    </row>
    <row r="105" spans="1:3" ht="15.75" customHeight="1" x14ac:dyDescent="0.2">
      <c r="A105" s="42">
        <v>470</v>
      </c>
      <c r="B105" s="42">
        <v>17312</v>
      </c>
      <c r="C105" s="34" t="s">
        <v>1341</v>
      </c>
    </row>
    <row r="106" spans="1:3" ht="15.75" customHeight="1" x14ac:dyDescent="0.2">
      <c r="A106" s="42">
        <v>471</v>
      </c>
      <c r="B106" s="42">
        <v>17312</v>
      </c>
      <c r="C106" s="34" t="s">
        <v>1342</v>
      </c>
    </row>
    <row r="107" spans="1:3" ht="15.75" customHeight="1" x14ac:dyDescent="0.2">
      <c r="A107" s="42">
        <v>472</v>
      </c>
      <c r="B107" s="42">
        <v>17312</v>
      </c>
      <c r="C107" s="34" t="s">
        <v>1343</v>
      </c>
    </row>
    <row r="108" spans="1:3" ht="15.75" customHeight="1" x14ac:dyDescent="0.2">
      <c r="A108" s="42">
        <v>473</v>
      </c>
      <c r="B108" s="42">
        <v>17312</v>
      </c>
      <c r="C108" s="34" t="s">
        <v>1344</v>
      </c>
    </row>
    <row r="109" spans="1:3" ht="15.75" customHeight="1" x14ac:dyDescent="0.2">
      <c r="A109" s="42">
        <v>474</v>
      </c>
      <c r="B109" s="42">
        <v>17312</v>
      </c>
      <c r="C109" s="34" t="s">
        <v>1345</v>
      </c>
    </row>
    <row r="110" spans="1:3" ht="15.75" customHeight="1" x14ac:dyDescent="0.2">
      <c r="A110" s="42">
        <v>475</v>
      </c>
      <c r="B110" s="42">
        <v>17312</v>
      </c>
      <c r="C110" s="34" t="s">
        <v>1346</v>
      </c>
    </row>
    <row r="111" spans="1:3" ht="15.75" customHeight="1" x14ac:dyDescent="0.2">
      <c r="A111" s="42">
        <v>476</v>
      </c>
      <c r="B111" s="42">
        <v>17312</v>
      </c>
      <c r="C111" s="34" t="s">
        <v>1347</v>
      </c>
    </row>
    <row r="112" spans="1:3" ht="15.75" customHeight="1" x14ac:dyDescent="0.2">
      <c r="A112" s="42">
        <v>477</v>
      </c>
      <c r="B112" s="42">
        <v>17312</v>
      </c>
      <c r="C112" s="34" t="s">
        <v>1348</v>
      </c>
    </row>
    <row r="113" spans="1:3" ht="15.75" customHeight="1" x14ac:dyDescent="0.2">
      <c r="A113" s="42">
        <v>478</v>
      </c>
      <c r="B113" s="42">
        <v>17312</v>
      </c>
      <c r="C113" s="34" t="s">
        <v>1349</v>
      </c>
    </row>
    <row r="114" spans="1:3" ht="15.75" customHeight="1" x14ac:dyDescent="0.2">
      <c r="A114" s="42">
        <v>479</v>
      </c>
      <c r="B114" s="42">
        <v>17312</v>
      </c>
      <c r="C114" s="34" t="s">
        <v>1350</v>
      </c>
    </row>
    <row r="115" spans="1:3" ht="15.75" customHeight="1" x14ac:dyDescent="0.2">
      <c r="A115" s="42">
        <v>480</v>
      </c>
      <c r="B115" s="42">
        <v>17312</v>
      </c>
      <c r="C115" s="34" t="s">
        <v>1351</v>
      </c>
    </row>
    <row r="116" spans="1:3" ht="15.75" customHeight="1" x14ac:dyDescent="0.2">
      <c r="A116" s="42">
        <v>481</v>
      </c>
      <c r="B116" s="42">
        <v>17312</v>
      </c>
      <c r="C116" s="34" t="s">
        <v>1352</v>
      </c>
    </row>
    <row r="117" spans="1:3" ht="15.75" customHeight="1" x14ac:dyDescent="0.2">
      <c r="A117" s="42">
        <v>482</v>
      </c>
      <c r="B117" s="42">
        <v>17312</v>
      </c>
      <c r="C117" s="34" t="s">
        <v>1353</v>
      </c>
    </row>
    <row r="118" spans="1:3" ht="15.75" customHeight="1" x14ac:dyDescent="0.2">
      <c r="A118" s="42">
        <v>483</v>
      </c>
      <c r="B118" s="42">
        <v>17312</v>
      </c>
      <c r="C118" s="34" t="s">
        <v>1354</v>
      </c>
    </row>
    <row r="119" spans="1:3" ht="15.75" customHeight="1" x14ac:dyDescent="0.2">
      <c r="A119" s="42">
        <v>484</v>
      </c>
      <c r="B119" s="42">
        <v>17312</v>
      </c>
      <c r="C119" s="34" t="s">
        <v>1355</v>
      </c>
    </row>
    <row r="120" spans="1:3" ht="15.75" customHeight="1" x14ac:dyDescent="0.2">
      <c r="A120" s="42">
        <v>485</v>
      </c>
      <c r="B120" s="42">
        <v>17312</v>
      </c>
      <c r="C120" s="34" t="s">
        <v>1356</v>
      </c>
    </row>
    <row r="121" spans="1:3" ht="15.75" customHeight="1" x14ac:dyDescent="0.2">
      <c r="A121" s="42">
        <v>486</v>
      </c>
      <c r="B121" s="42">
        <v>17312</v>
      </c>
      <c r="C121" s="34" t="s">
        <v>1357</v>
      </c>
    </row>
    <row r="122" spans="1:3" ht="15.75" customHeight="1" x14ac:dyDescent="0.2">
      <c r="A122" s="42">
        <v>487</v>
      </c>
      <c r="B122" s="42">
        <v>17312</v>
      </c>
      <c r="C122" s="34" t="s">
        <v>1358</v>
      </c>
    </row>
    <row r="123" spans="1:3" ht="15.75" customHeight="1" x14ac:dyDescent="0.2">
      <c r="A123" s="42">
        <v>488</v>
      </c>
      <c r="B123" s="42">
        <v>17312</v>
      </c>
      <c r="C123" s="34" t="s">
        <v>1359</v>
      </c>
    </row>
    <row r="124" spans="1:3" ht="15.75" customHeight="1" x14ac:dyDescent="0.2">
      <c r="A124" s="42">
        <v>489</v>
      </c>
      <c r="B124" s="42">
        <v>17312</v>
      </c>
      <c r="C124" s="34" t="s">
        <v>1360</v>
      </c>
    </row>
    <row r="125" spans="1:3" ht="15.75" customHeight="1" x14ac:dyDescent="0.2">
      <c r="A125" s="42">
        <v>490</v>
      </c>
      <c r="B125" s="42">
        <v>17312</v>
      </c>
      <c r="C125" s="34" t="s">
        <v>1361</v>
      </c>
    </row>
    <row r="126" spans="1:3" ht="15.75" customHeight="1" x14ac:dyDescent="0.2">
      <c r="A126" s="42">
        <v>491</v>
      </c>
      <c r="B126" s="42">
        <v>17312</v>
      </c>
      <c r="C126" s="34" t="s">
        <v>1362</v>
      </c>
    </row>
    <row r="127" spans="1:3" ht="15.75" customHeight="1" x14ac:dyDescent="0.2">
      <c r="A127" s="42">
        <v>492</v>
      </c>
      <c r="B127" s="42">
        <v>17312</v>
      </c>
      <c r="C127" s="34" t="s">
        <v>1363</v>
      </c>
    </row>
    <row r="128" spans="1:3" ht="15.75" customHeight="1" x14ac:dyDescent="0.2">
      <c r="A128" s="42">
        <v>493</v>
      </c>
      <c r="B128" s="42">
        <v>17312</v>
      </c>
      <c r="C128" s="34" t="s">
        <v>1364</v>
      </c>
    </row>
    <row r="129" spans="1:3" ht="15.75" customHeight="1" x14ac:dyDescent="0.2">
      <c r="A129" s="42">
        <v>494</v>
      </c>
      <c r="B129" s="42">
        <v>17312</v>
      </c>
      <c r="C129" s="34" t="s">
        <v>1365</v>
      </c>
    </row>
    <row r="130" spans="1:3" ht="15.75" customHeight="1" x14ac:dyDescent="0.2">
      <c r="A130" s="42">
        <v>495</v>
      </c>
      <c r="B130" s="42">
        <v>17312</v>
      </c>
      <c r="C130" s="34" t="s">
        <v>1366</v>
      </c>
    </row>
    <row r="131" spans="1:3" ht="15.75" customHeight="1" x14ac:dyDescent="0.2">
      <c r="A131" s="42">
        <v>496</v>
      </c>
      <c r="B131" s="42">
        <v>17312</v>
      </c>
      <c r="C131" s="34" t="s">
        <v>1367</v>
      </c>
    </row>
    <row r="132" spans="1:3" ht="15.75" customHeight="1" x14ac:dyDescent="0.2">
      <c r="A132" s="42">
        <v>497</v>
      </c>
      <c r="B132" s="42">
        <v>17312</v>
      </c>
      <c r="C132" s="34" t="s">
        <v>1368</v>
      </c>
    </row>
    <row r="133" spans="1:3" ht="15.75" customHeight="1" x14ac:dyDescent="0.2">
      <c r="A133" s="42">
        <v>498</v>
      </c>
      <c r="B133" s="42">
        <v>17312</v>
      </c>
      <c r="C133" s="34" t="s">
        <v>1369</v>
      </c>
    </row>
    <row r="134" spans="1:3" ht="15.75" customHeight="1" x14ac:dyDescent="0.2">
      <c r="A134" s="42">
        <v>499</v>
      </c>
      <c r="B134" s="42">
        <v>17312</v>
      </c>
      <c r="C134" s="34" t="s">
        <v>1370</v>
      </c>
    </row>
    <row r="135" spans="1:3" ht="15.75" customHeight="1" x14ac:dyDescent="0.2">
      <c r="A135" s="42">
        <v>500</v>
      </c>
      <c r="B135" s="42">
        <v>17312</v>
      </c>
      <c r="C135" s="34" t="s">
        <v>1371</v>
      </c>
    </row>
    <row r="136" spans="1:3" ht="15.75" customHeight="1" x14ac:dyDescent="0.2">
      <c r="A136" s="42">
        <v>501</v>
      </c>
      <c r="B136" s="42">
        <v>17312</v>
      </c>
      <c r="C136" s="34" t="s">
        <v>1372</v>
      </c>
    </row>
    <row r="137" spans="1:3" ht="15.75" customHeight="1" x14ac:dyDescent="0.2">
      <c r="A137" s="42">
        <v>502</v>
      </c>
      <c r="B137" s="42">
        <v>17312</v>
      </c>
      <c r="C137" s="34" t="s">
        <v>1373</v>
      </c>
    </row>
    <row r="138" spans="1:3" ht="15.75" customHeight="1" x14ac:dyDescent="0.2">
      <c r="A138" s="42">
        <v>503</v>
      </c>
      <c r="B138" s="42">
        <v>17312</v>
      </c>
      <c r="C138" s="34" t="s">
        <v>1374</v>
      </c>
    </row>
    <row r="139" spans="1:3" ht="15.75" customHeight="1" x14ac:dyDescent="0.2">
      <c r="A139" s="42">
        <v>504</v>
      </c>
      <c r="B139" s="42">
        <v>17312</v>
      </c>
      <c r="C139" s="34" t="s">
        <v>1375</v>
      </c>
    </row>
    <row r="140" spans="1:3" ht="15.75" customHeight="1" x14ac:dyDescent="0.2">
      <c r="A140" s="42">
        <v>505</v>
      </c>
      <c r="B140" s="42">
        <v>17312</v>
      </c>
      <c r="C140" s="34" t="s">
        <v>1376</v>
      </c>
    </row>
    <row r="141" spans="1:3" ht="15.75" customHeight="1" x14ac:dyDescent="0.2">
      <c r="A141" s="42">
        <v>506</v>
      </c>
      <c r="B141" s="42">
        <v>17312</v>
      </c>
      <c r="C141" s="34" t="s">
        <v>1377</v>
      </c>
    </row>
    <row r="142" spans="1:3" ht="15.75" customHeight="1" x14ac:dyDescent="0.2">
      <c r="A142" s="42">
        <v>507</v>
      </c>
      <c r="B142" s="42">
        <v>17312</v>
      </c>
      <c r="C142" s="34" t="s">
        <v>1378</v>
      </c>
    </row>
    <row r="143" spans="1:3" ht="15.75" customHeight="1" x14ac:dyDescent="0.2">
      <c r="A143" s="42">
        <v>508</v>
      </c>
      <c r="B143" s="42">
        <v>17312</v>
      </c>
      <c r="C143" s="34" t="s">
        <v>1379</v>
      </c>
    </row>
    <row r="144" spans="1:3" ht="15.75" customHeight="1" x14ac:dyDescent="0.2">
      <c r="A144" s="42">
        <v>509</v>
      </c>
      <c r="B144" s="42">
        <v>17312</v>
      </c>
      <c r="C144" s="34" t="s">
        <v>1380</v>
      </c>
    </row>
    <row r="145" spans="1:3" ht="15.75" customHeight="1" x14ac:dyDescent="0.2">
      <c r="A145" s="42">
        <v>510</v>
      </c>
      <c r="B145" s="42">
        <v>17312</v>
      </c>
      <c r="C145" s="34" t="s">
        <v>1381</v>
      </c>
    </row>
    <row r="146" spans="1:3" ht="15.75" customHeight="1" x14ac:dyDescent="0.2">
      <c r="A146" s="42">
        <v>511</v>
      </c>
      <c r="B146" s="42">
        <v>17312</v>
      </c>
      <c r="C146" s="34" t="s">
        <v>1382</v>
      </c>
    </row>
    <row r="147" spans="1:3" ht="15.75" customHeight="1" x14ac:dyDescent="0.2">
      <c r="A147" s="42">
        <v>512</v>
      </c>
      <c r="B147" s="42">
        <v>17312</v>
      </c>
      <c r="C147" s="34" t="s">
        <v>1383</v>
      </c>
    </row>
    <row r="148" spans="1:3" ht="15.75" customHeight="1" x14ac:dyDescent="0.2">
      <c r="A148" s="42">
        <v>513</v>
      </c>
      <c r="B148" s="42">
        <v>17312</v>
      </c>
      <c r="C148" s="34" t="s">
        <v>1384</v>
      </c>
    </row>
    <row r="149" spans="1:3" ht="15.75" customHeight="1" x14ac:dyDescent="0.2">
      <c r="A149" s="42">
        <v>514</v>
      </c>
      <c r="B149" s="42">
        <v>17312</v>
      </c>
      <c r="C149" s="34" t="s">
        <v>1385</v>
      </c>
    </row>
    <row r="150" spans="1:3" ht="15.75" customHeight="1" x14ac:dyDescent="0.2">
      <c r="A150" s="42">
        <v>515</v>
      </c>
      <c r="B150" s="42">
        <v>17312</v>
      </c>
      <c r="C150" s="34" t="s">
        <v>1386</v>
      </c>
    </row>
    <row r="151" spans="1:3" ht="15.75" customHeight="1" x14ac:dyDescent="0.2">
      <c r="A151" s="42">
        <v>516</v>
      </c>
      <c r="B151" s="42">
        <v>17312</v>
      </c>
      <c r="C151" s="34" t="s">
        <v>1387</v>
      </c>
    </row>
    <row r="152" spans="1:3" ht="15.75" customHeight="1" x14ac:dyDescent="0.2">
      <c r="A152" s="42">
        <v>517</v>
      </c>
      <c r="B152" s="42">
        <v>17312</v>
      </c>
      <c r="C152" s="34" t="s">
        <v>1388</v>
      </c>
    </row>
    <row r="153" spans="1:3" ht="15.75" customHeight="1" x14ac:dyDescent="0.2">
      <c r="A153" s="42">
        <v>518</v>
      </c>
      <c r="B153" s="42">
        <v>17312</v>
      </c>
      <c r="C153" s="34" t="s">
        <v>1389</v>
      </c>
    </row>
    <row r="154" spans="1:3" ht="15.75" customHeight="1" x14ac:dyDescent="0.2">
      <c r="A154" s="42">
        <v>519</v>
      </c>
      <c r="B154" s="42">
        <v>17312</v>
      </c>
      <c r="C154" s="34" t="s">
        <v>1390</v>
      </c>
    </row>
    <row r="155" spans="1:3" ht="15.75" customHeight="1" x14ac:dyDescent="0.2">
      <c r="A155" s="42">
        <v>520</v>
      </c>
      <c r="B155" s="42">
        <v>17312</v>
      </c>
      <c r="C155" s="34" t="s">
        <v>1391</v>
      </c>
    </row>
    <row r="156" spans="1:3" ht="15.75" customHeight="1" x14ac:dyDescent="0.2">
      <c r="A156" s="42">
        <v>521</v>
      </c>
      <c r="B156" s="42">
        <v>17312</v>
      </c>
      <c r="C156" s="34" t="s">
        <v>1392</v>
      </c>
    </row>
    <row r="157" spans="1:3" ht="15.75" customHeight="1" x14ac:dyDescent="0.2">
      <c r="A157" s="42">
        <v>522</v>
      </c>
      <c r="B157" s="42">
        <v>17312</v>
      </c>
      <c r="C157" s="34" t="s">
        <v>1393</v>
      </c>
    </row>
    <row r="158" spans="1:3" ht="15.75" customHeight="1" x14ac:dyDescent="0.2">
      <c r="A158" s="42">
        <v>523</v>
      </c>
      <c r="B158" s="42">
        <v>17312</v>
      </c>
      <c r="C158" s="34" t="s">
        <v>1394</v>
      </c>
    </row>
    <row r="159" spans="1:3" ht="15.75" customHeight="1" x14ac:dyDescent="0.2">
      <c r="A159" s="42">
        <v>524</v>
      </c>
      <c r="B159" s="42">
        <v>17312</v>
      </c>
      <c r="C159" s="34" t="s">
        <v>1395</v>
      </c>
    </row>
    <row r="160" spans="1:3" ht="15.75" customHeight="1" x14ac:dyDescent="0.2">
      <c r="A160" s="42">
        <v>525</v>
      </c>
      <c r="B160" s="42">
        <v>17312</v>
      </c>
      <c r="C160" s="34" t="s">
        <v>1396</v>
      </c>
    </row>
    <row r="161" spans="1:3" ht="15.75" customHeight="1" x14ac:dyDescent="0.2">
      <c r="A161" s="42">
        <v>526</v>
      </c>
      <c r="B161" s="42">
        <v>17312</v>
      </c>
      <c r="C161" s="34" t="s">
        <v>1397</v>
      </c>
    </row>
    <row r="162" spans="1:3" ht="15.75" customHeight="1" x14ac:dyDescent="0.2">
      <c r="A162" s="42">
        <v>527</v>
      </c>
      <c r="B162" s="42">
        <v>17312</v>
      </c>
      <c r="C162" s="34" t="s">
        <v>1398</v>
      </c>
    </row>
    <row r="163" spans="1:3" ht="15.75" customHeight="1" x14ac:dyDescent="0.2">
      <c r="A163" s="42">
        <v>528</v>
      </c>
      <c r="B163" s="42">
        <v>17312</v>
      </c>
      <c r="C163" s="34" t="s">
        <v>1399</v>
      </c>
    </row>
    <row r="164" spans="1:3" ht="15.75" customHeight="1" x14ac:dyDescent="0.2">
      <c r="A164" s="42">
        <v>529</v>
      </c>
      <c r="B164" s="42">
        <v>17312</v>
      </c>
      <c r="C164" s="34" t="s">
        <v>1400</v>
      </c>
    </row>
    <row r="165" spans="1:3" ht="15.75" customHeight="1" x14ac:dyDescent="0.2">
      <c r="A165" s="42">
        <v>530</v>
      </c>
      <c r="B165" s="42">
        <v>17312</v>
      </c>
      <c r="C165" s="34" t="s">
        <v>1401</v>
      </c>
    </row>
    <row r="166" spans="1:3" ht="15.75" customHeight="1" x14ac:dyDescent="0.2">
      <c r="A166" s="42">
        <v>531</v>
      </c>
      <c r="B166" s="42">
        <v>17312</v>
      </c>
      <c r="C166" s="34" t="s">
        <v>1402</v>
      </c>
    </row>
    <row r="167" spans="1:3" ht="15.75" customHeight="1" x14ac:dyDescent="0.2">
      <c r="A167" s="42">
        <v>532</v>
      </c>
      <c r="B167" s="42">
        <v>17312</v>
      </c>
      <c r="C167" s="34" t="s">
        <v>1403</v>
      </c>
    </row>
    <row r="168" spans="1:3" ht="15.75" customHeight="1" x14ac:dyDescent="0.2">
      <c r="A168" s="42">
        <v>533</v>
      </c>
      <c r="B168" s="42">
        <v>17312</v>
      </c>
      <c r="C168" s="34" t="s">
        <v>1404</v>
      </c>
    </row>
    <row r="169" spans="1:3" ht="15.75" customHeight="1" x14ac:dyDescent="0.2">
      <c r="A169" s="42">
        <v>534</v>
      </c>
      <c r="B169" s="42">
        <v>17312</v>
      </c>
      <c r="C169" s="34" t="s">
        <v>1405</v>
      </c>
    </row>
    <row r="170" spans="1:3" ht="15.75" customHeight="1" x14ac:dyDescent="0.2">
      <c r="A170" s="42">
        <v>535</v>
      </c>
      <c r="B170" s="42">
        <v>17312</v>
      </c>
      <c r="C170" s="34" t="s">
        <v>1406</v>
      </c>
    </row>
    <row r="171" spans="1:3" ht="15.75" customHeight="1" x14ac:dyDescent="0.2">
      <c r="A171" s="42">
        <v>536</v>
      </c>
      <c r="B171" s="42">
        <v>17312</v>
      </c>
      <c r="C171" s="34" t="s">
        <v>1407</v>
      </c>
    </row>
    <row r="172" spans="1:3" ht="15.75" customHeight="1" x14ac:dyDescent="0.2">
      <c r="A172" s="42">
        <v>537</v>
      </c>
      <c r="B172" s="42">
        <v>17312</v>
      </c>
      <c r="C172" s="34" t="s">
        <v>1408</v>
      </c>
    </row>
    <row r="173" spans="1:3" ht="15.75" customHeight="1" x14ac:dyDescent="0.2">
      <c r="A173" s="42">
        <v>538</v>
      </c>
      <c r="B173" s="42">
        <v>17312</v>
      </c>
      <c r="C173" s="34" t="s">
        <v>1409</v>
      </c>
    </row>
    <row r="174" spans="1:3" ht="15.75" customHeight="1" x14ac:dyDescent="0.2">
      <c r="A174" s="42">
        <v>539</v>
      </c>
      <c r="B174" s="42">
        <v>17312</v>
      </c>
      <c r="C174" s="34" t="s">
        <v>1410</v>
      </c>
    </row>
    <row r="175" spans="1:3" ht="15.75" customHeight="1" x14ac:dyDescent="0.2">
      <c r="A175" s="42">
        <v>540</v>
      </c>
      <c r="B175" s="42">
        <v>17312</v>
      </c>
      <c r="C175" s="34" t="s">
        <v>1411</v>
      </c>
    </row>
    <row r="176" spans="1:3" ht="15.75" customHeight="1" x14ac:dyDescent="0.2">
      <c r="A176" s="42">
        <v>541</v>
      </c>
      <c r="B176" s="42">
        <v>17312</v>
      </c>
      <c r="C176" s="34" t="s">
        <v>1412</v>
      </c>
    </row>
    <row r="177" spans="1:3" ht="15.75" customHeight="1" x14ac:dyDescent="0.2">
      <c r="A177" s="42">
        <v>542</v>
      </c>
      <c r="B177" s="42">
        <v>17312</v>
      </c>
      <c r="C177" s="34" t="s">
        <v>1413</v>
      </c>
    </row>
    <row r="178" spans="1:3" ht="15.75" customHeight="1" x14ac:dyDescent="0.2">
      <c r="A178" s="42">
        <v>543</v>
      </c>
      <c r="B178" s="42">
        <v>17312</v>
      </c>
      <c r="C178" s="34" t="s">
        <v>1414</v>
      </c>
    </row>
    <row r="179" spans="1:3" ht="15.75" customHeight="1" x14ac:dyDescent="0.2">
      <c r="A179" s="42">
        <v>544</v>
      </c>
      <c r="B179" s="42">
        <v>17312</v>
      </c>
      <c r="C179" s="34" t="s">
        <v>1415</v>
      </c>
    </row>
    <row r="180" spans="1:3" ht="15.75" customHeight="1" x14ac:dyDescent="0.2">
      <c r="A180" s="42">
        <v>545</v>
      </c>
      <c r="B180" s="42">
        <v>17312</v>
      </c>
      <c r="C180" s="34" t="s">
        <v>1416</v>
      </c>
    </row>
    <row r="181" spans="1:3" ht="15.75" customHeight="1" x14ac:dyDescent="0.2">
      <c r="A181" s="42">
        <v>546</v>
      </c>
      <c r="B181" s="42">
        <v>17312</v>
      </c>
      <c r="C181" s="34" t="s">
        <v>1417</v>
      </c>
    </row>
    <row r="182" spans="1:3" ht="15.75" customHeight="1" x14ac:dyDescent="0.2">
      <c r="A182" s="42">
        <v>547</v>
      </c>
      <c r="B182" s="42">
        <v>17312</v>
      </c>
      <c r="C182" s="34" t="s">
        <v>1418</v>
      </c>
    </row>
    <row r="183" spans="1:3" ht="15.75" customHeight="1" x14ac:dyDescent="0.2">
      <c r="A183" s="42">
        <v>548</v>
      </c>
      <c r="B183" s="42">
        <v>17313</v>
      </c>
      <c r="C183" s="34" t="s">
        <v>1419</v>
      </c>
    </row>
    <row r="184" spans="1:3" ht="15.75" customHeight="1" x14ac:dyDescent="0.2">
      <c r="A184" s="42">
        <v>549</v>
      </c>
      <c r="B184" s="42">
        <v>17313</v>
      </c>
      <c r="C184" s="34" t="s">
        <v>1420</v>
      </c>
    </row>
    <row r="185" spans="1:3" ht="15.75" customHeight="1" x14ac:dyDescent="0.2">
      <c r="A185" s="42">
        <v>550</v>
      </c>
      <c r="B185" s="42">
        <v>17313</v>
      </c>
      <c r="C185" s="34" t="s">
        <v>1421</v>
      </c>
    </row>
    <row r="186" spans="1:3" ht="15.75" customHeight="1" x14ac:dyDescent="0.2">
      <c r="A186" s="42">
        <v>551</v>
      </c>
      <c r="B186" s="42">
        <v>17313</v>
      </c>
      <c r="C186" s="34" t="s">
        <v>1422</v>
      </c>
    </row>
    <row r="187" spans="1:3" ht="15.75" customHeight="1" x14ac:dyDescent="0.2">
      <c r="A187" s="42">
        <v>552</v>
      </c>
      <c r="B187" s="42">
        <v>17313</v>
      </c>
      <c r="C187" s="34" t="s">
        <v>1423</v>
      </c>
    </row>
    <row r="188" spans="1:3" ht="15.75" customHeight="1" x14ac:dyDescent="0.2">
      <c r="A188" s="42">
        <v>553</v>
      </c>
      <c r="B188" s="42">
        <v>17313</v>
      </c>
      <c r="C188" s="34" t="s">
        <v>1424</v>
      </c>
    </row>
    <row r="189" spans="1:3" ht="15.75" customHeight="1" x14ac:dyDescent="0.2">
      <c r="A189" s="42">
        <v>554</v>
      </c>
      <c r="B189" s="42">
        <v>17313</v>
      </c>
      <c r="C189" s="34" t="s">
        <v>1425</v>
      </c>
    </row>
    <row r="190" spans="1:3" ht="15.75" customHeight="1" x14ac:dyDescent="0.2">
      <c r="A190" s="42">
        <v>555</v>
      </c>
      <c r="B190" s="42">
        <v>17313</v>
      </c>
      <c r="C190" s="34" t="s">
        <v>1426</v>
      </c>
    </row>
    <row r="191" spans="1:3" ht="15.75" customHeight="1" x14ac:dyDescent="0.2">
      <c r="A191" s="42">
        <v>556</v>
      </c>
      <c r="B191" s="42">
        <v>17313</v>
      </c>
      <c r="C191" s="34" t="s">
        <v>1427</v>
      </c>
    </row>
    <row r="192" spans="1:3" ht="15.75" customHeight="1" x14ac:dyDescent="0.2">
      <c r="A192" s="42">
        <v>557</v>
      </c>
      <c r="B192" s="42">
        <v>17313</v>
      </c>
      <c r="C192" s="34" t="s">
        <v>1428</v>
      </c>
    </row>
    <row r="193" spans="1:3" ht="15.75" customHeight="1" x14ac:dyDescent="0.2">
      <c r="A193" s="42">
        <v>558</v>
      </c>
      <c r="B193" s="42">
        <v>17313</v>
      </c>
      <c r="C193" s="34" t="s">
        <v>1429</v>
      </c>
    </row>
    <row r="194" spans="1:3" ht="15.75" customHeight="1" x14ac:dyDescent="0.2">
      <c r="A194" s="42">
        <v>559</v>
      </c>
      <c r="B194" s="42">
        <v>17313</v>
      </c>
      <c r="C194" s="34" t="s">
        <v>1430</v>
      </c>
    </row>
    <row r="195" spans="1:3" ht="15.75" customHeight="1" x14ac:dyDescent="0.2">
      <c r="A195" s="42">
        <v>560</v>
      </c>
      <c r="B195" s="42">
        <v>17313</v>
      </c>
      <c r="C195" s="34" t="s">
        <v>1431</v>
      </c>
    </row>
    <row r="196" spans="1:3" ht="15.75" customHeight="1" x14ac:dyDescent="0.2">
      <c r="A196" s="42">
        <v>561</v>
      </c>
      <c r="B196" s="42">
        <v>17313</v>
      </c>
      <c r="C196" s="34" t="s">
        <v>1432</v>
      </c>
    </row>
    <row r="197" spans="1:3" ht="15.75" customHeight="1" x14ac:dyDescent="0.2">
      <c r="A197" s="42">
        <v>562</v>
      </c>
      <c r="B197" s="42">
        <v>17313</v>
      </c>
      <c r="C197" s="34" t="s">
        <v>1433</v>
      </c>
    </row>
    <row r="198" spans="1:3" ht="15.75" customHeight="1" x14ac:dyDescent="0.2">
      <c r="A198" s="42">
        <v>563</v>
      </c>
      <c r="B198" s="42">
        <v>17313</v>
      </c>
      <c r="C198" s="34" t="s">
        <v>1434</v>
      </c>
    </row>
    <row r="199" spans="1:3" ht="15.75" customHeight="1" x14ac:dyDescent="0.2">
      <c r="A199" s="42">
        <v>564</v>
      </c>
      <c r="B199" s="42">
        <v>17313</v>
      </c>
      <c r="C199" s="34" t="s">
        <v>1435</v>
      </c>
    </row>
    <row r="200" spans="1:3" ht="15.75" customHeight="1" x14ac:dyDescent="0.2">
      <c r="A200" s="42">
        <v>565</v>
      </c>
      <c r="B200" s="42">
        <v>17313</v>
      </c>
      <c r="C200" s="34" t="s">
        <v>1436</v>
      </c>
    </row>
    <row r="201" spans="1:3" ht="15.75" customHeight="1" x14ac:dyDescent="0.2">
      <c r="A201" s="42">
        <v>566</v>
      </c>
      <c r="B201" s="42">
        <v>17313</v>
      </c>
      <c r="C201" s="34" t="s">
        <v>1437</v>
      </c>
    </row>
    <row r="202" spans="1:3" ht="15.75" customHeight="1" x14ac:dyDescent="0.2">
      <c r="A202" s="42">
        <v>567</v>
      </c>
      <c r="B202" s="42">
        <v>17313</v>
      </c>
      <c r="C202" s="34" t="s">
        <v>1438</v>
      </c>
    </row>
    <row r="203" spans="1:3" ht="15.75" customHeight="1" x14ac:dyDescent="0.2">
      <c r="A203" s="42">
        <v>568</v>
      </c>
      <c r="B203" s="42">
        <v>17313</v>
      </c>
      <c r="C203" s="34" t="s">
        <v>1439</v>
      </c>
    </row>
    <row r="204" spans="1:3" ht="15.75" customHeight="1" x14ac:dyDescent="0.2">
      <c r="A204" s="42">
        <v>569</v>
      </c>
      <c r="B204" s="42">
        <v>17313</v>
      </c>
      <c r="C204" s="34" t="s">
        <v>1440</v>
      </c>
    </row>
    <row r="205" spans="1:3" ht="15.75" customHeight="1" x14ac:dyDescent="0.2">
      <c r="A205" s="42">
        <v>570</v>
      </c>
      <c r="B205" s="42">
        <v>17313</v>
      </c>
      <c r="C205" s="34" t="s">
        <v>1441</v>
      </c>
    </row>
    <row r="206" spans="1:3" ht="15.75" customHeight="1" x14ac:dyDescent="0.2">
      <c r="A206" s="42">
        <v>571</v>
      </c>
      <c r="B206" s="42">
        <v>17313</v>
      </c>
      <c r="C206" s="34" t="s">
        <v>1442</v>
      </c>
    </row>
    <row r="207" spans="1:3" ht="15.75" customHeight="1" x14ac:dyDescent="0.2">
      <c r="A207" s="42">
        <v>572</v>
      </c>
      <c r="B207" s="42">
        <v>17313</v>
      </c>
      <c r="C207" s="34" t="s">
        <v>1443</v>
      </c>
    </row>
    <row r="208" spans="1:3" ht="15.75" customHeight="1" x14ac:dyDescent="0.2">
      <c r="A208" s="42">
        <v>573</v>
      </c>
      <c r="B208" s="42">
        <v>17313</v>
      </c>
      <c r="C208" s="34" t="s">
        <v>1444</v>
      </c>
    </row>
    <row r="209" spans="1:3" ht="15.75" customHeight="1" x14ac:dyDescent="0.2">
      <c r="A209" s="42">
        <v>574</v>
      </c>
      <c r="B209" s="42">
        <v>17313</v>
      </c>
      <c r="C209" s="34" t="s">
        <v>1445</v>
      </c>
    </row>
    <row r="210" spans="1:3" ht="15.75" customHeight="1" x14ac:dyDescent="0.2">
      <c r="A210" s="42">
        <v>575</v>
      </c>
      <c r="B210" s="42">
        <v>17313</v>
      </c>
      <c r="C210" s="34" t="s">
        <v>1446</v>
      </c>
    </row>
    <row r="211" spans="1:3" ht="15.75" customHeight="1" x14ac:dyDescent="0.2">
      <c r="A211" s="42">
        <v>576</v>
      </c>
      <c r="B211" s="42">
        <v>17313</v>
      </c>
      <c r="C211" s="34" t="s">
        <v>1447</v>
      </c>
    </row>
    <row r="212" spans="1:3" ht="15.75" customHeight="1" x14ac:dyDescent="0.2">
      <c r="A212" s="42">
        <v>577</v>
      </c>
      <c r="B212" s="42">
        <v>17313</v>
      </c>
      <c r="C212" s="34" t="s">
        <v>1448</v>
      </c>
    </row>
    <row r="213" spans="1:3" ht="15.75" customHeight="1" x14ac:dyDescent="0.2">
      <c r="A213" s="42">
        <v>578</v>
      </c>
      <c r="B213" s="42">
        <v>17313</v>
      </c>
      <c r="C213" s="34" t="s">
        <v>1449</v>
      </c>
    </row>
    <row r="214" spans="1:3" ht="15.75" customHeight="1" x14ac:dyDescent="0.2">
      <c r="A214" s="42">
        <v>579</v>
      </c>
      <c r="B214" s="42">
        <v>17313</v>
      </c>
      <c r="C214" s="34" t="s">
        <v>1450</v>
      </c>
    </row>
    <row r="215" spans="1:3" ht="15.75" customHeight="1" x14ac:dyDescent="0.2">
      <c r="A215" s="42">
        <v>580</v>
      </c>
      <c r="B215" s="42">
        <v>17313</v>
      </c>
      <c r="C215" s="34" t="s">
        <v>1451</v>
      </c>
    </row>
    <row r="216" spans="1:3" ht="15.75" customHeight="1" x14ac:dyDescent="0.2">
      <c r="A216" s="42">
        <v>581</v>
      </c>
      <c r="B216" s="42">
        <v>17313</v>
      </c>
      <c r="C216" s="34" t="s">
        <v>1452</v>
      </c>
    </row>
    <row r="217" spans="1:3" ht="15.75" customHeight="1" x14ac:dyDescent="0.2">
      <c r="A217" s="42">
        <v>582</v>
      </c>
      <c r="B217" s="42">
        <v>17313</v>
      </c>
      <c r="C217" s="34" t="s">
        <v>1453</v>
      </c>
    </row>
    <row r="218" spans="1:3" ht="15.75" customHeight="1" x14ac:dyDescent="0.2">
      <c r="A218" s="42">
        <v>583</v>
      </c>
      <c r="B218" s="42">
        <v>17313</v>
      </c>
      <c r="C218" s="34" t="s">
        <v>1454</v>
      </c>
    </row>
    <row r="219" spans="1:3" ht="15.75" customHeight="1" x14ac:dyDescent="0.2">
      <c r="A219" s="42">
        <v>584</v>
      </c>
      <c r="B219" s="42">
        <v>17313</v>
      </c>
      <c r="C219" s="34" t="s">
        <v>1455</v>
      </c>
    </row>
    <row r="220" spans="1:3" ht="15.75" customHeight="1" x14ac:dyDescent="0.2">
      <c r="A220" s="42">
        <v>585</v>
      </c>
      <c r="B220" s="42">
        <v>17313</v>
      </c>
      <c r="C220" s="34" t="s">
        <v>1456</v>
      </c>
    </row>
    <row r="221" spans="1:3" ht="15.75" customHeight="1" x14ac:dyDescent="0.2">
      <c r="A221" s="42">
        <v>586</v>
      </c>
      <c r="B221" s="42">
        <v>17313</v>
      </c>
      <c r="C221" s="34" t="s">
        <v>1457</v>
      </c>
    </row>
    <row r="222" spans="1:3" ht="15.75" customHeight="1" x14ac:dyDescent="0.2">
      <c r="A222" s="42">
        <v>587</v>
      </c>
      <c r="B222" s="42">
        <v>17313</v>
      </c>
      <c r="C222" s="34" t="s">
        <v>1458</v>
      </c>
    </row>
    <row r="223" spans="1:3" ht="15.75" customHeight="1" x14ac:dyDescent="0.2">
      <c r="A223" s="42">
        <v>588</v>
      </c>
      <c r="B223" s="42">
        <v>17313</v>
      </c>
      <c r="C223" s="34" t="s">
        <v>1459</v>
      </c>
    </row>
    <row r="224" spans="1:3" ht="15.75" customHeight="1" x14ac:dyDescent="0.2">
      <c r="A224" s="42">
        <v>589</v>
      </c>
      <c r="B224" s="42">
        <v>17313</v>
      </c>
      <c r="C224" s="34" t="s">
        <v>1460</v>
      </c>
    </row>
    <row r="225" spans="1:3" ht="15.75" customHeight="1" x14ac:dyDescent="0.2">
      <c r="A225" s="42">
        <v>590</v>
      </c>
      <c r="B225" s="42">
        <v>17313</v>
      </c>
      <c r="C225" s="34" t="s">
        <v>1461</v>
      </c>
    </row>
    <row r="226" spans="1:3" ht="15.75" customHeight="1" x14ac:dyDescent="0.2">
      <c r="A226" s="42">
        <v>591</v>
      </c>
      <c r="B226" s="42">
        <v>17313</v>
      </c>
      <c r="C226" s="34" t="s">
        <v>1462</v>
      </c>
    </row>
    <row r="227" spans="1:3" ht="15.75" customHeight="1" x14ac:dyDescent="0.2">
      <c r="A227" s="42">
        <v>592</v>
      </c>
      <c r="B227" s="42">
        <v>17313</v>
      </c>
      <c r="C227" s="34" t="s">
        <v>1463</v>
      </c>
    </row>
    <row r="228" spans="1:3" ht="15.75" customHeight="1" x14ac:dyDescent="0.2">
      <c r="A228" s="42">
        <v>593</v>
      </c>
      <c r="B228" s="42">
        <v>17313</v>
      </c>
      <c r="C228" s="34" t="s">
        <v>1464</v>
      </c>
    </row>
    <row r="229" spans="1:3" ht="15.75" customHeight="1" x14ac:dyDescent="0.2">
      <c r="A229" s="42">
        <v>594</v>
      </c>
      <c r="B229" s="42">
        <v>17313</v>
      </c>
      <c r="C229" s="34" t="s">
        <v>1465</v>
      </c>
    </row>
    <row r="230" spans="1:3" ht="15.75" customHeight="1" x14ac:dyDescent="0.2">
      <c r="A230" s="42">
        <v>595</v>
      </c>
      <c r="B230" s="42">
        <v>17313</v>
      </c>
      <c r="C230" s="34" t="s">
        <v>1466</v>
      </c>
    </row>
    <row r="231" spans="1:3" ht="15.75" customHeight="1" x14ac:dyDescent="0.2">
      <c r="A231" s="42">
        <v>596</v>
      </c>
      <c r="B231" s="42">
        <v>17313</v>
      </c>
      <c r="C231" s="34" t="s">
        <v>1467</v>
      </c>
    </row>
    <row r="232" spans="1:3" ht="15.75" customHeight="1" x14ac:dyDescent="0.2">
      <c r="A232" s="42">
        <v>597</v>
      </c>
      <c r="B232" s="42">
        <v>17313</v>
      </c>
      <c r="C232" s="34" t="s">
        <v>1468</v>
      </c>
    </row>
    <row r="233" spans="1:3" ht="15.75" customHeight="1" x14ac:dyDescent="0.2">
      <c r="A233" s="42">
        <v>598</v>
      </c>
      <c r="B233" s="42">
        <v>17313</v>
      </c>
      <c r="C233" s="34" t="s">
        <v>1469</v>
      </c>
    </row>
    <row r="234" spans="1:3" ht="15.75" customHeight="1" x14ac:dyDescent="0.2">
      <c r="A234" s="42">
        <v>599</v>
      </c>
      <c r="B234" s="42">
        <v>17313</v>
      </c>
      <c r="C234" s="34" t="s">
        <v>1470</v>
      </c>
    </row>
    <row r="235" spans="1:3" ht="15.75" customHeight="1" x14ac:dyDescent="0.2">
      <c r="A235" s="42">
        <v>600</v>
      </c>
      <c r="B235" s="42">
        <v>17313</v>
      </c>
      <c r="C235" s="34" t="s">
        <v>1471</v>
      </c>
    </row>
    <row r="236" spans="1:3" ht="15.75" customHeight="1" x14ac:dyDescent="0.2">
      <c r="A236" s="42">
        <v>601</v>
      </c>
      <c r="B236" s="42">
        <v>17313</v>
      </c>
      <c r="C236" s="34" t="s">
        <v>1472</v>
      </c>
    </row>
    <row r="237" spans="1:3" ht="15.75" customHeight="1" x14ac:dyDescent="0.2">
      <c r="A237" s="42">
        <v>602</v>
      </c>
      <c r="B237" s="42">
        <v>17313</v>
      </c>
      <c r="C237" s="34" t="s">
        <v>1473</v>
      </c>
    </row>
    <row r="238" spans="1:3" ht="15.75" customHeight="1" x14ac:dyDescent="0.2">
      <c r="A238" s="42">
        <v>603</v>
      </c>
      <c r="B238" s="42">
        <v>17313</v>
      </c>
      <c r="C238" s="34" t="s">
        <v>1474</v>
      </c>
    </row>
    <row r="239" spans="1:3" ht="15.75" customHeight="1" x14ac:dyDescent="0.2">
      <c r="A239" s="42">
        <v>604</v>
      </c>
      <c r="B239" s="42">
        <v>17313</v>
      </c>
      <c r="C239" s="34" t="s">
        <v>1475</v>
      </c>
    </row>
    <row r="240" spans="1:3" ht="15.75" customHeight="1" x14ac:dyDescent="0.2">
      <c r="A240" s="42">
        <v>605</v>
      </c>
      <c r="B240" s="42">
        <v>17313</v>
      </c>
      <c r="C240" s="34" t="s">
        <v>1476</v>
      </c>
    </row>
    <row r="241" spans="1:3" ht="15.75" customHeight="1" x14ac:dyDescent="0.2">
      <c r="A241" s="42">
        <v>606</v>
      </c>
      <c r="B241" s="42">
        <v>17313</v>
      </c>
      <c r="C241" s="34" t="s">
        <v>1477</v>
      </c>
    </row>
    <row r="242" spans="1:3" ht="15.75" customHeight="1" x14ac:dyDescent="0.2">
      <c r="A242" s="42">
        <v>607</v>
      </c>
      <c r="B242" s="42">
        <v>17313</v>
      </c>
      <c r="C242" s="34" t="s">
        <v>1478</v>
      </c>
    </row>
    <row r="243" spans="1:3" ht="15.75" customHeight="1" x14ac:dyDescent="0.2">
      <c r="A243" s="42">
        <v>608</v>
      </c>
      <c r="B243" s="42">
        <v>17313</v>
      </c>
      <c r="C243" s="34" t="s">
        <v>1479</v>
      </c>
    </row>
    <row r="244" spans="1:3" ht="15.75" customHeight="1" x14ac:dyDescent="0.2">
      <c r="A244" s="42">
        <v>609</v>
      </c>
      <c r="B244" s="42">
        <v>17313</v>
      </c>
      <c r="C244" s="34" t="s">
        <v>1480</v>
      </c>
    </row>
    <row r="245" spans="1:3" ht="15.75" customHeight="1" x14ac:dyDescent="0.2">
      <c r="A245" s="42">
        <v>610</v>
      </c>
      <c r="B245" s="42">
        <v>17313</v>
      </c>
      <c r="C245" s="34" t="s">
        <v>1481</v>
      </c>
    </row>
    <row r="246" spans="1:3" ht="15.75" customHeight="1" x14ac:dyDescent="0.2">
      <c r="A246" s="42">
        <v>611</v>
      </c>
      <c r="B246" s="42">
        <v>17313</v>
      </c>
      <c r="C246" s="34" t="s">
        <v>1482</v>
      </c>
    </row>
    <row r="247" spans="1:3" ht="15.75" customHeight="1" x14ac:dyDescent="0.2">
      <c r="A247" s="42">
        <v>612</v>
      </c>
      <c r="B247" s="42">
        <v>17313</v>
      </c>
      <c r="C247" s="34" t="s">
        <v>1483</v>
      </c>
    </row>
    <row r="248" spans="1:3" ht="15.75" customHeight="1" x14ac:dyDescent="0.2">
      <c r="A248" s="42">
        <v>613</v>
      </c>
      <c r="B248" s="42">
        <v>17313</v>
      </c>
      <c r="C248" s="34" t="s">
        <v>1484</v>
      </c>
    </row>
    <row r="249" spans="1:3" ht="15.75" customHeight="1" x14ac:dyDescent="0.2">
      <c r="A249" s="42">
        <v>614</v>
      </c>
      <c r="B249" s="42">
        <v>17313</v>
      </c>
      <c r="C249" s="34" t="s">
        <v>1485</v>
      </c>
    </row>
    <row r="250" spans="1:3" ht="15.75" customHeight="1" x14ac:dyDescent="0.2">
      <c r="A250" s="42">
        <v>615</v>
      </c>
      <c r="B250" s="42">
        <v>17313</v>
      </c>
      <c r="C250" s="34" t="s">
        <v>1486</v>
      </c>
    </row>
    <row r="251" spans="1:3" ht="15.75" customHeight="1" x14ac:dyDescent="0.2">
      <c r="A251" s="42">
        <v>616</v>
      </c>
      <c r="B251" s="42">
        <v>17313</v>
      </c>
      <c r="C251" s="34" t="s">
        <v>1487</v>
      </c>
    </row>
    <row r="252" spans="1:3" ht="15.75" customHeight="1" x14ac:dyDescent="0.2">
      <c r="A252" s="42">
        <v>617</v>
      </c>
      <c r="B252" s="42">
        <v>17313</v>
      </c>
      <c r="C252" s="34" t="s">
        <v>1488</v>
      </c>
    </row>
    <row r="253" spans="1:3" ht="15.75" customHeight="1" x14ac:dyDescent="0.2">
      <c r="A253" s="42">
        <v>618</v>
      </c>
      <c r="B253" s="42">
        <v>17313</v>
      </c>
      <c r="C253" s="34" t="s">
        <v>1489</v>
      </c>
    </row>
    <row r="254" spans="1:3" ht="15.75" customHeight="1" x14ac:dyDescent="0.2">
      <c r="A254" s="42">
        <v>619</v>
      </c>
      <c r="B254" s="42">
        <v>17313</v>
      </c>
      <c r="C254" s="34" t="s">
        <v>1490</v>
      </c>
    </row>
    <row r="255" spans="1:3" ht="15.75" customHeight="1" x14ac:dyDescent="0.2">
      <c r="A255" s="42">
        <v>620</v>
      </c>
      <c r="B255" s="42">
        <v>17313</v>
      </c>
      <c r="C255" s="34" t="s">
        <v>1491</v>
      </c>
    </row>
    <row r="256" spans="1:3" ht="15.75" customHeight="1" x14ac:dyDescent="0.2">
      <c r="A256" s="42">
        <v>621</v>
      </c>
      <c r="B256" s="42">
        <v>17313</v>
      </c>
      <c r="C256" s="34" t="s">
        <v>1492</v>
      </c>
    </row>
    <row r="257" spans="1:3" ht="15.75" customHeight="1" x14ac:dyDescent="0.2">
      <c r="A257" s="42">
        <v>622</v>
      </c>
      <c r="B257" s="42">
        <v>17313</v>
      </c>
      <c r="C257" s="34" t="s">
        <v>1493</v>
      </c>
    </row>
    <row r="258" spans="1:3" ht="15.75" customHeight="1" x14ac:dyDescent="0.2">
      <c r="A258" s="42">
        <v>623</v>
      </c>
      <c r="B258" s="42">
        <v>17313</v>
      </c>
      <c r="C258" s="34" t="s">
        <v>1494</v>
      </c>
    </row>
    <row r="259" spans="1:3" ht="15.75" customHeight="1" x14ac:dyDescent="0.2">
      <c r="A259" s="42">
        <v>624</v>
      </c>
      <c r="B259" s="42">
        <v>17313</v>
      </c>
      <c r="C259" s="34" t="s">
        <v>1495</v>
      </c>
    </row>
    <row r="260" spans="1:3" ht="15.75" customHeight="1" x14ac:dyDescent="0.2">
      <c r="A260" s="42">
        <v>625</v>
      </c>
      <c r="B260" s="42">
        <v>17313</v>
      </c>
      <c r="C260" s="34" t="s">
        <v>1496</v>
      </c>
    </row>
    <row r="261" spans="1:3" ht="15.75" customHeight="1" x14ac:dyDescent="0.2">
      <c r="A261" s="42">
        <v>626</v>
      </c>
      <c r="B261" s="42">
        <v>17313</v>
      </c>
      <c r="C261" s="34" t="s">
        <v>1497</v>
      </c>
    </row>
    <row r="262" spans="1:3" ht="15.75" customHeight="1" x14ac:dyDescent="0.2">
      <c r="A262" s="42">
        <v>627</v>
      </c>
      <c r="B262" s="42">
        <v>17313</v>
      </c>
      <c r="C262" s="34" t="s">
        <v>1498</v>
      </c>
    </row>
    <row r="263" spans="1:3" ht="15.75" customHeight="1" x14ac:dyDescent="0.2">
      <c r="A263" s="42">
        <v>628</v>
      </c>
      <c r="B263" s="42">
        <v>17313</v>
      </c>
      <c r="C263" s="34" t="s">
        <v>1499</v>
      </c>
    </row>
    <row r="264" spans="1:3" ht="15.75" customHeight="1" x14ac:dyDescent="0.2">
      <c r="A264" s="42">
        <v>629</v>
      </c>
      <c r="B264" s="42">
        <v>17313</v>
      </c>
      <c r="C264" s="34" t="s">
        <v>1500</v>
      </c>
    </row>
    <row r="265" spans="1:3" ht="15.75" customHeight="1" x14ac:dyDescent="0.2">
      <c r="A265" s="42">
        <v>630</v>
      </c>
      <c r="B265" s="42">
        <v>17313</v>
      </c>
      <c r="C265" s="34" t="s">
        <v>1501</v>
      </c>
    </row>
    <row r="266" spans="1:3" ht="15.75" customHeight="1" x14ac:dyDescent="0.2">
      <c r="A266" s="42">
        <v>631</v>
      </c>
      <c r="B266" s="42">
        <v>17313</v>
      </c>
      <c r="C266" s="34" t="s">
        <v>1502</v>
      </c>
    </row>
    <row r="267" spans="1:3" ht="15.75" customHeight="1" x14ac:dyDescent="0.2">
      <c r="A267" s="42">
        <v>632</v>
      </c>
      <c r="B267" s="42">
        <v>17313</v>
      </c>
      <c r="C267" s="34" t="s">
        <v>1503</v>
      </c>
    </row>
    <row r="268" spans="1:3" ht="15.75" customHeight="1" x14ac:dyDescent="0.2">
      <c r="A268" s="42">
        <v>633</v>
      </c>
      <c r="B268" s="42">
        <v>17313</v>
      </c>
      <c r="C268" s="34" t="s">
        <v>1504</v>
      </c>
    </row>
    <row r="269" spans="1:3" ht="15.75" customHeight="1" x14ac:dyDescent="0.2">
      <c r="A269" s="42">
        <v>634</v>
      </c>
      <c r="B269" s="42">
        <v>17313</v>
      </c>
      <c r="C269" s="34" t="s">
        <v>1505</v>
      </c>
    </row>
    <row r="270" spans="1:3" ht="15.75" customHeight="1" x14ac:dyDescent="0.2">
      <c r="A270" s="42">
        <v>635</v>
      </c>
      <c r="B270" s="42">
        <v>17313</v>
      </c>
      <c r="C270" s="34" t="s">
        <v>1506</v>
      </c>
    </row>
    <row r="271" spans="1:3" ht="15.75" customHeight="1" x14ac:dyDescent="0.2">
      <c r="A271" s="42">
        <v>636</v>
      </c>
      <c r="B271" s="42">
        <v>17313</v>
      </c>
      <c r="C271" s="34" t="s">
        <v>1507</v>
      </c>
    </row>
    <row r="272" spans="1:3" ht="15.75" customHeight="1" x14ac:dyDescent="0.2">
      <c r="A272" s="42">
        <v>637</v>
      </c>
      <c r="B272" s="42">
        <v>17313</v>
      </c>
      <c r="C272" s="34" t="s">
        <v>1508</v>
      </c>
    </row>
    <row r="273" spans="1:3" ht="15.75" customHeight="1" x14ac:dyDescent="0.2">
      <c r="A273" s="42">
        <v>638</v>
      </c>
      <c r="B273" s="42">
        <v>17313</v>
      </c>
      <c r="C273" s="34" t="s">
        <v>1509</v>
      </c>
    </row>
    <row r="274" spans="1:3" ht="15.75" customHeight="1" x14ac:dyDescent="0.2">
      <c r="A274" s="42">
        <v>639</v>
      </c>
      <c r="B274" s="42">
        <v>17313</v>
      </c>
      <c r="C274" s="34" t="s">
        <v>1510</v>
      </c>
    </row>
    <row r="275" spans="1:3" ht="15.75" customHeight="1" x14ac:dyDescent="0.2">
      <c r="A275" s="42">
        <v>640</v>
      </c>
      <c r="B275" s="42">
        <v>17314</v>
      </c>
      <c r="C275" s="34" t="s">
        <v>1511</v>
      </c>
    </row>
    <row r="276" spans="1:3" ht="15.75" customHeight="1" x14ac:dyDescent="0.2">
      <c r="A276" s="42">
        <v>641</v>
      </c>
      <c r="B276" s="42">
        <v>17314</v>
      </c>
      <c r="C276" s="34" t="s">
        <v>1512</v>
      </c>
    </row>
    <row r="277" spans="1:3" ht="15.75" customHeight="1" x14ac:dyDescent="0.2">
      <c r="A277" s="42">
        <v>642</v>
      </c>
      <c r="B277" s="42">
        <v>17314</v>
      </c>
      <c r="C277" s="34" t="s">
        <v>1513</v>
      </c>
    </row>
    <row r="278" spans="1:3" ht="15.75" customHeight="1" x14ac:dyDescent="0.2">
      <c r="A278" s="42">
        <v>643</v>
      </c>
      <c r="B278" s="42">
        <v>17314</v>
      </c>
      <c r="C278" s="34" t="s">
        <v>1514</v>
      </c>
    </row>
    <row r="279" spans="1:3" ht="15.75" customHeight="1" x14ac:dyDescent="0.2">
      <c r="A279" s="42">
        <v>644</v>
      </c>
      <c r="B279" s="42">
        <v>17314</v>
      </c>
      <c r="C279" s="34" t="s">
        <v>1515</v>
      </c>
    </row>
    <row r="280" spans="1:3" ht="15.75" customHeight="1" x14ac:dyDescent="0.2">
      <c r="A280" s="42">
        <v>645</v>
      </c>
      <c r="B280" s="42">
        <v>17314</v>
      </c>
      <c r="C280" s="34" t="s">
        <v>1516</v>
      </c>
    </row>
    <row r="281" spans="1:3" ht="15.75" customHeight="1" x14ac:dyDescent="0.2">
      <c r="A281" s="42">
        <v>646</v>
      </c>
      <c r="B281" s="42">
        <v>17314</v>
      </c>
      <c r="C281" s="34" t="s">
        <v>1517</v>
      </c>
    </row>
    <row r="282" spans="1:3" ht="15.75" customHeight="1" x14ac:dyDescent="0.2">
      <c r="A282" s="42">
        <v>647</v>
      </c>
      <c r="B282" s="42">
        <v>17314</v>
      </c>
      <c r="C282" s="34" t="s">
        <v>1518</v>
      </c>
    </row>
    <row r="283" spans="1:3" ht="15.75" customHeight="1" x14ac:dyDescent="0.2">
      <c r="A283" s="42">
        <v>648</v>
      </c>
      <c r="B283" s="42">
        <v>17314</v>
      </c>
      <c r="C283" s="34" t="s">
        <v>1519</v>
      </c>
    </row>
    <row r="284" spans="1:3" ht="15.75" customHeight="1" x14ac:dyDescent="0.2">
      <c r="A284" s="42">
        <v>649</v>
      </c>
      <c r="B284" s="42">
        <v>17314</v>
      </c>
      <c r="C284" s="34" t="s">
        <v>1520</v>
      </c>
    </row>
    <row r="285" spans="1:3" ht="15.75" customHeight="1" x14ac:dyDescent="0.2">
      <c r="A285" s="42">
        <v>650</v>
      </c>
      <c r="B285" s="42">
        <v>17314</v>
      </c>
      <c r="C285" s="34" t="s">
        <v>1521</v>
      </c>
    </row>
    <row r="286" spans="1:3" ht="15.75" customHeight="1" x14ac:dyDescent="0.2">
      <c r="A286" s="42">
        <v>651</v>
      </c>
      <c r="B286" s="42">
        <v>17314</v>
      </c>
      <c r="C286" s="34" t="s">
        <v>1521</v>
      </c>
    </row>
    <row r="287" spans="1:3" ht="15.75" customHeight="1" x14ac:dyDescent="0.2">
      <c r="A287" s="42">
        <v>652</v>
      </c>
      <c r="B287" s="42">
        <v>17314</v>
      </c>
      <c r="C287" s="34" t="s">
        <v>1522</v>
      </c>
    </row>
    <row r="288" spans="1:3" ht="15.75" customHeight="1" x14ac:dyDescent="0.2">
      <c r="A288" s="42">
        <v>653</v>
      </c>
      <c r="B288" s="42">
        <v>17314</v>
      </c>
      <c r="C288" s="34" t="s">
        <v>1523</v>
      </c>
    </row>
    <row r="289" spans="1:3" ht="15.75" customHeight="1" x14ac:dyDescent="0.2">
      <c r="A289" s="42">
        <v>654</v>
      </c>
      <c r="B289" s="42">
        <v>17314</v>
      </c>
      <c r="C289" s="34" t="s">
        <v>1524</v>
      </c>
    </row>
    <row r="290" spans="1:3" ht="15.75" customHeight="1" x14ac:dyDescent="0.2">
      <c r="A290" s="42">
        <v>655</v>
      </c>
      <c r="B290" s="42">
        <v>17314</v>
      </c>
      <c r="C290" s="34" t="s">
        <v>1525</v>
      </c>
    </row>
    <row r="291" spans="1:3" ht="15.75" customHeight="1" x14ac:dyDescent="0.2">
      <c r="A291" s="42">
        <v>656</v>
      </c>
      <c r="B291" s="42">
        <v>17314</v>
      </c>
      <c r="C291" s="34" t="s">
        <v>1526</v>
      </c>
    </row>
    <row r="292" spans="1:3" ht="15.75" customHeight="1" x14ac:dyDescent="0.2">
      <c r="A292" s="42">
        <v>657</v>
      </c>
      <c r="B292" s="42">
        <v>17314</v>
      </c>
      <c r="C292" s="34" t="s">
        <v>1527</v>
      </c>
    </row>
    <row r="293" spans="1:3" ht="15.75" customHeight="1" x14ac:dyDescent="0.2">
      <c r="A293" s="42">
        <v>658</v>
      </c>
      <c r="B293" s="42">
        <v>17314</v>
      </c>
      <c r="C293" s="34" t="s">
        <v>1528</v>
      </c>
    </row>
    <row r="294" spans="1:3" ht="15.75" customHeight="1" x14ac:dyDescent="0.2">
      <c r="A294" s="42">
        <v>659</v>
      </c>
      <c r="B294" s="42">
        <v>17314</v>
      </c>
      <c r="C294" s="34" t="s">
        <v>1529</v>
      </c>
    </row>
    <row r="295" spans="1:3" ht="15.75" customHeight="1" x14ac:dyDescent="0.2">
      <c r="A295" s="42">
        <v>660</v>
      </c>
      <c r="B295" s="42">
        <v>17314</v>
      </c>
      <c r="C295" s="34" t="s">
        <v>1530</v>
      </c>
    </row>
    <row r="296" spans="1:3" ht="15.75" customHeight="1" x14ac:dyDescent="0.2">
      <c r="A296" s="42">
        <v>661</v>
      </c>
      <c r="B296" s="42">
        <v>17314</v>
      </c>
      <c r="C296" s="34" t="s">
        <v>1531</v>
      </c>
    </row>
    <row r="297" spans="1:3" ht="15.75" customHeight="1" x14ac:dyDescent="0.2">
      <c r="A297" s="42">
        <v>662</v>
      </c>
      <c r="B297" s="42">
        <v>17314</v>
      </c>
      <c r="C297" s="34" t="s">
        <v>1532</v>
      </c>
    </row>
    <row r="298" spans="1:3" ht="15.75" customHeight="1" x14ac:dyDescent="0.2">
      <c r="A298" s="42">
        <v>663</v>
      </c>
      <c r="B298" s="42">
        <v>17314</v>
      </c>
      <c r="C298" s="34" t="s">
        <v>1533</v>
      </c>
    </row>
    <row r="299" spans="1:3" ht="15.75" customHeight="1" x14ac:dyDescent="0.2">
      <c r="A299" s="42">
        <v>664</v>
      </c>
      <c r="B299" s="42">
        <v>17314</v>
      </c>
      <c r="C299" s="34" t="s">
        <v>1534</v>
      </c>
    </row>
    <row r="300" spans="1:3" ht="15.75" customHeight="1" x14ac:dyDescent="0.2">
      <c r="A300" s="42">
        <v>665</v>
      </c>
      <c r="B300" s="42">
        <v>17314</v>
      </c>
      <c r="C300" s="34" t="s">
        <v>1535</v>
      </c>
    </row>
    <row r="301" spans="1:3" ht="15.75" customHeight="1" x14ac:dyDescent="0.2">
      <c r="A301" s="42">
        <v>666</v>
      </c>
      <c r="B301" s="42">
        <v>17314</v>
      </c>
      <c r="C301" s="34" t="s">
        <v>1536</v>
      </c>
    </row>
    <row r="302" spans="1:3" ht="15.75" customHeight="1" x14ac:dyDescent="0.2">
      <c r="A302" s="42">
        <v>667</v>
      </c>
      <c r="B302" s="42">
        <v>17314</v>
      </c>
      <c r="C302" s="34" t="s">
        <v>1537</v>
      </c>
    </row>
    <row r="303" spans="1:3" ht="15.75" customHeight="1" x14ac:dyDescent="0.2">
      <c r="A303" s="42">
        <v>668</v>
      </c>
      <c r="B303" s="42">
        <v>17314</v>
      </c>
      <c r="C303" s="34" t="s">
        <v>1538</v>
      </c>
    </row>
    <row r="304" spans="1:3" ht="15.75" customHeight="1" x14ac:dyDescent="0.2">
      <c r="A304" s="42">
        <v>669</v>
      </c>
      <c r="B304" s="42">
        <v>17314</v>
      </c>
      <c r="C304" s="34" t="s">
        <v>1539</v>
      </c>
    </row>
    <row r="305" spans="1:3" ht="15.75" customHeight="1" x14ac:dyDescent="0.2">
      <c r="A305" s="42">
        <v>670</v>
      </c>
      <c r="B305" s="42">
        <v>17314</v>
      </c>
      <c r="C305" s="34" t="s">
        <v>1540</v>
      </c>
    </row>
    <row r="306" spans="1:3" ht="15.75" customHeight="1" x14ac:dyDescent="0.2">
      <c r="A306" s="42">
        <v>671</v>
      </c>
      <c r="B306" s="42">
        <v>17314</v>
      </c>
      <c r="C306" s="34" t="s">
        <v>1541</v>
      </c>
    </row>
    <row r="307" spans="1:3" ht="15.75" customHeight="1" x14ac:dyDescent="0.2">
      <c r="A307" s="42">
        <v>672</v>
      </c>
      <c r="B307" s="42">
        <v>17314</v>
      </c>
      <c r="C307" s="34" t="s">
        <v>1542</v>
      </c>
    </row>
    <row r="308" spans="1:3" ht="15.75" customHeight="1" x14ac:dyDescent="0.2">
      <c r="A308" s="42">
        <v>673</v>
      </c>
      <c r="B308" s="42">
        <v>17314</v>
      </c>
      <c r="C308" s="34" t="s">
        <v>1543</v>
      </c>
    </row>
    <row r="309" spans="1:3" ht="15.75" customHeight="1" x14ac:dyDescent="0.2">
      <c r="A309" s="42">
        <v>674</v>
      </c>
      <c r="B309" s="42">
        <v>17315</v>
      </c>
      <c r="C309" s="34" t="s">
        <v>1544</v>
      </c>
    </row>
    <row r="310" spans="1:3" ht="15.75" customHeight="1" x14ac:dyDescent="0.2">
      <c r="A310" s="42">
        <v>675</v>
      </c>
      <c r="B310" s="42">
        <v>17315</v>
      </c>
      <c r="C310" s="34" t="s">
        <v>1545</v>
      </c>
    </row>
    <row r="311" spans="1:3" ht="15.75" customHeight="1" x14ac:dyDescent="0.2">
      <c r="A311" s="42">
        <v>676</v>
      </c>
      <c r="B311" s="42">
        <v>17315</v>
      </c>
      <c r="C311" s="34" t="s">
        <v>1546</v>
      </c>
    </row>
    <row r="312" spans="1:3" ht="15.75" customHeight="1" x14ac:dyDescent="0.2">
      <c r="A312" s="42">
        <v>677</v>
      </c>
      <c r="B312" s="42">
        <v>17315</v>
      </c>
      <c r="C312" s="34" t="s">
        <v>1547</v>
      </c>
    </row>
    <row r="313" spans="1:3" ht="15.75" customHeight="1" x14ac:dyDescent="0.2">
      <c r="A313" s="42">
        <v>678</v>
      </c>
      <c r="B313" s="42">
        <v>17315</v>
      </c>
      <c r="C313" s="34" t="s">
        <v>1548</v>
      </c>
    </row>
    <row r="314" spans="1:3" ht="15.75" customHeight="1" x14ac:dyDescent="0.2">
      <c r="A314" s="42">
        <v>679</v>
      </c>
      <c r="B314" s="42">
        <v>17315</v>
      </c>
      <c r="C314" s="34" t="s">
        <v>1549</v>
      </c>
    </row>
    <row r="315" spans="1:3" ht="15.75" customHeight="1" x14ac:dyDescent="0.2">
      <c r="A315" s="42">
        <v>680</v>
      </c>
      <c r="B315" s="42">
        <v>17315</v>
      </c>
      <c r="C315" s="34" t="s">
        <v>1550</v>
      </c>
    </row>
    <row r="316" spans="1:3" ht="15.75" customHeight="1" x14ac:dyDescent="0.2">
      <c r="A316" s="42">
        <v>681</v>
      </c>
      <c r="B316" s="42">
        <v>17315</v>
      </c>
      <c r="C316" s="34" t="s">
        <v>1551</v>
      </c>
    </row>
    <row r="317" spans="1:3" ht="15.75" customHeight="1" x14ac:dyDescent="0.2">
      <c r="A317" s="42">
        <v>682</v>
      </c>
      <c r="B317" s="42">
        <v>17315</v>
      </c>
      <c r="C317" s="34" t="s">
        <v>1552</v>
      </c>
    </row>
    <row r="318" spans="1:3" ht="15.75" customHeight="1" x14ac:dyDescent="0.2">
      <c r="A318" s="42">
        <v>683</v>
      </c>
      <c r="B318" s="42">
        <v>17315</v>
      </c>
      <c r="C318" s="34" t="s">
        <v>1553</v>
      </c>
    </row>
    <row r="319" spans="1:3" ht="15.75" customHeight="1" x14ac:dyDescent="0.2">
      <c r="A319" s="42">
        <v>684</v>
      </c>
      <c r="B319" s="42">
        <v>17315</v>
      </c>
      <c r="C319" s="34" t="s">
        <v>1554</v>
      </c>
    </row>
    <row r="320" spans="1:3" ht="15.75" customHeight="1" x14ac:dyDescent="0.2">
      <c r="A320" s="42">
        <v>685</v>
      </c>
      <c r="B320" s="42">
        <v>17315</v>
      </c>
      <c r="C320" s="34" t="s">
        <v>1555</v>
      </c>
    </row>
    <row r="321" spans="1:3" ht="15.75" customHeight="1" x14ac:dyDescent="0.2">
      <c r="A321" s="42">
        <v>686</v>
      </c>
      <c r="B321" s="42">
        <v>17315</v>
      </c>
      <c r="C321" s="34" t="s">
        <v>1556</v>
      </c>
    </row>
    <row r="322" spans="1:3" ht="15.75" customHeight="1" x14ac:dyDescent="0.2">
      <c r="A322" s="42">
        <v>687</v>
      </c>
      <c r="B322" s="42">
        <v>17315</v>
      </c>
      <c r="C322" s="34" t="s">
        <v>1557</v>
      </c>
    </row>
    <row r="323" spans="1:3" ht="15.75" customHeight="1" x14ac:dyDescent="0.2">
      <c r="A323" s="42">
        <v>688</v>
      </c>
      <c r="B323" s="42">
        <v>17315</v>
      </c>
      <c r="C323" s="34" t="s">
        <v>1558</v>
      </c>
    </row>
    <row r="324" spans="1:3" ht="15.75" customHeight="1" x14ac:dyDescent="0.2">
      <c r="A324" s="42">
        <v>689</v>
      </c>
      <c r="B324" s="42">
        <v>17315</v>
      </c>
      <c r="C324" s="34" t="s">
        <v>1559</v>
      </c>
    </row>
    <row r="325" spans="1:3" ht="15.75" customHeight="1" x14ac:dyDescent="0.2">
      <c r="A325" s="42">
        <v>690</v>
      </c>
      <c r="B325" s="42">
        <v>17315</v>
      </c>
      <c r="C325" s="34" t="s">
        <v>1560</v>
      </c>
    </row>
    <row r="326" spans="1:3" ht="15.75" customHeight="1" x14ac:dyDescent="0.2">
      <c r="A326" s="42">
        <v>691</v>
      </c>
      <c r="B326" s="42">
        <v>17315</v>
      </c>
      <c r="C326" s="34" t="s">
        <v>1545</v>
      </c>
    </row>
    <row r="327" spans="1:3" ht="15.75" customHeight="1" x14ac:dyDescent="0.2">
      <c r="A327" s="42">
        <v>692</v>
      </c>
      <c r="B327" s="42">
        <v>17315</v>
      </c>
      <c r="C327" s="34" t="s">
        <v>1561</v>
      </c>
    </row>
    <row r="328" spans="1:3" ht="15.75" customHeight="1" x14ac:dyDescent="0.2">
      <c r="A328" s="42">
        <v>693</v>
      </c>
      <c r="B328" s="42">
        <v>17315</v>
      </c>
      <c r="C328" s="34" t="s">
        <v>1562</v>
      </c>
    </row>
    <row r="329" spans="1:3" ht="15.75" customHeight="1" x14ac:dyDescent="0.2">
      <c r="A329" s="42">
        <v>694</v>
      </c>
      <c r="B329" s="42">
        <v>17315</v>
      </c>
      <c r="C329" s="34" t="s">
        <v>1563</v>
      </c>
    </row>
    <row r="330" spans="1:3" ht="15.75" customHeight="1" x14ac:dyDescent="0.2">
      <c r="A330" s="42">
        <v>695</v>
      </c>
      <c r="B330" s="42">
        <v>17315</v>
      </c>
      <c r="C330" s="34" t="s">
        <v>1564</v>
      </c>
    </row>
    <row r="331" spans="1:3" ht="15.75" customHeight="1" x14ac:dyDescent="0.2">
      <c r="A331" s="42">
        <v>696</v>
      </c>
      <c r="B331" s="42">
        <v>17315</v>
      </c>
      <c r="C331" s="34" t="s">
        <v>1565</v>
      </c>
    </row>
    <row r="332" spans="1:3" ht="15.75" customHeight="1" x14ac:dyDescent="0.2">
      <c r="A332" s="42">
        <v>697</v>
      </c>
      <c r="B332" s="42">
        <v>17315</v>
      </c>
      <c r="C332" s="34" t="s">
        <v>1566</v>
      </c>
    </row>
    <row r="333" spans="1:3" ht="15.75" customHeight="1" x14ac:dyDescent="0.2">
      <c r="A333" s="42">
        <v>698</v>
      </c>
      <c r="B333" s="42">
        <v>17315</v>
      </c>
      <c r="C333" s="34" t="s">
        <v>1567</v>
      </c>
    </row>
    <row r="334" spans="1:3" ht="15.75" customHeight="1" x14ac:dyDescent="0.2">
      <c r="A334" s="42">
        <v>699</v>
      </c>
      <c r="B334" s="42">
        <v>17315</v>
      </c>
      <c r="C334" s="34" t="s">
        <v>1568</v>
      </c>
    </row>
    <row r="335" spans="1:3" ht="15.75" customHeight="1" x14ac:dyDescent="0.2">
      <c r="A335" s="42">
        <v>700</v>
      </c>
      <c r="B335" s="42">
        <v>17315</v>
      </c>
      <c r="C335" s="34" t="s">
        <v>1569</v>
      </c>
    </row>
    <row r="336" spans="1:3" ht="15.75" customHeight="1" x14ac:dyDescent="0.2">
      <c r="A336" s="42">
        <v>701</v>
      </c>
      <c r="B336" s="42">
        <v>17315</v>
      </c>
      <c r="C336" s="34" t="s">
        <v>1545</v>
      </c>
    </row>
    <row r="337" spans="1:3" ht="15.75" customHeight="1" x14ac:dyDescent="0.2">
      <c r="A337" s="42">
        <v>702</v>
      </c>
      <c r="B337" s="42">
        <v>17315</v>
      </c>
      <c r="C337" s="34" t="s">
        <v>1570</v>
      </c>
    </row>
    <row r="338" spans="1:3" ht="15.75" customHeight="1" x14ac:dyDescent="0.2">
      <c r="A338" s="42">
        <v>703</v>
      </c>
      <c r="B338" s="42">
        <v>17315</v>
      </c>
      <c r="C338" s="34" t="s">
        <v>1571</v>
      </c>
    </row>
    <row r="339" spans="1:3" ht="15.75" customHeight="1" x14ac:dyDescent="0.2">
      <c r="A339" s="42">
        <v>704</v>
      </c>
      <c r="B339" s="42">
        <v>17315</v>
      </c>
      <c r="C339" s="34" t="s">
        <v>1572</v>
      </c>
    </row>
    <row r="340" spans="1:3" ht="15.75" customHeight="1" x14ac:dyDescent="0.2">
      <c r="A340" s="42">
        <v>705</v>
      </c>
      <c r="B340" s="42">
        <v>17315</v>
      </c>
      <c r="C340" s="34" t="s">
        <v>1573</v>
      </c>
    </row>
    <row r="341" spans="1:3" ht="15.75" customHeight="1" x14ac:dyDescent="0.2">
      <c r="A341" s="42">
        <v>706</v>
      </c>
      <c r="B341" s="42">
        <v>17315</v>
      </c>
      <c r="C341" s="34" t="s">
        <v>1574</v>
      </c>
    </row>
    <row r="342" spans="1:3" ht="15.75" customHeight="1" x14ac:dyDescent="0.2">
      <c r="A342" s="42">
        <v>707</v>
      </c>
      <c r="B342" s="42">
        <v>17315</v>
      </c>
      <c r="C342" s="34" t="s">
        <v>1575</v>
      </c>
    </row>
    <row r="343" spans="1:3" ht="15.75" customHeight="1" x14ac:dyDescent="0.2">
      <c r="A343" s="42">
        <v>708</v>
      </c>
      <c r="B343" s="42">
        <v>17315</v>
      </c>
      <c r="C343" s="34" t="s">
        <v>1576</v>
      </c>
    </row>
    <row r="344" spans="1:3" ht="15.75" customHeight="1" x14ac:dyDescent="0.2">
      <c r="A344" s="42">
        <v>709</v>
      </c>
      <c r="B344" s="42">
        <v>17315</v>
      </c>
      <c r="C344" s="34" t="s">
        <v>1577</v>
      </c>
    </row>
    <row r="345" spans="1:3" ht="15.75" customHeight="1" x14ac:dyDescent="0.2">
      <c r="A345" s="42">
        <v>710</v>
      </c>
      <c r="B345" s="42">
        <v>17315</v>
      </c>
      <c r="C345" s="34" t="s">
        <v>1578</v>
      </c>
    </row>
    <row r="346" spans="1:3" ht="15.75" customHeight="1" x14ac:dyDescent="0.2">
      <c r="A346" s="42">
        <v>711</v>
      </c>
      <c r="B346" s="42">
        <v>17315</v>
      </c>
      <c r="C346" s="34" t="s">
        <v>1579</v>
      </c>
    </row>
    <row r="347" spans="1:3" ht="15.75" customHeight="1" x14ac:dyDescent="0.2">
      <c r="A347" s="42">
        <v>712</v>
      </c>
      <c r="B347" s="42">
        <v>17315</v>
      </c>
      <c r="C347" s="34" t="s">
        <v>1580</v>
      </c>
    </row>
    <row r="348" spans="1:3" ht="15.75" customHeight="1" x14ac:dyDescent="0.2">
      <c r="A348" s="42">
        <v>713</v>
      </c>
      <c r="B348" s="42">
        <v>17315</v>
      </c>
      <c r="C348" s="34" t="s">
        <v>1581</v>
      </c>
    </row>
    <row r="349" spans="1:3" ht="15.75" customHeight="1" x14ac:dyDescent="0.2">
      <c r="A349" s="42">
        <v>714</v>
      </c>
      <c r="B349" s="42">
        <v>17315</v>
      </c>
      <c r="C349" s="34" t="s">
        <v>1582</v>
      </c>
    </row>
    <row r="350" spans="1:3" ht="15.75" customHeight="1" x14ac:dyDescent="0.2">
      <c r="A350" s="42">
        <v>715</v>
      </c>
      <c r="B350" s="42">
        <v>17315</v>
      </c>
      <c r="C350" s="34" t="s">
        <v>1583</v>
      </c>
    </row>
    <row r="351" spans="1:3" ht="15.75" customHeight="1" x14ac:dyDescent="0.2">
      <c r="A351" s="42">
        <v>716</v>
      </c>
      <c r="B351" s="42">
        <v>17315</v>
      </c>
      <c r="C351" s="34" t="s">
        <v>1584</v>
      </c>
    </row>
    <row r="352" spans="1:3" ht="15.75" customHeight="1" x14ac:dyDescent="0.2">
      <c r="A352" s="42">
        <v>717</v>
      </c>
      <c r="B352" s="42">
        <v>17315</v>
      </c>
      <c r="C352" s="34" t="s">
        <v>1585</v>
      </c>
    </row>
    <row r="353" spans="1:3" ht="15.75" customHeight="1" x14ac:dyDescent="0.2">
      <c r="A353" s="42">
        <v>718</v>
      </c>
      <c r="B353" s="42">
        <v>17315</v>
      </c>
      <c r="C353" s="34" t="s">
        <v>1586</v>
      </c>
    </row>
    <row r="354" spans="1:3" ht="15.75" customHeight="1" x14ac:dyDescent="0.2">
      <c r="A354" s="42">
        <v>719</v>
      </c>
      <c r="B354" s="42">
        <v>17315</v>
      </c>
      <c r="C354" s="34" t="s">
        <v>1587</v>
      </c>
    </row>
    <row r="355" spans="1:3" ht="15.75" customHeight="1" x14ac:dyDescent="0.2">
      <c r="A355" s="42">
        <v>720</v>
      </c>
      <c r="B355" s="42">
        <v>17315</v>
      </c>
      <c r="C355" s="34" t="s">
        <v>1588</v>
      </c>
    </row>
    <row r="356" spans="1:3" ht="15.75" customHeight="1" x14ac:dyDescent="0.2">
      <c r="A356" s="42">
        <v>721</v>
      </c>
      <c r="B356" s="42">
        <v>17315</v>
      </c>
      <c r="C356" s="34" t="s">
        <v>1589</v>
      </c>
    </row>
    <row r="357" spans="1:3" ht="15.75" customHeight="1" x14ac:dyDescent="0.2">
      <c r="A357" s="42">
        <v>722</v>
      </c>
      <c r="B357" s="42">
        <v>17315</v>
      </c>
      <c r="C357" s="34" t="s">
        <v>1590</v>
      </c>
    </row>
    <row r="358" spans="1:3" ht="15.75" customHeight="1" x14ac:dyDescent="0.2">
      <c r="A358" s="42">
        <v>723</v>
      </c>
      <c r="B358" s="42">
        <v>17315</v>
      </c>
      <c r="C358" s="34" t="s">
        <v>1591</v>
      </c>
    </row>
    <row r="359" spans="1:3" ht="15.75" customHeight="1" x14ac:dyDescent="0.2">
      <c r="A359" s="42">
        <v>724</v>
      </c>
      <c r="B359" s="42">
        <v>17315</v>
      </c>
      <c r="C359" s="34" t="s">
        <v>1592</v>
      </c>
    </row>
    <row r="360" spans="1:3" ht="15.75" customHeight="1" x14ac:dyDescent="0.2">
      <c r="A360" s="42">
        <v>725</v>
      </c>
      <c r="B360" s="42">
        <v>17315</v>
      </c>
      <c r="C360" s="34" t="s">
        <v>1593</v>
      </c>
    </row>
    <row r="361" spans="1:3" ht="15.75" customHeight="1" x14ac:dyDescent="0.2">
      <c r="A361" s="42">
        <v>726</v>
      </c>
      <c r="B361" s="42">
        <v>17315</v>
      </c>
      <c r="C361" s="34" t="s">
        <v>1594</v>
      </c>
    </row>
    <row r="362" spans="1:3" ht="15.75" customHeight="1" x14ac:dyDescent="0.2">
      <c r="A362" s="42">
        <v>727</v>
      </c>
      <c r="B362" s="42">
        <v>17315</v>
      </c>
      <c r="C362" s="34" t="s">
        <v>1595</v>
      </c>
    </row>
    <row r="363" spans="1:3" ht="15.75" customHeight="1" x14ac:dyDescent="0.2">
      <c r="A363" s="42">
        <v>728</v>
      </c>
      <c r="B363" s="42">
        <v>17315</v>
      </c>
      <c r="C363" s="34" t="s">
        <v>1596</v>
      </c>
    </row>
    <row r="364" spans="1:3" ht="15.75" customHeight="1" x14ac:dyDescent="0.2">
      <c r="A364" s="42">
        <v>729</v>
      </c>
      <c r="B364" s="42">
        <v>17315</v>
      </c>
      <c r="C364" s="34" t="s">
        <v>1597</v>
      </c>
    </row>
    <row r="365" spans="1:3" ht="15.75" customHeight="1" x14ac:dyDescent="0.2">
      <c r="A365" s="42">
        <v>730</v>
      </c>
      <c r="B365" s="42">
        <v>17315</v>
      </c>
      <c r="C365" s="34" t="s">
        <v>1592</v>
      </c>
    </row>
    <row r="366" spans="1:3" ht="15.75" customHeight="1" x14ac:dyDescent="0.2">
      <c r="A366" s="42">
        <v>731</v>
      </c>
      <c r="B366" s="42">
        <v>17315</v>
      </c>
      <c r="C366" s="34" t="s">
        <v>1598</v>
      </c>
    </row>
    <row r="367" spans="1:3" ht="15.75" customHeight="1" x14ac:dyDescent="0.2">
      <c r="A367" s="42">
        <v>732</v>
      </c>
      <c r="B367" s="42">
        <v>17315</v>
      </c>
      <c r="C367" s="34" t="s">
        <v>1599</v>
      </c>
    </row>
    <row r="368" spans="1:3" ht="15.75" customHeight="1" x14ac:dyDescent="0.2">
      <c r="A368" s="42">
        <v>733</v>
      </c>
      <c r="B368" s="42">
        <v>17315</v>
      </c>
      <c r="C368" s="34" t="s">
        <v>1600</v>
      </c>
    </row>
    <row r="369" spans="1:3" ht="15.75" customHeight="1" x14ac:dyDescent="0.2">
      <c r="A369" s="42">
        <v>734</v>
      </c>
      <c r="B369" s="42">
        <v>17315</v>
      </c>
      <c r="C369" s="34" t="s">
        <v>1601</v>
      </c>
    </row>
    <row r="370" spans="1:3" ht="15.75" customHeight="1" x14ac:dyDescent="0.2">
      <c r="A370" s="42">
        <v>735</v>
      </c>
      <c r="B370" s="42">
        <v>17315</v>
      </c>
      <c r="C370" s="34" t="s">
        <v>1602</v>
      </c>
    </row>
    <row r="371" spans="1:3" ht="15.75" customHeight="1" x14ac:dyDescent="0.2">
      <c r="A371" s="42">
        <v>736</v>
      </c>
      <c r="B371" s="42">
        <v>17315</v>
      </c>
      <c r="C371" s="34" t="s">
        <v>1603</v>
      </c>
    </row>
    <row r="372" spans="1:3" ht="15.75" customHeight="1" x14ac:dyDescent="0.2">
      <c r="A372" s="42">
        <v>737</v>
      </c>
      <c r="B372" s="42">
        <v>17315</v>
      </c>
      <c r="C372" s="34" t="s">
        <v>1604</v>
      </c>
    </row>
    <row r="373" spans="1:3" ht="15.75" customHeight="1" x14ac:dyDescent="0.2">
      <c r="A373" s="42">
        <v>738</v>
      </c>
      <c r="B373" s="42">
        <v>17315</v>
      </c>
      <c r="C373" s="34" t="s">
        <v>1554</v>
      </c>
    </row>
    <row r="374" spans="1:3" ht="15.75" customHeight="1" x14ac:dyDescent="0.2">
      <c r="A374" s="42">
        <v>739</v>
      </c>
      <c r="B374" s="42">
        <v>17315</v>
      </c>
      <c r="C374" s="34" t="s">
        <v>1554</v>
      </c>
    </row>
    <row r="375" spans="1:3" ht="15.75" customHeight="1" x14ac:dyDescent="0.2">
      <c r="A375" s="42">
        <v>740</v>
      </c>
      <c r="B375" s="42">
        <v>17315</v>
      </c>
      <c r="C375" s="34" t="s">
        <v>1605</v>
      </c>
    </row>
    <row r="376" spans="1:3" ht="15.75" customHeight="1" x14ac:dyDescent="0.2">
      <c r="A376" s="42">
        <v>741</v>
      </c>
      <c r="B376" s="42">
        <v>17315</v>
      </c>
      <c r="C376" s="34" t="s">
        <v>1545</v>
      </c>
    </row>
    <row r="377" spans="1:3" ht="15.75" customHeight="1" x14ac:dyDescent="0.2">
      <c r="A377" s="42">
        <v>742</v>
      </c>
      <c r="B377" s="42">
        <v>17315</v>
      </c>
      <c r="C377" s="34" t="s">
        <v>1606</v>
      </c>
    </row>
    <row r="378" spans="1:3" ht="15.75" customHeight="1" x14ac:dyDescent="0.2">
      <c r="A378" s="42">
        <v>743</v>
      </c>
      <c r="B378" s="42">
        <v>17315</v>
      </c>
      <c r="C378" s="34" t="s">
        <v>1607</v>
      </c>
    </row>
    <row r="379" spans="1:3" ht="15.75" customHeight="1" x14ac:dyDescent="0.2">
      <c r="A379" s="42">
        <v>744</v>
      </c>
      <c r="B379" s="42">
        <v>17315</v>
      </c>
      <c r="C379" s="34" t="s">
        <v>1608</v>
      </c>
    </row>
    <row r="380" spans="1:3" ht="15.75" customHeight="1" x14ac:dyDescent="0.2">
      <c r="A380" s="42">
        <v>745</v>
      </c>
      <c r="B380" s="42">
        <v>17315</v>
      </c>
      <c r="C380" s="34" t="s">
        <v>1609</v>
      </c>
    </row>
    <row r="381" spans="1:3" ht="15.75" customHeight="1" x14ac:dyDescent="0.2">
      <c r="A381" s="42">
        <v>746</v>
      </c>
      <c r="B381" s="42">
        <v>17315</v>
      </c>
      <c r="C381" s="34" t="s">
        <v>1610</v>
      </c>
    </row>
    <row r="382" spans="1:3" ht="15.75" customHeight="1" x14ac:dyDescent="0.2">
      <c r="A382" s="42">
        <v>747</v>
      </c>
      <c r="B382" s="42">
        <v>17315</v>
      </c>
      <c r="C382" s="34" t="s">
        <v>1611</v>
      </c>
    </row>
    <row r="383" spans="1:3" ht="15.75" customHeight="1" x14ac:dyDescent="0.2">
      <c r="A383" s="42">
        <v>748</v>
      </c>
      <c r="B383" s="42">
        <v>17315</v>
      </c>
      <c r="C383" s="34" t="s">
        <v>1612</v>
      </c>
    </row>
    <row r="384" spans="1:3" ht="15.75" customHeight="1" x14ac:dyDescent="0.2">
      <c r="A384" s="42">
        <v>749</v>
      </c>
      <c r="B384" s="42">
        <v>17315</v>
      </c>
      <c r="C384" s="34" t="s">
        <v>1613</v>
      </c>
    </row>
    <row r="385" spans="1:3" ht="15.75" customHeight="1" x14ac:dyDescent="0.2">
      <c r="A385" s="42">
        <v>750</v>
      </c>
      <c r="B385" s="42">
        <v>17315</v>
      </c>
      <c r="C385" s="34" t="s">
        <v>1614</v>
      </c>
    </row>
    <row r="386" spans="1:3" ht="15.75" customHeight="1" x14ac:dyDescent="0.2">
      <c r="A386" s="42">
        <v>751</v>
      </c>
      <c r="B386" s="42">
        <v>17315</v>
      </c>
      <c r="C386" s="34" t="s">
        <v>1615</v>
      </c>
    </row>
    <row r="387" spans="1:3" ht="15.75" customHeight="1" x14ac:dyDescent="0.2">
      <c r="A387" s="42">
        <v>752</v>
      </c>
      <c r="B387" s="42">
        <v>17315</v>
      </c>
      <c r="C387" s="34" t="s">
        <v>1616</v>
      </c>
    </row>
    <row r="388" spans="1:3" ht="15.75" customHeight="1" x14ac:dyDescent="0.2">
      <c r="A388" s="42">
        <v>753</v>
      </c>
      <c r="B388" s="42">
        <v>17315</v>
      </c>
      <c r="C388" s="34" t="s">
        <v>1617</v>
      </c>
    </row>
    <row r="389" spans="1:3" ht="15.75" customHeight="1" x14ac:dyDescent="0.2">
      <c r="A389" s="42">
        <v>754</v>
      </c>
      <c r="B389" s="42">
        <v>17315</v>
      </c>
      <c r="C389" s="34" t="s">
        <v>1618</v>
      </c>
    </row>
    <row r="390" spans="1:3" ht="15.75" customHeight="1" x14ac:dyDescent="0.2">
      <c r="A390" s="42">
        <v>755</v>
      </c>
      <c r="B390" s="42">
        <v>17315</v>
      </c>
      <c r="C390" s="34" t="s">
        <v>1619</v>
      </c>
    </row>
    <row r="391" spans="1:3" ht="15.75" customHeight="1" x14ac:dyDescent="0.2">
      <c r="A391" s="42">
        <v>756</v>
      </c>
      <c r="B391" s="42">
        <v>17315</v>
      </c>
      <c r="C391" s="34" t="s">
        <v>1571</v>
      </c>
    </row>
    <row r="392" spans="1:3" ht="15.75" customHeight="1" x14ac:dyDescent="0.2">
      <c r="A392" s="42">
        <v>757</v>
      </c>
      <c r="B392" s="42">
        <v>17315</v>
      </c>
      <c r="C392" s="34" t="s">
        <v>1620</v>
      </c>
    </row>
    <row r="393" spans="1:3" ht="15.75" customHeight="1" x14ac:dyDescent="0.2">
      <c r="A393" s="42">
        <v>758</v>
      </c>
      <c r="B393" s="42">
        <v>17315</v>
      </c>
      <c r="C393" s="34" t="s">
        <v>1621</v>
      </c>
    </row>
    <row r="394" spans="1:3" ht="15.75" customHeight="1" x14ac:dyDescent="0.2">
      <c r="A394" s="42">
        <v>759</v>
      </c>
      <c r="B394" s="42">
        <v>17315</v>
      </c>
      <c r="C394" s="34" t="s">
        <v>1622</v>
      </c>
    </row>
    <row r="395" spans="1:3" ht="15.75" customHeight="1" x14ac:dyDescent="0.2">
      <c r="A395" s="42">
        <v>760</v>
      </c>
      <c r="B395" s="42">
        <v>17315</v>
      </c>
      <c r="C395" s="34" t="s">
        <v>1623</v>
      </c>
    </row>
    <row r="396" spans="1:3" ht="15.75" customHeight="1" x14ac:dyDescent="0.2">
      <c r="A396" s="42">
        <v>761</v>
      </c>
      <c r="B396" s="42">
        <v>17315</v>
      </c>
      <c r="C396" s="34" t="s">
        <v>1624</v>
      </c>
    </row>
    <row r="397" spans="1:3" ht="15.75" customHeight="1" x14ac:dyDescent="0.2">
      <c r="A397" s="42">
        <v>762</v>
      </c>
      <c r="B397" s="42">
        <v>17316</v>
      </c>
      <c r="C397" s="34" t="s">
        <v>1625</v>
      </c>
    </row>
    <row r="398" spans="1:3" ht="15.75" customHeight="1" x14ac:dyDescent="0.2">
      <c r="A398" s="42">
        <v>763</v>
      </c>
      <c r="B398" s="42">
        <v>17316</v>
      </c>
      <c r="C398" s="34" t="s">
        <v>1626</v>
      </c>
    </row>
    <row r="399" spans="1:3" ht="15.75" customHeight="1" x14ac:dyDescent="0.2">
      <c r="A399" s="42">
        <v>764</v>
      </c>
      <c r="B399" s="42">
        <v>17316</v>
      </c>
      <c r="C399" s="34" t="s">
        <v>1627</v>
      </c>
    </row>
    <row r="400" spans="1:3" ht="15.75" customHeight="1" x14ac:dyDescent="0.2">
      <c r="A400" s="42">
        <v>765</v>
      </c>
      <c r="B400" s="42">
        <v>17316</v>
      </c>
      <c r="C400" s="34" t="s">
        <v>1628</v>
      </c>
    </row>
    <row r="401" spans="1:3" ht="15.75" customHeight="1" x14ac:dyDescent="0.2">
      <c r="A401" s="42">
        <v>766</v>
      </c>
      <c r="B401" s="42">
        <v>17316</v>
      </c>
      <c r="C401" s="34" t="s">
        <v>1629</v>
      </c>
    </row>
    <row r="402" spans="1:3" ht="15.75" customHeight="1" x14ac:dyDescent="0.2">
      <c r="A402" s="42">
        <v>767</v>
      </c>
      <c r="B402" s="42">
        <v>17316</v>
      </c>
      <c r="C402" s="34" t="s">
        <v>1630</v>
      </c>
    </row>
    <row r="403" spans="1:3" ht="15.75" customHeight="1" x14ac:dyDescent="0.2">
      <c r="A403" s="42">
        <v>768</v>
      </c>
      <c r="B403" s="42">
        <v>17316</v>
      </c>
      <c r="C403" s="34" t="s">
        <v>1631</v>
      </c>
    </row>
    <row r="404" spans="1:3" ht="15.75" customHeight="1" x14ac:dyDescent="0.2">
      <c r="A404" s="42">
        <v>769</v>
      </c>
      <c r="B404" s="42">
        <v>17316</v>
      </c>
      <c r="C404" s="34" t="s">
        <v>1632</v>
      </c>
    </row>
    <row r="405" spans="1:3" ht="15.75" customHeight="1" x14ac:dyDescent="0.2">
      <c r="A405" s="42">
        <v>770</v>
      </c>
      <c r="B405" s="42">
        <v>17316</v>
      </c>
      <c r="C405" s="34" t="s">
        <v>1633</v>
      </c>
    </row>
    <row r="406" spans="1:3" ht="15.75" customHeight="1" x14ac:dyDescent="0.2">
      <c r="A406" s="42">
        <v>771</v>
      </c>
      <c r="B406" s="42">
        <v>17316</v>
      </c>
      <c r="C406" s="34" t="s">
        <v>1634</v>
      </c>
    </row>
    <row r="407" spans="1:3" ht="15.75" customHeight="1" x14ac:dyDescent="0.2">
      <c r="A407" s="42">
        <v>772</v>
      </c>
      <c r="B407" s="42">
        <v>17316</v>
      </c>
      <c r="C407" s="34" t="s">
        <v>1635</v>
      </c>
    </row>
    <row r="408" spans="1:3" ht="15.75" customHeight="1" x14ac:dyDescent="0.2">
      <c r="A408" s="42">
        <v>773</v>
      </c>
      <c r="B408" s="42">
        <v>17316</v>
      </c>
      <c r="C408" s="34" t="s">
        <v>1636</v>
      </c>
    </row>
    <row r="409" spans="1:3" ht="15.75" customHeight="1" x14ac:dyDescent="0.2">
      <c r="A409" s="42">
        <v>774</v>
      </c>
      <c r="B409" s="42">
        <v>17316</v>
      </c>
      <c r="C409" s="34" t="s">
        <v>1637</v>
      </c>
    </row>
    <row r="410" spans="1:3" ht="15.75" customHeight="1" x14ac:dyDescent="0.2">
      <c r="A410" s="42">
        <v>775</v>
      </c>
      <c r="B410" s="42">
        <v>17316</v>
      </c>
      <c r="C410" s="34" t="s">
        <v>1636</v>
      </c>
    </row>
    <row r="411" spans="1:3" ht="15.75" customHeight="1" x14ac:dyDescent="0.2">
      <c r="A411" s="42">
        <v>776</v>
      </c>
      <c r="B411" s="42">
        <v>17316</v>
      </c>
      <c r="C411" s="34" t="s">
        <v>1638</v>
      </c>
    </row>
    <row r="412" spans="1:3" ht="15.75" customHeight="1" x14ac:dyDescent="0.2">
      <c r="A412" s="42">
        <v>777</v>
      </c>
      <c r="B412" s="42">
        <v>17316</v>
      </c>
      <c r="C412" s="34" t="s">
        <v>1639</v>
      </c>
    </row>
    <row r="413" spans="1:3" ht="15.75" customHeight="1" x14ac:dyDescent="0.2">
      <c r="A413" s="42">
        <v>778</v>
      </c>
      <c r="B413" s="42">
        <v>17316</v>
      </c>
      <c r="C413" s="34" t="s">
        <v>1640</v>
      </c>
    </row>
    <row r="414" spans="1:3" ht="15.75" customHeight="1" x14ac:dyDescent="0.2">
      <c r="A414" s="42">
        <v>779</v>
      </c>
      <c r="B414" s="42">
        <v>17316</v>
      </c>
      <c r="C414" s="34" t="s">
        <v>1641</v>
      </c>
    </row>
    <row r="415" spans="1:3" ht="15.75" customHeight="1" x14ac:dyDescent="0.2">
      <c r="A415" s="42">
        <v>780</v>
      </c>
      <c r="B415" s="42">
        <v>17316</v>
      </c>
      <c r="C415" s="34" t="s">
        <v>1642</v>
      </c>
    </row>
    <row r="416" spans="1:3" ht="15.75" customHeight="1" x14ac:dyDescent="0.2">
      <c r="A416" s="42">
        <v>781</v>
      </c>
      <c r="B416" s="42">
        <v>17316</v>
      </c>
      <c r="C416" s="34" t="s">
        <v>1643</v>
      </c>
    </row>
    <row r="417" spans="1:3" ht="15.75" customHeight="1" x14ac:dyDescent="0.2">
      <c r="A417" s="42">
        <v>782</v>
      </c>
      <c r="B417" s="42">
        <v>17316</v>
      </c>
      <c r="C417" s="34" t="s">
        <v>1644</v>
      </c>
    </row>
    <row r="418" spans="1:3" ht="15.75" customHeight="1" x14ac:dyDescent="0.2">
      <c r="A418" s="42">
        <v>783</v>
      </c>
      <c r="B418" s="42">
        <v>17316</v>
      </c>
      <c r="C418" s="34" t="s">
        <v>1645</v>
      </c>
    </row>
    <row r="419" spans="1:3" ht="15.75" customHeight="1" x14ac:dyDescent="0.2">
      <c r="A419" s="42">
        <v>784</v>
      </c>
      <c r="B419" s="42">
        <v>17316</v>
      </c>
      <c r="C419" s="34" t="s">
        <v>1646</v>
      </c>
    </row>
    <row r="420" spans="1:3" ht="15.75" customHeight="1" x14ac:dyDescent="0.2">
      <c r="A420" s="42">
        <v>785</v>
      </c>
      <c r="B420" s="42">
        <v>17316</v>
      </c>
      <c r="C420" s="34" t="s">
        <v>1647</v>
      </c>
    </row>
    <row r="421" spans="1:3" ht="15.75" customHeight="1" x14ac:dyDescent="0.2">
      <c r="A421" s="42">
        <v>786</v>
      </c>
      <c r="B421" s="42">
        <v>17316</v>
      </c>
      <c r="C421" s="34" t="s">
        <v>1648</v>
      </c>
    </row>
    <row r="422" spans="1:3" ht="15.75" customHeight="1" x14ac:dyDescent="0.2">
      <c r="A422" s="42">
        <v>787</v>
      </c>
      <c r="B422" s="42">
        <v>17316</v>
      </c>
      <c r="C422" s="34" t="s">
        <v>1649</v>
      </c>
    </row>
    <row r="423" spans="1:3" ht="15.75" customHeight="1" x14ac:dyDescent="0.2">
      <c r="A423" s="42">
        <v>788</v>
      </c>
      <c r="B423" s="42">
        <v>17316</v>
      </c>
      <c r="C423" s="34" t="s">
        <v>1650</v>
      </c>
    </row>
    <row r="424" spans="1:3" ht="15.75" customHeight="1" x14ac:dyDescent="0.2">
      <c r="A424" s="42">
        <v>789</v>
      </c>
      <c r="B424" s="42">
        <v>17316</v>
      </c>
      <c r="C424" s="34" t="s">
        <v>1651</v>
      </c>
    </row>
    <row r="425" spans="1:3" ht="15.75" customHeight="1" x14ac:dyDescent="0.2">
      <c r="A425" s="42">
        <v>790</v>
      </c>
      <c r="B425" s="42">
        <v>17316</v>
      </c>
      <c r="C425" s="34" t="s">
        <v>1652</v>
      </c>
    </row>
    <row r="426" spans="1:3" ht="15.75" customHeight="1" x14ac:dyDescent="0.2">
      <c r="A426" s="42">
        <v>791</v>
      </c>
      <c r="B426" s="42">
        <v>17316</v>
      </c>
      <c r="C426" s="34" t="s">
        <v>1653</v>
      </c>
    </row>
    <row r="427" spans="1:3" ht="15.75" customHeight="1" x14ac:dyDescent="0.2">
      <c r="A427" s="42">
        <v>792</v>
      </c>
      <c r="B427" s="42">
        <v>17316</v>
      </c>
      <c r="C427" s="34" t="s">
        <v>1654</v>
      </c>
    </row>
    <row r="428" spans="1:3" ht="15.75" customHeight="1" x14ac:dyDescent="0.2">
      <c r="A428" s="42">
        <v>793</v>
      </c>
      <c r="B428" s="42">
        <v>17316</v>
      </c>
      <c r="C428" s="34" t="s">
        <v>1655</v>
      </c>
    </row>
    <row r="429" spans="1:3" ht="15.75" customHeight="1" x14ac:dyDescent="0.2">
      <c r="A429" s="42">
        <v>794</v>
      </c>
      <c r="B429" s="42">
        <v>17316</v>
      </c>
      <c r="C429" s="34" t="s">
        <v>1656</v>
      </c>
    </row>
    <row r="430" spans="1:3" ht="15.75" customHeight="1" x14ac:dyDescent="0.2">
      <c r="A430" s="42">
        <v>795</v>
      </c>
      <c r="B430" s="42">
        <v>17316</v>
      </c>
      <c r="C430" s="34" t="s">
        <v>1657</v>
      </c>
    </row>
    <row r="431" spans="1:3" ht="15.75" customHeight="1" x14ac:dyDescent="0.2">
      <c r="A431" s="42">
        <v>796</v>
      </c>
      <c r="B431" s="42">
        <v>17316</v>
      </c>
      <c r="C431" s="34" t="s">
        <v>1658</v>
      </c>
    </row>
    <row r="432" spans="1:3" ht="15.75" customHeight="1" x14ac:dyDescent="0.2">
      <c r="A432" s="42">
        <v>797</v>
      </c>
      <c r="B432" s="42">
        <v>17316</v>
      </c>
      <c r="C432" s="34" t="s">
        <v>1659</v>
      </c>
    </row>
    <row r="433" spans="1:3" ht="15.75" customHeight="1" x14ac:dyDescent="0.2">
      <c r="A433" s="42">
        <v>798</v>
      </c>
      <c r="B433" s="42">
        <v>17316</v>
      </c>
      <c r="C433" s="34" t="s">
        <v>1660</v>
      </c>
    </row>
    <row r="434" spans="1:3" ht="15.75" customHeight="1" x14ac:dyDescent="0.2">
      <c r="A434" s="42">
        <v>799</v>
      </c>
      <c r="B434" s="42">
        <v>17316</v>
      </c>
      <c r="C434" s="34" t="s">
        <v>1661</v>
      </c>
    </row>
    <row r="435" spans="1:3" ht="15.75" customHeight="1" x14ac:dyDescent="0.2">
      <c r="A435" s="42">
        <v>800</v>
      </c>
      <c r="B435" s="42">
        <v>17316</v>
      </c>
      <c r="C435" s="34" t="s">
        <v>1662</v>
      </c>
    </row>
    <row r="436" spans="1:3" ht="15.75" customHeight="1" x14ac:dyDescent="0.2">
      <c r="A436" s="42">
        <v>801</v>
      </c>
      <c r="B436" s="42">
        <v>17316</v>
      </c>
      <c r="C436" s="34" t="s">
        <v>1663</v>
      </c>
    </row>
    <row r="437" spans="1:3" ht="15.75" customHeight="1" x14ac:dyDescent="0.2">
      <c r="A437" s="42">
        <v>802</v>
      </c>
      <c r="B437" s="42">
        <v>17316</v>
      </c>
      <c r="C437" s="34" t="s">
        <v>1664</v>
      </c>
    </row>
    <row r="438" spans="1:3" ht="15.75" customHeight="1" x14ac:dyDescent="0.2">
      <c r="A438" s="42">
        <v>803</v>
      </c>
      <c r="B438" s="42">
        <v>17316</v>
      </c>
      <c r="C438" s="34" t="s">
        <v>1665</v>
      </c>
    </row>
    <row r="439" spans="1:3" ht="15.75" customHeight="1" x14ac:dyDescent="0.2">
      <c r="A439" s="42">
        <v>804</v>
      </c>
      <c r="B439" s="42">
        <v>17316</v>
      </c>
      <c r="C439" s="34" t="s">
        <v>1666</v>
      </c>
    </row>
    <row r="440" spans="1:3" ht="15.75" customHeight="1" x14ac:dyDescent="0.2">
      <c r="A440" s="42">
        <v>805</v>
      </c>
      <c r="B440" s="42">
        <v>17316</v>
      </c>
      <c r="C440" s="34" t="s">
        <v>1667</v>
      </c>
    </row>
    <row r="441" spans="1:3" ht="15.75" customHeight="1" x14ac:dyDescent="0.2">
      <c r="A441" s="42">
        <v>806</v>
      </c>
      <c r="B441" s="42">
        <v>17316</v>
      </c>
      <c r="C441" s="34" t="s">
        <v>1668</v>
      </c>
    </row>
    <row r="442" spans="1:3" ht="15.75" customHeight="1" x14ac:dyDescent="0.2">
      <c r="A442" s="42">
        <v>807</v>
      </c>
      <c r="B442" s="42">
        <v>17316</v>
      </c>
      <c r="C442" s="34" t="s">
        <v>1669</v>
      </c>
    </row>
    <row r="443" spans="1:3" ht="15.75" customHeight="1" x14ac:dyDescent="0.2">
      <c r="A443" s="42">
        <v>808</v>
      </c>
      <c r="B443" s="42">
        <v>17316</v>
      </c>
      <c r="C443" s="34" t="s">
        <v>1670</v>
      </c>
    </row>
    <row r="444" spans="1:3" ht="15.75" customHeight="1" x14ac:dyDescent="0.2">
      <c r="A444" s="42">
        <v>809</v>
      </c>
      <c r="B444" s="42">
        <v>17316</v>
      </c>
      <c r="C444" s="34" t="s">
        <v>1671</v>
      </c>
    </row>
    <row r="445" spans="1:3" ht="15.75" customHeight="1" x14ac:dyDescent="0.2">
      <c r="A445" s="42">
        <v>810</v>
      </c>
      <c r="B445" s="42">
        <v>17316</v>
      </c>
      <c r="C445" s="34" t="s">
        <v>1672</v>
      </c>
    </row>
    <row r="446" spans="1:3" ht="15.75" customHeight="1" x14ac:dyDescent="0.2">
      <c r="A446" s="42">
        <v>811</v>
      </c>
      <c r="B446" s="42">
        <v>17316</v>
      </c>
      <c r="C446" s="34" t="s">
        <v>1673</v>
      </c>
    </row>
    <row r="447" spans="1:3" ht="15.75" customHeight="1" x14ac:dyDescent="0.2">
      <c r="A447" s="42">
        <v>812</v>
      </c>
      <c r="B447" s="42">
        <v>17316</v>
      </c>
      <c r="C447" s="34" t="s">
        <v>1674</v>
      </c>
    </row>
    <row r="448" spans="1:3" ht="15.75" customHeight="1" x14ac:dyDescent="0.2">
      <c r="A448" s="42">
        <v>813</v>
      </c>
      <c r="B448" s="42">
        <v>17316</v>
      </c>
      <c r="C448" s="34" t="s">
        <v>1675</v>
      </c>
    </row>
    <row r="449" spans="1:3" ht="15.75" customHeight="1" x14ac:dyDescent="0.2">
      <c r="A449" s="42">
        <v>814</v>
      </c>
      <c r="B449" s="42">
        <v>17316</v>
      </c>
      <c r="C449" s="34" t="s">
        <v>1676</v>
      </c>
    </row>
    <row r="450" spans="1:3" ht="15.75" customHeight="1" x14ac:dyDescent="0.2">
      <c r="A450" s="42">
        <v>815</v>
      </c>
      <c r="B450" s="42">
        <v>17316</v>
      </c>
      <c r="C450" s="34" t="s">
        <v>1677</v>
      </c>
    </row>
    <row r="451" spans="1:3" ht="15.75" customHeight="1" x14ac:dyDescent="0.2">
      <c r="A451" s="42">
        <v>816</v>
      </c>
      <c r="B451" s="42">
        <v>17316</v>
      </c>
      <c r="C451" s="34" t="s">
        <v>1678</v>
      </c>
    </row>
    <row r="452" spans="1:3" ht="15.75" customHeight="1" x14ac:dyDescent="0.2">
      <c r="A452" s="42">
        <v>817</v>
      </c>
      <c r="B452" s="42">
        <v>17316</v>
      </c>
      <c r="C452" s="34" t="s">
        <v>1679</v>
      </c>
    </row>
    <row r="453" spans="1:3" ht="15.75" customHeight="1" x14ac:dyDescent="0.2">
      <c r="A453" s="42">
        <v>818</v>
      </c>
      <c r="B453" s="42">
        <v>17316</v>
      </c>
      <c r="C453" s="34" t="s">
        <v>1680</v>
      </c>
    </row>
    <row r="454" spans="1:3" ht="15.75" customHeight="1" x14ac:dyDescent="0.2">
      <c r="A454" s="42">
        <v>819</v>
      </c>
      <c r="B454" s="42">
        <v>17316</v>
      </c>
      <c r="C454" s="34" t="s">
        <v>1681</v>
      </c>
    </row>
    <row r="455" spans="1:3" ht="15.75" customHeight="1" x14ac:dyDescent="0.2">
      <c r="A455" s="42">
        <v>820</v>
      </c>
      <c r="B455" s="42">
        <v>17316</v>
      </c>
      <c r="C455" s="34" t="s">
        <v>1682</v>
      </c>
    </row>
    <row r="456" spans="1:3" ht="15.75" customHeight="1" x14ac:dyDescent="0.2">
      <c r="A456" s="42">
        <v>821</v>
      </c>
      <c r="B456" s="42">
        <v>17316</v>
      </c>
      <c r="C456" s="34" t="s">
        <v>1683</v>
      </c>
    </row>
    <row r="457" spans="1:3" ht="15.75" customHeight="1" x14ac:dyDescent="0.2">
      <c r="A457" s="42">
        <v>822</v>
      </c>
      <c r="B457" s="42">
        <v>17316</v>
      </c>
      <c r="C457" s="34" t="s">
        <v>1684</v>
      </c>
    </row>
    <row r="458" spans="1:3" ht="15.75" customHeight="1" x14ac:dyDescent="0.2">
      <c r="A458" s="42">
        <v>823</v>
      </c>
      <c r="B458" s="42">
        <v>17316</v>
      </c>
      <c r="C458" s="34" t="s">
        <v>1685</v>
      </c>
    </row>
    <row r="459" spans="1:3" ht="15.75" customHeight="1" x14ac:dyDescent="0.2">
      <c r="A459" s="42">
        <v>824</v>
      </c>
      <c r="B459" s="42">
        <v>17316</v>
      </c>
      <c r="C459" s="34" t="s">
        <v>1686</v>
      </c>
    </row>
    <row r="460" spans="1:3" ht="15.75" customHeight="1" x14ac:dyDescent="0.2">
      <c r="A460" s="42">
        <v>825</v>
      </c>
      <c r="B460" s="42">
        <v>17316</v>
      </c>
      <c r="C460" s="34" t="s">
        <v>1687</v>
      </c>
    </row>
    <row r="461" spans="1:3" ht="15.75" customHeight="1" x14ac:dyDescent="0.2">
      <c r="A461" s="42">
        <v>826</v>
      </c>
      <c r="B461" s="42">
        <v>17316</v>
      </c>
      <c r="C461" s="34" t="s">
        <v>1688</v>
      </c>
    </row>
    <row r="462" spans="1:3" ht="15.75" customHeight="1" x14ac:dyDescent="0.2">
      <c r="A462" s="42">
        <v>827</v>
      </c>
      <c r="B462" s="42">
        <v>17316</v>
      </c>
      <c r="C462" s="34" t="s">
        <v>1689</v>
      </c>
    </row>
    <row r="463" spans="1:3" ht="15.75" customHeight="1" x14ac:dyDescent="0.2">
      <c r="A463" s="42">
        <v>828</v>
      </c>
      <c r="B463" s="42">
        <v>17316</v>
      </c>
      <c r="C463" s="34" t="s">
        <v>1690</v>
      </c>
    </row>
    <row r="464" spans="1:3" ht="15.75" customHeight="1" x14ac:dyDescent="0.2">
      <c r="A464" s="42">
        <v>829</v>
      </c>
      <c r="B464" s="42">
        <v>17316</v>
      </c>
      <c r="C464" s="34" t="s">
        <v>1691</v>
      </c>
    </row>
    <row r="465" spans="1:3" ht="15.75" customHeight="1" x14ac:dyDescent="0.2">
      <c r="A465" s="42">
        <v>830</v>
      </c>
      <c r="B465" s="42">
        <v>17316</v>
      </c>
      <c r="C465" s="34" t="s">
        <v>1692</v>
      </c>
    </row>
    <row r="466" spans="1:3" ht="15.75" customHeight="1" x14ac:dyDescent="0.2">
      <c r="A466" s="42">
        <v>831</v>
      </c>
      <c r="B466" s="42">
        <v>17316</v>
      </c>
      <c r="C466" s="34" t="s">
        <v>1693</v>
      </c>
    </row>
    <row r="467" spans="1:3" ht="15.75" customHeight="1" x14ac:dyDescent="0.2">
      <c r="A467" s="42">
        <v>832</v>
      </c>
      <c r="B467" s="42">
        <v>17316</v>
      </c>
      <c r="C467" s="34" t="s">
        <v>1694</v>
      </c>
    </row>
    <row r="468" spans="1:3" ht="15.75" customHeight="1" x14ac:dyDescent="0.2">
      <c r="A468" s="42">
        <v>833</v>
      </c>
      <c r="B468" s="42">
        <v>17316</v>
      </c>
      <c r="C468" s="34" t="s">
        <v>1695</v>
      </c>
    </row>
    <row r="469" spans="1:3" ht="15.75" customHeight="1" x14ac:dyDescent="0.2">
      <c r="A469" s="42">
        <v>834</v>
      </c>
      <c r="B469" s="42">
        <v>17316</v>
      </c>
      <c r="C469" s="34" t="s">
        <v>1696</v>
      </c>
    </row>
    <row r="470" spans="1:3" ht="15.75" customHeight="1" x14ac:dyDescent="0.2">
      <c r="A470" s="42">
        <v>835</v>
      </c>
      <c r="B470" s="42">
        <v>17316</v>
      </c>
      <c r="C470" s="34" t="s">
        <v>1697</v>
      </c>
    </row>
    <row r="471" spans="1:3" ht="15.75" customHeight="1" x14ac:dyDescent="0.2">
      <c r="A471" s="42">
        <v>836</v>
      </c>
      <c r="B471" s="42">
        <v>17316</v>
      </c>
      <c r="C471" s="34" t="s">
        <v>1698</v>
      </c>
    </row>
    <row r="472" spans="1:3" ht="15.75" customHeight="1" x14ac:dyDescent="0.2">
      <c r="A472" s="42">
        <v>837</v>
      </c>
      <c r="B472" s="42">
        <v>17316</v>
      </c>
      <c r="C472" s="34" t="s">
        <v>1699</v>
      </c>
    </row>
    <row r="473" spans="1:3" ht="15.75" customHeight="1" x14ac:dyDescent="0.2">
      <c r="A473" s="42">
        <v>838</v>
      </c>
      <c r="B473" s="42">
        <v>17316</v>
      </c>
      <c r="C473" s="34" t="s">
        <v>1700</v>
      </c>
    </row>
    <row r="474" spans="1:3" ht="15.75" customHeight="1" x14ac:dyDescent="0.2">
      <c r="A474" s="42">
        <v>839</v>
      </c>
      <c r="B474" s="42">
        <v>17316</v>
      </c>
      <c r="C474" s="34" t="s">
        <v>1701</v>
      </c>
    </row>
    <row r="475" spans="1:3" ht="15.75" customHeight="1" x14ac:dyDescent="0.2">
      <c r="A475" s="42">
        <v>840</v>
      </c>
      <c r="B475" s="42">
        <v>17316</v>
      </c>
      <c r="C475" s="34" t="s">
        <v>1702</v>
      </c>
    </row>
    <row r="476" spans="1:3" ht="15.75" customHeight="1" x14ac:dyDescent="0.2">
      <c r="A476" s="42">
        <v>841</v>
      </c>
      <c r="B476" s="42">
        <v>17316</v>
      </c>
      <c r="C476" s="34" t="s">
        <v>1703</v>
      </c>
    </row>
    <row r="477" spans="1:3" ht="15.75" customHeight="1" x14ac:dyDescent="0.2">
      <c r="A477" s="42">
        <v>842</v>
      </c>
      <c r="B477" s="42">
        <v>17316</v>
      </c>
      <c r="C477" s="34" t="s">
        <v>1704</v>
      </c>
    </row>
    <row r="478" spans="1:3" ht="15.75" customHeight="1" x14ac:dyDescent="0.2">
      <c r="A478" s="42">
        <v>843</v>
      </c>
      <c r="B478" s="42">
        <v>17316</v>
      </c>
      <c r="C478" s="34" t="s">
        <v>1705</v>
      </c>
    </row>
    <row r="479" spans="1:3" ht="15.75" customHeight="1" x14ac:dyDescent="0.2">
      <c r="A479" s="42">
        <v>844</v>
      </c>
      <c r="B479" s="42">
        <v>17316</v>
      </c>
      <c r="C479" s="34" t="s">
        <v>1706</v>
      </c>
    </row>
    <row r="480" spans="1:3" ht="15.75" customHeight="1" x14ac:dyDescent="0.2">
      <c r="A480" s="42">
        <v>845</v>
      </c>
      <c r="B480" s="42">
        <v>17316</v>
      </c>
      <c r="C480" s="34" t="s">
        <v>1707</v>
      </c>
    </row>
    <row r="481" spans="1:3" ht="15.75" customHeight="1" x14ac:dyDescent="0.2">
      <c r="A481" s="42">
        <v>846</v>
      </c>
      <c r="B481" s="42">
        <v>17316</v>
      </c>
      <c r="C481" s="34" t="s">
        <v>1708</v>
      </c>
    </row>
    <row r="482" spans="1:3" ht="15.75" customHeight="1" x14ac:dyDescent="0.2">
      <c r="A482" s="42">
        <v>847</v>
      </c>
      <c r="B482" s="42">
        <v>17316</v>
      </c>
      <c r="C482" s="34" t="s">
        <v>1709</v>
      </c>
    </row>
    <row r="483" spans="1:3" ht="15.75" customHeight="1" x14ac:dyDescent="0.2">
      <c r="A483" s="42">
        <v>848</v>
      </c>
      <c r="B483" s="42">
        <v>17316</v>
      </c>
      <c r="C483" s="34" t="s">
        <v>1710</v>
      </c>
    </row>
    <row r="484" spans="1:3" ht="15.75" customHeight="1" x14ac:dyDescent="0.2">
      <c r="A484" s="42">
        <v>849</v>
      </c>
      <c r="B484" s="42">
        <v>17316</v>
      </c>
      <c r="C484" s="34" t="s">
        <v>1711</v>
      </c>
    </row>
    <row r="485" spans="1:3" ht="15.75" customHeight="1" x14ac:dyDescent="0.2">
      <c r="A485" s="42">
        <v>850</v>
      </c>
      <c r="B485" s="42">
        <v>17316</v>
      </c>
      <c r="C485" s="34" t="s">
        <v>1712</v>
      </c>
    </row>
    <row r="486" spans="1:3" ht="15.75" customHeight="1" x14ac:dyDescent="0.2">
      <c r="A486" s="42">
        <v>851</v>
      </c>
      <c r="B486" s="42">
        <v>17316</v>
      </c>
      <c r="C486" s="34" t="s">
        <v>1713</v>
      </c>
    </row>
    <row r="487" spans="1:3" ht="15.75" customHeight="1" x14ac:dyDescent="0.2">
      <c r="A487" s="42">
        <v>852</v>
      </c>
      <c r="B487" s="42">
        <v>17317</v>
      </c>
      <c r="C487" s="34" t="s">
        <v>1714</v>
      </c>
    </row>
    <row r="488" spans="1:3" ht="15.75" customHeight="1" x14ac:dyDescent="0.2">
      <c r="A488" s="42">
        <v>853</v>
      </c>
      <c r="B488" s="42">
        <v>17317</v>
      </c>
      <c r="C488" s="34" t="s">
        <v>1715</v>
      </c>
    </row>
    <row r="489" spans="1:3" ht="15.75" customHeight="1" x14ac:dyDescent="0.2">
      <c r="A489" s="42">
        <v>854</v>
      </c>
      <c r="B489" s="42">
        <v>17317</v>
      </c>
      <c r="C489" s="34" t="s">
        <v>1716</v>
      </c>
    </row>
    <row r="490" spans="1:3" ht="15.75" customHeight="1" x14ac:dyDescent="0.2">
      <c r="A490" s="42">
        <v>855</v>
      </c>
      <c r="B490" s="42">
        <v>17317</v>
      </c>
      <c r="C490" s="34" t="s">
        <v>1717</v>
      </c>
    </row>
    <row r="491" spans="1:3" ht="15.75" customHeight="1" x14ac:dyDescent="0.2">
      <c r="A491" s="42">
        <v>856</v>
      </c>
      <c r="B491" s="42">
        <v>17317</v>
      </c>
      <c r="C491" s="34" t="s">
        <v>1718</v>
      </c>
    </row>
    <row r="492" spans="1:3" ht="15.75" customHeight="1" x14ac:dyDescent="0.2">
      <c r="A492" s="42">
        <v>857</v>
      </c>
      <c r="B492" s="42">
        <v>17317</v>
      </c>
      <c r="C492" s="34" t="s">
        <v>1719</v>
      </c>
    </row>
    <row r="493" spans="1:3" ht="15.75" customHeight="1" x14ac:dyDescent="0.2">
      <c r="A493" s="42">
        <v>858</v>
      </c>
      <c r="B493" s="42">
        <v>17317</v>
      </c>
      <c r="C493" s="34" t="s">
        <v>1720</v>
      </c>
    </row>
    <row r="494" spans="1:3" ht="15.75" customHeight="1" x14ac:dyDescent="0.2">
      <c r="A494" s="42">
        <v>859</v>
      </c>
      <c r="B494" s="42">
        <v>17317</v>
      </c>
      <c r="C494" s="34" t="s">
        <v>1721</v>
      </c>
    </row>
    <row r="495" spans="1:3" ht="15.75" customHeight="1" x14ac:dyDescent="0.2">
      <c r="A495" s="42">
        <v>860</v>
      </c>
      <c r="B495" s="42">
        <v>17317</v>
      </c>
      <c r="C495" s="34" t="s">
        <v>1722</v>
      </c>
    </row>
    <row r="496" spans="1:3" ht="15.75" customHeight="1" x14ac:dyDescent="0.2">
      <c r="A496" s="42">
        <v>861</v>
      </c>
      <c r="B496" s="42">
        <v>17317</v>
      </c>
      <c r="C496" s="34" t="s">
        <v>1723</v>
      </c>
    </row>
    <row r="497" spans="1:3" ht="15.75" customHeight="1" x14ac:dyDescent="0.2">
      <c r="A497" s="42">
        <v>862</v>
      </c>
      <c r="B497" s="42">
        <v>17317</v>
      </c>
      <c r="C497" s="34" t="s">
        <v>1724</v>
      </c>
    </row>
    <row r="498" spans="1:3" ht="15.75" customHeight="1" x14ac:dyDescent="0.2">
      <c r="A498" s="42">
        <v>863</v>
      </c>
      <c r="B498" s="42">
        <v>17317</v>
      </c>
      <c r="C498" s="34" t="s">
        <v>1725</v>
      </c>
    </row>
    <row r="499" spans="1:3" ht="15.75" customHeight="1" x14ac:dyDescent="0.2">
      <c r="A499" s="42">
        <v>864</v>
      </c>
      <c r="B499" s="42">
        <v>17317</v>
      </c>
      <c r="C499" s="34" t="s">
        <v>1726</v>
      </c>
    </row>
    <row r="500" spans="1:3" ht="15.75" customHeight="1" x14ac:dyDescent="0.2">
      <c r="A500" s="42">
        <v>865</v>
      </c>
      <c r="B500" s="42">
        <v>17317</v>
      </c>
      <c r="C500" s="34" t="s">
        <v>1727</v>
      </c>
    </row>
    <row r="501" spans="1:3" ht="15.75" customHeight="1" x14ac:dyDescent="0.2">
      <c r="A501" s="42">
        <v>866</v>
      </c>
      <c r="B501" s="42">
        <v>17317</v>
      </c>
      <c r="C501" s="34" t="s">
        <v>1728</v>
      </c>
    </row>
    <row r="502" spans="1:3" ht="15.75" customHeight="1" x14ac:dyDescent="0.2">
      <c r="A502" s="42">
        <v>867</v>
      </c>
      <c r="B502" s="42">
        <v>17317</v>
      </c>
      <c r="C502" s="34" t="s">
        <v>1729</v>
      </c>
    </row>
    <row r="503" spans="1:3" ht="15.75" customHeight="1" x14ac:dyDescent="0.2">
      <c r="A503" s="42">
        <v>868</v>
      </c>
      <c r="B503" s="42">
        <v>17317</v>
      </c>
      <c r="C503" s="34" t="s">
        <v>1730</v>
      </c>
    </row>
    <row r="504" spans="1:3" ht="15.75" customHeight="1" x14ac:dyDescent="0.2">
      <c r="A504" s="42">
        <v>869</v>
      </c>
      <c r="B504" s="42">
        <v>17317</v>
      </c>
      <c r="C504" s="34" t="s">
        <v>1731</v>
      </c>
    </row>
    <row r="505" spans="1:3" ht="15.75" customHeight="1" x14ac:dyDescent="0.2">
      <c r="A505" s="42">
        <v>870</v>
      </c>
      <c r="B505" s="42">
        <v>17317</v>
      </c>
      <c r="C505" s="34" t="s">
        <v>1732</v>
      </c>
    </row>
    <row r="506" spans="1:3" ht="15.75" customHeight="1" x14ac:dyDescent="0.2">
      <c r="A506" s="42">
        <v>871</v>
      </c>
      <c r="B506" s="42">
        <v>17317</v>
      </c>
      <c r="C506" s="34" t="s">
        <v>1733</v>
      </c>
    </row>
    <row r="507" spans="1:3" ht="15.75" customHeight="1" x14ac:dyDescent="0.2">
      <c r="A507" s="42">
        <v>872</v>
      </c>
      <c r="B507" s="42">
        <v>17317</v>
      </c>
      <c r="C507" s="34" t="s">
        <v>1734</v>
      </c>
    </row>
    <row r="508" spans="1:3" ht="15.75" customHeight="1" x14ac:dyDescent="0.2">
      <c r="A508" s="42">
        <v>873</v>
      </c>
      <c r="B508" s="42">
        <v>17317</v>
      </c>
      <c r="C508" s="34" t="s">
        <v>1735</v>
      </c>
    </row>
    <row r="509" spans="1:3" ht="15.75" customHeight="1" x14ac:dyDescent="0.2">
      <c r="A509" s="42">
        <v>874</v>
      </c>
      <c r="B509" s="42">
        <v>17317</v>
      </c>
      <c r="C509" s="34" t="s">
        <v>1736</v>
      </c>
    </row>
    <row r="510" spans="1:3" ht="15.75" customHeight="1" x14ac:dyDescent="0.2">
      <c r="A510" s="42">
        <v>875</v>
      </c>
      <c r="B510" s="42">
        <v>17317</v>
      </c>
      <c r="C510" s="34" t="s">
        <v>1737</v>
      </c>
    </row>
    <row r="511" spans="1:3" ht="15.75" customHeight="1" x14ac:dyDescent="0.2">
      <c r="A511" s="42">
        <v>876</v>
      </c>
      <c r="B511" s="42">
        <v>17317</v>
      </c>
      <c r="C511" s="34" t="s">
        <v>1738</v>
      </c>
    </row>
    <row r="512" spans="1:3" ht="15.75" customHeight="1" x14ac:dyDescent="0.2">
      <c r="A512" s="42">
        <v>877</v>
      </c>
      <c r="B512" s="42">
        <v>17317</v>
      </c>
      <c r="C512" s="34" t="s">
        <v>1739</v>
      </c>
    </row>
    <row r="513" spans="1:3" ht="15.75" customHeight="1" x14ac:dyDescent="0.2">
      <c r="A513" s="42">
        <v>878</v>
      </c>
      <c r="B513" s="42">
        <v>17317</v>
      </c>
      <c r="C513" s="34" t="s">
        <v>1740</v>
      </c>
    </row>
    <row r="514" spans="1:3" ht="15.75" customHeight="1" x14ac:dyDescent="0.2">
      <c r="A514" s="42">
        <v>879</v>
      </c>
      <c r="B514" s="42">
        <v>17317</v>
      </c>
      <c r="C514" s="34" t="s">
        <v>1741</v>
      </c>
    </row>
    <row r="515" spans="1:3" ht="15.75" customHeight="1" x14ac:dyDescent="0.2">
      <c r="A515" s="42">
        <v>880</v>
      </c>
      <c r="B515" s="42">
        <v>17317</v>
      </c>
      <c r="C515" s="34" t="s">
        <v>1742</v>
      </c>
    </row>
    <row r="516" spans="1:3" ht="15.75" customHeight="1" x14ac:dyDescent="0.2">
      <c r="A516" s="42">
        <v>881</v>
      </c>
      <c r="B516" s="42">
        <v>17317</v>
      </c>
      <c r="C516" s="34" t="s">
        <v>1743</v>
      </c>
    </row>
    <row r="517" spans="1:3" ht="15.75" customHeight="1" x14ac:dyDescent="0.2">
      <c r="A517" s="42">
        <v>882</v>
      </c>
      <c r="B517" s="42">
        <v>17317</v>
      </c>
      <c r="C517" s="34" t="s">
        <v>1744</v>
      </c>
    </row>
    <row r="518" spans="1:3" ht="15.75" customHeight="1" x14ac:dyDescent="0.2">
      <c r="A518" s="42">
        <v>883</v>
      </c>
      <c r="B518" s="42">
        <v>17317</v>
      </c>
      <c r="C518" s="34" t="s">
        <v>1745</v>
      </c>
    </row>
    <row r="519" spans="1:3" ht="15.75" customHeight="1" x14ac:dyDescent="0.2">
      <c r="A519" s="42">
        <v>884</v>
      </c>
      <c r="B519" s="42">
        <v>17317</v>
      </c>
      <c r="C519" s="34" t="s">
        <v>1746</v>
      </c>
    </row>
    <row r="520" spans="1:3" ht="15.75" customHeight="1" x14ac:dyDescent="0.2">
      <c r="A520" s="42">
        <v>885</v>
      </c>
      <c r="B520" s="42">
        <v>17317</v>
      </c>
      <c r="C520" s="34" t="s">
        <v>1747</v>
      </c>
    </row>
    <row r="521" spans="1:3" ht="15.75" customHeight="1" x14ac:dyDescent="0.2">
      <c r="A521" s="42">
        <v>886</v>
      </c>
      <c r="B521" s="42">
        <v>17317</v>
      </c>
      <c r="C521" s="34" t="s">
        <v>1748</v>
      </c>
    </row>
    <row r="522" spans="1:3" ht="15.75" customHeight="1" x14ac:dyDescent="0.2">
      <c r="A522" s="42">
        <v>887</v>
      </c>
      <c r="B522" s="42">
        <v>17317</v>
      </c>
      <c r="C522" s="34" t="s">
        <v>1749</v>
      </c>
    </row>
    <row r="523" spans="1:3" ht="15.75" customHeight="1" x14ac:dyDescent="0.2">
      <c r="A523" s="42">
        <v>888</v>
      </c>
      <c r="B523" s="42">
        <v>17317</v>
      </c>
      <c r="C523" s="34" t="s">
        <v>1750</v>
      </c>
    </row>
    <row r="524" spans="1:3" ht="15.75" customHeight="1" x14ac:dyDescent="0.2">
      <c r="A524" s="42">
        <v>889</v>
      </c>
      <c r="B524" s="42">
        <v>17317</v>
      </c>
      <c r="C524" s="34" t="s">
        <v>1751</v>
      </c>
    </row>
    <row r="525" spans="1:3" ht="15.75" customHeight="1" x14ac:dyDescent="0.2">
      <c r="A525" s="42">
        <v>890</v>
      </c>
      <c r="B525" s="42">
        <v>17317</v>
      </c>
      <c r="C525" s="34" t="s">
        <v>1752</v>
      </c>
    </row>
    <row r="526" spans="1:3" ht="15.75" customHeight="1" x14ac:dyDescent="0.2">
      <c r="A526" s="42">
        <v>891</v>
      </c>
      <c r="B526" s="42">
        <v>17317</v>
      </c>
      <c r="C526" s="34" t="s">
        <v>1753</v>
      </c>
    </row>
    <row r="527" spans="1:3" ht="15.75" customHeight="1" x14ac:dyDescent="0.2">
      <c r="A527" s="42">
        <v>892</v>
      </c>
      <c r="B527" s="42">
        <v>17317</v>
      </c>
      <c r="C527" s="34" t="s">
        <v>1754</v>
      </c>
    </row>
    <row r="528" spans="1:3" ht="15.75" customHeight="1" x14ac:dyDescent="0.2">
      <c r="A528" s="42">
        <v>893</v>
      </c>
      <c r="B528" s="42">
        <v>17317</v>
      </c>
      <c r="C528" s="34" t="s">
        <v>1755</v>
      </c>
    </row>
    <row r="529" spans="1:3" ht="15.75" customHeight="1" x14ac:dyDescent="0.2">
      <c r="A529" s="42">
        <v>894</v>
      </c>
      <c r="B529" s="42">
        <v>17317</v>
      </c>
      <c r="C529" s="34" t="s">
        <v>1756</v>
      </c>
    </row>
    <row r="530" spans="1:3" ht="15.75" customHeight="1" x14ac:dyDescent="0.2">
      <c r="A530" s="42">
        <v>895</v>
      </c>
      <c r="B530" s="42">
        <v>17317</v>
      </c>
      <c r="C530" s="34" t="s">
        <v>1757</v>
      </c>
    </row>
    <row r="531" spans="1:3" ht="15.75" customHeight="1" x14ac:dyDescent="0.2">
      <c r="A531" s="42">
        <v>896</v>
      </c>
      <c r="B531" s="42">
        <v>17317</v>
      </c>
      <c r="C531" s="34" t="s">
        <v>1758</v>
      </c>
    </row>
    <row r="532" spans="1:3" ht="15.75" customHeight="1" x14ac:dyDescent="0.2">
      <c r="A532" s="42">
        <v>897</v>
      </c>
      <c r="B532" s="42">
        <v>17317</v>
      </c>
      <c r="C532" s="34" t="s">
        <v>1759</v>
      </c>
    </row>
    <row r="533" spans="1:3" ht="15.75" customHeight="1" x14ac:dyDescent="0.2">
      <c r="A533" s="42">
        <v>898</v>
      </c>
      <c r="B533" s="42">
        <v>17317</v>
      </c>
      <c r="C533" s="34" t="s">
        <v>1760</v>
      </c>
    </row>
    <row r="534" spans="1:3" ht="15.75" customHeight="1" x14ac:dyDescent="0.2">
      <c r="A534" s="42">
        <v>899</v>
      </c>
      <c r="B534" s="42">
        <v>17317</v>
      </c>
      <c r="C534" s="34" t="s">
        <v>1761</v>
      </c>
    </row>
    <row r="535" spans="1:3" ht="15.75" customHeight="1" x14ac:dyDescent="0.2">
      <c r="A535" s="42">
        <v>900</v>
      </c>
      <c r="B535" s="42">
        <v>17317</v>
      </c>
      <c r="C535" s="34" t="s">
        <v>1762</v>
      </c>
    </row>
    <row r="536" spans="1:3" ht="15.75" customHeight="1" x14ac:dyDescent="0.2">
      <c r="A536" s="42">
        <v>901</v>
      </c>
      <c r="B536" s="42">
        <v>17317</v>
      </c>
      <c r="C536" s="34" t="s">
        <v>1763</v>
      </c>
    </row>
    <row r="537" spans="1:3" ht="15.75" customHeight="1" x14ac:dyDescent="0.2">
      <c r="A537" s="42">
        <v>902</v>
      </c>
      <c r="B537" s="42">
        <v>17317</v>
      </c>
      <c r="C537" s="34" t="s">
        <v>1764</v>
      </c>
    </row>
    <row r="538" spans="1:3" ht="15.75" customHeight="1" x14ac:dyDescent="0.2">
      <c r="A538" s="42">
        <v>903</v>
      </c>
      <c r="B538" s="42">
        <v>17317</v>
      </c>
      <c r="C538" s="34" t="s">
        <v>1765</v>
      </c>
    </row>
    <row r="539" spans="1:3" ht="15.75" customHeight="1" x14ac:dyDescent="0.2">
      <c r="A539" s="42">
        <v>904</v>
      </c>
      <c r="B539" s="42">
        <v>17317</v>
      </c>
      <c r="C539" s="34" t="s">
        <v>1766</v>
      </c>
    </row>
    <row r="540" spans="1:3" ht="15.75" customHeight="1" x14ac:dyDescent="0.2">
      <c r="A540" s="42">
        <v>905</v>
      </c>
      <c r="B540" s="42">
        <v>17317</v>
      </c>
      <c r="C540" s="34" t="s">
        <v>1767</v>
      </c>
    </row>
    <row r="541" spans="1:3" ht="15.75" customHeight="1" x14ac:dyDescent="0.2">
      <c r="A541" s="42">
        <v>906</v>
      </c>
      <c r="B541" s="42">
        <v>17317</v>
      </c>
      <c r="C541" s="34" t="s">
        <v>1768</v>
      </c>
    </row>
    <row r="542" spans="1:3" ht="15.75" customHeight="1" x14ac:dyDescent="0.2">
      <c r="A542" s="42">
        <v>907</v>
      </c>
      <c r="B542" s="42">
        <v>17317</v>
      </c>
      <c r="C542" s="34" t="s">
        <v>1769</v>
      </c>
    </row>
    <row r="543" spans="1:3" ht="15.75" customHeight="1" x14ac:dyDescent="0.2">
      <c r="A543" s="42">
        <v>908</v>
      </c>
      <c r="B543" s="42">
        <v>17317</v>
      </c>
      <c r="C543" s="34" t="s">
        <v>1770</v>
      </c>
    </row>
    <row r="544" spans="1:3" ht="15.75" customHeight="1" x14ac:dyDescent="0.2">
      <c r="A544" s="42">
        <v>909</v>
      </c>
      <c r="B544" s="42">
        <v>17317</v>
      </c>
      <c r="C544" s="34" t="s">
        <v>1771</v>
      </c>
    </row>
    <row r="545" spans="1:3" ht="15.75" customHeight="1" x14ac:dyDescent="0.2">
      <c r="A545" s="42">
        <v>910</v>
      </c>
      <c r="B545" s="42">
        <v>17317</v>
      </c>
      <c r="C545" s="34" t="s">
        <v>1772</v>
      </c>
    </row>
    <row r="546" spans="1:3" ht="15.75" customHeight="1" x14ac:dyDescent="0.2">
      <c r="A546" s="42">
        <v>911</v>
      </c>
      <c r="B546" s="42">
        <v>17317</v>
      </c>
      <c r="C546" s="34" t="s">
        <v>1773</v>
      </c>
    </row>
    <row r="547" spans="1:3" ht="15.75" customHeight="1" x14ac:dyDescent="0.2">
      <c r="A547" s="42">
        <v>912</v>
      </c>
      <c r="B547" s="42">
        <v>17317</v>
      </c>
      <c r="C547" s="34" t="s">
        <v>1774</v>
      </c>
    </row>
    <row r="548" spans="1:3" ht="15.75" customHeight="1" x14ac:dyDescent="0.2">
      <c r="A548" s="42">
        <v>913</v>
      </c>
      <c r="B548" s="42">
        <v>17317</v>
      </c>
      <c r="C548" s="34" t="s">
        <v>1775</v>
      </c>
    </row>
    <row r="549" spans="1:3" ht="15.75" customHeight="1" x14ac:dyDescent="0.2">
      <c r="A549" s="42">
        <v>914</v>
      </c>
      <c r="B549" s="42">
        <v>17317</v>
      </c>
      <c r="C549" s="34" t="s">
        <v>1776</v>
      </c>
    </row>
    <row r="550" spans="1:3" ht="15.75" customHeight="1" x14ac:dyDescent="0.2">
      <c r="A550" s="42">
        <v>915</v>
      </c>
      <c r="B550" s="42">
        <v>17317</v>
      </c>
      <c r="C550" s="34" t="s">
        <v>1777</v>
      </c>
    </row>
    <row r="551" spans="1:3" ht="15.75" customHeight="1" x14ac:dyDescent="0.2">
      <c r="A551" s="42">
        <v>916</v>
      </c>
      <c r="B551" s="42">
        <v>17317</v>
      </c>
      <c r="C551" s="34" t="s">
        <v>1778</v>
      </c>
    </row>
    <row r="552" spans="1:3" ht="15.75" customHeight="1" x14ac:dyDescent="0.2">
      <c r="A552" s="42">
        <v>917</v>
      </c>
      <c r="B552" s="42">
        <v>17317</v>
      </c>
      <c r="C552" s="34" t="s">
        <v>1779</v>
      </c>
    </row>
    <row r="553" spans="1:3" ht="15.75" customHeight="1" x14ac:dyDescent="0.2">
      <c r="A553" s="42">
        <v>918</v>
      </c>
      <c r="B553" s="42">
        <v>17317</v>
      </c>
      <c r="C553" s="34" t="s">
        <v>1780</v>
      </c>
    </row>
    <row r="554" spans="1:3" ht="15.75" customHeight="1" x14ac:dyDescent="0.2">
      <c r="A554" s="42">
        <v>919</v>
      </c>
      <c r="B554" s="42">
        <v>17317</v>
      </c>
      <c r="C554" s="34" t="s">
        <v>1781</v>
      </c>
    </row>
    <row r="555" spans="1:3" ht="15.75" customHeight="1" x14ac:dyDescent="0.2">
      <c r="A555" s="42">
        <v>920</v>
      </c>
      <c r="B555" s="42">
        <v>17317</v>
      </c>
      <c r="C555" s="34" t="s">
        <v>1782</v>
      </c>
    </row>
    <row r="556" spans="1:3" ht="15.75" customHeight="1" x14ac:dyDescent="0.2">
      <c r="A556" s="42">
        <v>921</v>
      </c>
      <c r="B556" s="42">
        <v>17317</v>
      </c>
      <c r="C556" s="34" t="s">
        <v>1783</v>
      </c>
    </row>
    <row r="557" spans="1:3" ht="15.75" customHeight="1" x14ac:dyDescent="0.2">
      <c r="A557" s="42">
        <v>922</v>
      </c>
      <c r="B557" s="42">
        <v>17317</v>
      </c>
      <c r="C557" s="34" t="s">
        <v>1784</v>
      </c>
    </row>
    <row r="558" spans="1:3" ht="15.75" customHeight="1" x14ac:dyDescent="0.2">
      <c r="A558" s="42">
        <v>923</v>
      </c>
      <c r="B558" s="42">
        <v>17317</v>
      </c>
      <c r="C558" s="34" t="s">
        <v>1785</v>
      </c>
    </row>
    <row r="559" spans="1:3" ht="15.75" customHeight="1" x14ac:dyDescent="0.2">
      <c r="A559" s="42">
        <v>924</v>
      </c>
      <c r="B559" s="42">
        <v>17317</v>
      </c>
      <c r="C559" s="34" t="s">
        <v>1786</v>
      </c>
    </row>
    <row r="560" spans="1:3" ht="15.75" customHeight="1" x14ac:dyDescent="0.2">
      <c r="A560" s="42">
        <v>925</v>
      </c>
      <c r="B560" s="42">
        <v>17317</v>
      </c>
      <c r="C560" s="34" t="s">
        <v>1787</v>
      </c>
    </row>
    <row r="561" spans="1:3" ht="15.75" customHeight="1" x14ac:dyDescent="0.2">
      <c r="A561" s="42">
        <v>926</v>
      </c>
      <c r="B561" s="42">
        <v>17317</v>
      </c>
      <c r="C561" s="34" t="s">
        <v>1788</v>
      </c>
    </row>
    <row r="562" spans="1:3" ht="15.75" customHeight="1" x14ac:dyDescent="0.2">
      <c r="A562" s="42">
        <v>927</v>
      </c>
      <c r="B562" s="42">
        <v>17317</v>
      </c>
      <c r="C562" s="34" t="s">
        <v>1789</v>
      </c>
    </row>
    <row r="563" spans="1:3" ht="15.75" customHeight="1" x14ac:dyDescent="0.2">
      <c r="A563" s="42">
        <v>928</v>
      </c>
      <c r="B563" s="42">
        <v>17317</v>
      </c>
      <c r="C563" s="34" t="s">
        <v>1790</v>
      </c>
    </row>
    <row r="564" spans="1:3" ht="15.75" customHeight="1" x14ac:dyDescent="0.2">
      <c r="A564" s="42">
        <v>929</v>
      </c>
      <c r="B564" s="42">
        <v>17317</v>
      </c>
      <c r="C564" s="34" t="s">
        <v>1791</v>
      </c>
    </row>
    <row r="565" spans="1:3" ht="15.75" customHeight="1" x14ac:dyDescent="0.2">
      <c r="A565" s="42">
        <v>930</v>
      </c>
      <c r="B565" s="42">
        <v>17317</v>
      </c>
      <c r="C565" s="34" t="s">
        <v>1792</v>
      </c>
    </row>
    <row r="566" spans="1:3" ht="15.75" customHeight="1" x14ac:dyDescent="0.2">
      <c r="A566" s="42">
        <v>931</v>
      </c>
      <c r="B566" s="42">
        <v>17317</v>
      </c>
      <c r="C566" s="34" t="s">
        <v>1793</v>
      </c>
    </row>
    <row r="567" spans="1:3" ht="15.75" customHeight="1" x14ac:dyDescent="0.2">
      <c r="A567" s="42">
        <v>932</v>
      </c>
      <c r="B567" s="42">
        <v>17317</v>
      </c>
      <c r="C567" s="34" t="s">
        <v>1794</v>
      </c>
    </row>
    <row r="568" spans="1:3" ht="15.75" customHeight="1" x14ac:dyDescent="0.2">
      <c r="A568" s="42">
        <v>933</v>
      </c>
      <c r="B568" s="42">
        <v>17317</v>
      </c>
      <c r="C568" s="34" t="s">
        <v>1795</v>
      </c>
    </row>
    <row r="569" spans="1:3" ht="15.75" customHeight="1" x14ac:dyDescent="0.2">
      <c r="A569" s="42">
        <v>934</v>
      </c>
      <c r="B569" s="42">
        <v>17317</v>
      </c>
      <c r="C569" s="34" t="s">
        <v>1796</v>
      </c>
    </row>
    <row r="570" spans="1:3" ht="15.75" customHeight="1" x14ac:dyDescent="0.2">
      <c r="A570" s="42">
        <v>935</v>
      </c>
      <c r="B570" s="42">
        <v>17317</v>
      </c>
      <c r="C570" s="34" t="s">
        <v>1797</v>
      </c>
    </row>
    <row r="571" spans="1:3" ht="15.75" customHeight="1" x14ac:dyDescent="0.2">
      <c r="A571" s="42">
        <v>936</v>
      </c>
      <c r="B571" s="42">
        <v>17317</v>
      </c>
      <c r="C571" s="34" t="s">
        <v>1798</v>
      </c>
    </row>
    <row r="572" spans="1:3" ht="15.75" customHeight="1" x14ac:dyDescent="0.2">
      <c r="A572" s="42">
        <v>937</v>
      </c>
      <c r="B572" s="42">
        <v>17317</v>
      </c>
      <c r="C572" s="34" t="s">
        <v>1799</v>
      </c>
    </row>
    <row r="573" spans="1:3" ht="15.75" customHeight="1" x14ac:dyDescent="0.2">
      <c r="A573" s="42">
        <v>938</v>
      </c>
      <c r="B573" s="42">
        <v>17317</v>
      </c>
      <c r="C573" s="34" t="s">
        <v>1800</v>
      </c>
    </row>
    <row r="574" spans="1:3" ht="15.75" customHeight="1" x14ac:dyDescent="0.2">
      <c r="A574" s="42">
        <v>939</v>
      </c>
      <c r="B574" s="42">
        <v>17317</v>
      </c>
      <c r="C574" s="34" t="s">
        <v>1801</v>
      </c>
    </row>
    <row r="575" spans="1:3" ht="15.75" customHeight="1" x14ac:dyDescent="0.2">
      <c r="A575" s="42">
        <v>940</v>
      </c>
      <c r="B575" s="42">
        <v>17317</v>
      </c>
      <c r="C575" s="34" t="s">
        <v>1802</v>
      </c>
    </row>
    <row r="576" spans="1:3" ht="15.75" customHeight="1" x14ac:dyDescent="0.2">
      <c r="A576" s="42">
        <v>941</v>
      </c>
      <c r="B576" s="42">
        <v>17317</v>
      </c>
      <c r="C576" s="34" t="s">
        <v>1803</v>
      </c>
    </row>
    <row r="577" spans="1:3" ht="15.75" customHeight="1" x14ac:dyDescent="0.2">
      <c r="A577" s="42">
        <v>942</v>
      </c>
      <c r="B577" s="42">
        <v>17317</v>
      </c>
      <c r="C577" s="34" t="s">
        <v>1804</v>
      </c>
    </row>
    <row r="578" spans="1:3" ht="15.75" customHeight="1" x14ac:dyDescent="0.2">
      <c r="A578" s="42">
        <v>943</v>
      </c>
      <c r="B578" s="42">
        <v>17317</v>
      </c>
      <c r="C578" s="34" t="s">
        <v>1805</v>
      </c>
    </row>
    <row r="579" spans="1:3" ht="15.75" customHeight="1" x14ac:dyDescent="0.2">
      <c r="A579" s="42">
        <v>944</v>
      </c>
      <c r="B579" s="42">
        <v>17318</v>
      </c>
      <c r="C579" s="34" t="s">
        <v>1806</v>
      </c>
    </row>
    <row r="580" spans="1:3" ht="15.75" customHeight="1" x14ac:dyDescent="0.2">
      <c r="A580" s="42">
        <v>945</v>
      </c>
      <c r="B580" s="42">
        <v>17318</v>
      </c>
      <c r="C580" s="34" t="s">
        <v>1807</v>
      </c>
    </row>
    <row r="581" spans="1:3" ht="15.75" customHeight="1" x14ac:dyDescent="0.2">
      <c r="A581" s="42">
        <v>946</v>
      </c>
      <c r="B581" s="42">
        <v>17318</v>
      </c>
      <c r="C581" s="34" t="s">
        <v>1808</v>
      </c>
    </row>
    <row r="582" spans="1:3" ht="15.75" customHeight="1" x14ac:dyDescent="0.2">
      <c r="A582" s="42">
        <v>947</v>
      </c>
      <c r="B582" s="42">
        <v>17318</v>
      </c>
      <c r="C582" s="34" t="s">
        <v>1808</v>
      </c>
    </row>
    <row r="583" spans="1:3" ht="15.75" customHeight="1" x14ac:dyDescent="0.2">
      <c r="A583" s="42">
        <v>948</v>
      </c>
      <c r="B583" s="42">
        <v>17318</v>
      </c>
      <c r="C583" s="34" t="s">
        <v>1808</v>
      </c>
    </row>
    <row r="584" spans="1:3" ht="15.75" customHeight="1" x14ac:dyDescent="0.2">
      <c r="A584" s="42">
        <v>949</v>
      </c>
      <c r="B584" s="42">
        <v>17318</v>
      </c>
      <c r="C584" s="34" t="s">
        <v>1809</v>
      </c>
    </row>
    <row r="585" spans="1:3" ht="15.75" customHeight="1" x14ac:dyDescent="0.2">
      <c r="A585" s="42">
        <v>950</v>
      </c>
      <c r="B585" s="42">
        <v>17318</v>
      </c>
      <c r="C585" s="34" t="s">
        <v>1810</v>
      </c>
    </row>
    <row r="586" spans="1:3" ht="15.75" customHeight="1" x14ac:dyDescent="0.2">
      <c r="A586" s="42">
        <v>951</v>
      </c>
      <c r="B586" s="42">
        <v>17318</v>
      </c>
      <c r="C586" s="34" t="s">
        <v>1811</v>
      </c>
    </row>
    <row r="587" spans="1:3" ht="15.75" customHeight="1" x14ac:dyDescent="0.2">
      <c r="A587" s="42">
        <v>952</v>
      </c>
      <c r="B587" s="42">
        <v>17318</v>
      </c>
      <c r="C587" s="34" t="s">
        <v>1812</v>
      </c>
    </row>
    <row r="588" spans="1:3" ht="15.75" customHeight="1" x14ac:dyDescent="0.2">
      <c r="A588" s="42">
        <v>953</v>
      </c>
      <c r="B588" s="42">
        <v>17318</v>
      </c>
      <c r="C588" s="34" t="s">
        <v>1813</v>
      </c>
    </row>
    <row r="589" spans="1:3" ht="15.75" customHeight="1" x14ac:dyDescent="0.2">
      <c r="A589" s="42">
        <v>954</v>
      </c>
      <c r="B589" s="42">
        <v>17318</v>
      </c>
      <c r="C589" s="34" t="s">
        <v>1814</v>
      </c>
    </row>
    <row r="590" spans="1:3" ht="15.75" customHeight="1" x14ac:dyDescent="0.2">
      <c r="A590" s="42">
        <v>955</v>
      </c>
      <c r="B590" s="42">
        <v>17318</v>
      </c>
      <c r="C590" s="34" t="s">
        <v>1814</v>
      </c>
    </row>
    <row r="591" spans="1:3" ht="15.75" customHeight="1" x14ac:dyDescent="0.2">
      <c r="A591" s="42">
        <v>956</v>
      </c>
      <c r="B591" s="42">
        <v>17318</v>
      </c>
      <c r="C591" s="34" t="s">
        <v>1814</v>
      </c>
    </row>
    <row r="592" spans="1:3" ht="15.75" customHeight="1" x14ac:dyDescent="0.2">
      <c r="A592" s="42">
        <v>957</v>
      </c>
      <c r="B592" s="42">
        <v>17318</v>
      </c>
      <c r="C592" s="34" t="s">
        <v>1815</v>
      </c>
    </row>
    <row r="593" spans="1:3" ht="15.75" customHeight="1" x14ac:dyDescent="0.2">
      <c r="A593" s="42">
        <v>958</v>
      </c>
      <c r="B593" s="42">
        <v>17318</v>
      </c>
      <c r="C593" s="34" t="s">
        <v>1814</v>
      </c>
    </row>
    <row r="594" spans="1:3" ht="15.75" customHeight="1" x14ac:dyDescent="0.2">
      <c r="A594" s="42">
        <v>959</v>
      </c>
      <c r="B594" s="42">
        <v>17318</v>
      </c>
      <c r="C594" s="34" t="s">
        <v>1808</v>
      </c>
    </row>
    <row r="595" spans="1:3" ht="15.75" customHeight="1" x14ac:dyDescent="0.2">
      <c r="A595" s="42">
        <v>960</v>
      </c>
      <c r="B595" s="42">
        <v>17318</v>
      </c>
      <c r="C595" s="34" t="s">
        <v>1806</v>
      </c>
    </row>
    <row r="596" spans="1:3" ht="15.75" customHeight="1" x14ac:dyDescent="0.2">
      <c r="A596" s="42">
        <v>961</v>
      </c>
      <c r="B596" s="42">
        <v>17318</v>
      </c>
      <c r="C596" s="34" t="s">
        <v>1814</v>
      </c>
    </row>
    <row r="597" spans="1:3" ht="15.75" customHeight="1" x14ac:dyDescent="0.2">
      <c r="A597" s="42">
        <v>962</v>
      </c>
      <c r="B597" s="42">
        <v>17318</v>
      </c>
      <c r="C597" s="34" t="s">
        <v>1808</v>
      </c>
    </row>
    <row r="598" spans="1:3" ht="15.75" customHeight="1" x14ac:dyDescent="0.2">
      <c r="A598" s="42">
        <v>963</v>
      </c>
      <c r="B598" s="42">
        <v>17318</v>
      </c>
      <c r="C598" s="34" t="s">
        <v>1814</v>
      </c>
    </row>
    <row r="599" spans="1:3" ht="15.75" customHeight="1" x14ac:dyDescent="0.2">
      <c r="A599" s="42">
        <v>964</v>
      </c>
      <c r="B599" s="42">
        <v>17318</v>
      </c>
      <c r="C599" s="34" t="s">
        <v>1808</v>
      </c>
    </row>
    <row r="600" spans="1:3" ht="15.75" customHeight="1" x14ac:dyDescent="0.2">
      <c r="A600" s="42">
        <v>965</v>
      </c>
      <c r="B600" s="42">
        <v>17318</v>
      </c>
      <c r="C600" s="34" t="s">
        <v>1816</v>
      </c>
    </row>
    <row r="601" spans="1:3" ht="15.75" customHeight="1" x14ac:dyDescent="0.2">
      <c r="A601" s="42">
        <v>966</v>
      </c>
      <c r="B601" s="42">
        <v>17318</v>
      </c>
      <c r="C601" s="34" t="s">
        <v>1806</v>
      </c>
    </row>
    <row r="602" spans="1:3" ht="15.75" customHeight="1" x14ac:dyDescent="0.2">
      <c r="A602" s="42">
        <v>967</v>
      </c>
      <c r="B602" s="42">
        <v>17318</v>
      </c>
      <c r="C602" s="34" t="s">
        <v>1817</v>
      </c>
    </row>
    <row r="603" spans="1:3" ht="15.75" customHeight="1" x14ac:dyDescent="0.2">
      <c r="A603" s="42">
        <v>968</v>
      </c>
      <c r="B603" s="42">
        <v>17318</v>
      </c>
      <c r="C603" s="34" t="s">
        <v>1808</v>
      </c>
    </row>
    <row r="604" spans="1:3" ht="15.75" customHeight="1" x14ac:dyDescent="0.2">
      <c r="A604" s="42">
        <v>969</v>
      </c>
      <c r="B604" s="42">
        <v>17318</v>
      </c>
      <c r="C604" s="34" t="s">
        <v>1806</v>
      </c>
    </row>
    <row r="605" spans="1:3" ht="15.75" customHeight="1" x14ac:dyDescent="0.2">
      <c r="A605" s="42">
        <v>970</v>
      </c>
      <c r="B605" s="42">
        <v>17318</v>
      </c>
      <c r="C605" s="34" t="s">
        <v>1818</v>
      </c>
    </row>
    <row r="606" spans="1:3" ht="15.75" customHeight="1" x14ac:dyDescent="0.2">
      <c r="A606" s="42">
        <v>971</v>
      </c>
      <c r="B606" s="42">
        <v>17318</v>
      </c>
      <c r="C606" s="34" t="s">
        <v>1808</v>
      </c>
    </row>
    <row r="607" spans="1:3" ht="15.75" customHeight="1" x14ac:dyDescent="0.2">
      <c r="A607" s="42">
        <v>972</v>
      </c>
      <c r="B607" s="42">
        <v>17318</v>
      </c>
      <c r="C607" s="34" t="s">
        <v>1819</v>
      </c>
    </row>
    <row r="608" spans="1:3" ht="15.75" customHeight="1" x14ac:dyDescent="0.2">
      <c r="A608" s="42">
        <v>973</v>
      </c>
      <c r="B608" s="42">
        <v>17318</v>
      </c>
      <c r="C608" s="34" t="s">
        <v>1808</v>
      </c>
    </row>
    <row r="609" spans="1:3" ht="15.75" customHeight="1" x14ac:dyDescent="0.2">
      <c r="A609" s="42">
        <v>974</v>
      </c>
      <c r="B609" s="42">
        <v>17318</v>
      </c>
      <c r="C609" s="34" t="s">
        <v>1820</v>
      </c>
    </row>
    <row r="610" spans="1:3" ht="15.75" customHeight="1" x14ac:dyDescent="0.2">
      <c r="A610" s="42">
        <v>975</v>
      </c>
      <c r="B610" s="42">
        <v>17318</v>
      </c>
      <c r="C610" s="34" t="s">
        <v>1808</v>
      </c>
    </row>
    <row r="611" spans="1:3" ht="15.75" customHeight="1" x14ac:dyDescent="0.2">
      <c r="A611" s="42">
        <v>976</v>
      </c>
      <c r="B611" s="42">
        <v>17318</v>
      </c>
      <c r="C611" s="34" t="s">
        <v>1814</v>
      </c>
    </row>
    <row r="612" spans="1:3" ht="15.75" customHeight="1" x14ac:dyDescent="0.2">
      <c r="A612" s="42">
        <v>977</v>
      </c>
      <c r="B612" s="42">
        <v>17318</v>
      </c>
      <c r="C612" s="34" t="s">
        <v>1812</v>
      </c>
    </row>
    <row r="613" spans="1:3" ht="15.75" customHeight="1" x14ac:dyDescent="0.2">
      <c r="A613" s="42">
        <v>978</v>
      </c>
      <c r="B613" s="42">
        <v>17318</v>
      </c>
      <c r="C613" s="34" t="s">
        <v>1821</v>
      </c>
    </row>
    <row r="614" spans="1:3" ht="15.75" customHeight="1" x14ac:dyDescent="0.2">
      <c r="A614" s="42">
        <v>979</v>
      </c>
      <c r="B614" s="42">
        <v>17318</v>
      </c>
      <c r="C614" s="34" t="s">
        <v>1822</v>
      </c>
    </row>
    <row r="615" spans="1:3" ht="15.75" customHeight="1" x14ac:dyDescent="0.2">
      <c r="A615" s="42">
        <v>980</v>
      </c>
      <c r="B615" s="42">
        <v>17318</v>
      </c>
      <c r="C615" s="34" t="s">
        <v>1808</v>
      </c>
    </row>
    <row r="616" spans="1:3" ht="15.75" customHeight="1" x14ac:dyDescent="0.2">
      <c r="A616" s="42">
        <v>981</v>
      </c>
      <c r="B616" s="42">
        <v>17318</v>
      </c>
      <c r="C616" s="34" t="s">
        <v>1808</v>
      </c>
    </row>
    <row r="617" spans="1:3" ht="15.75" customHeight="1" x14ac:dyDescent="0.2">
      <c r="A617" s="42">
        <v>982</v>
      </c>
      <c r="B617" s="42">
        <v>17318</v>
      </c>
      <c r="C617" s="34" t="s">
        <v>1823</v>
      </c>
    </row>
    <row r="618" spans="1:3" ht="15.75" customHeight="1" x14ac:dyDescent="0.2">
      <c r="A618" s="42">
        <v>983</v>
      </c>
      <c r="B618" s="42">
        <v>17318</v>
      </c>
      <c r="C618" s="34" t="s">
        <v>1824</v>
      </c>
    </row>
    <row r="619" spans="1:3" ht="15.75" customHeight="1" x14ac:dyDescent="0.2">
      <c r="A619" s="42">
        <v>984</v>
      </c>
      <c r="B619" s="42">
        <v>17318</v>
      </c>
      <c r="C619" s="34" t="s">
        <v>1808</v>
      </c>
    </row>
    <row r="620" spans="1:3" ht="15.75" customHeight="1" x14ac:dyDescent="0.2">
      <c r="A620" s="42">
        <v>985</v>
      </c>
      <c r="B620" s="42">
        <v>17318</v>
      </c>
      <c r="C620" s="34" t="s">
        <v>1812</v>
      </c>
    </row>
    <row r="621" spans="1:3" ht="15.75" customHeight="1" x14ac:dyDescent="0.2">
      <c r="A621" s="42">
        <v>986</v>
      </c>
      <c r="B621" s="42">
        <v>17318</v>
      </c>
      <c r="C621" s="34" t="s">
        <v>1825</v>
      </c>
    </row>
    <row r="622" spans="1:3" ht="15.75" customHeight="1" x14ac:dyDescent="0.2">
      <c r="A622" s="42">
        <v>987</v>
      </c>
      <c r="B622" s="42">
        <v>17318</v>
      </c>
      <c r="C622" s="34" t="s">
        <v>1814</v>
      </c>
    </row>
    <row r="623" spans="1:3" ht="15.75" customHeight="1" x14ac:dyDescent="0.2">
      <c r="A623" s="42">
        <v>988</v>
      </c>
      <c r="B623" s="42">
        <v>17318</v>
      </c>
      <c r="C623" s="34" t="s">
        <v>1826</v>
      </c>
    </row>
    <row r="624" spans="1:3" ht="15.75" customHeight="1" x14ac:dyDescent="0.2">
      <c r="A624" s="42">
        <v>989</v>
      </c>
      <c r="B624" s="42">
        <v>17318</v>
      </c>
      <c r="C624" s="34" t="s">
        <v>1806</v>
      </c>
    </row>
    <row r="625" spans="1:3" ht="15.75" customHeight="1" x14ac:dyDescent="0.2">
      <c r="A625" s="42">
        <v>990</v>
      </c>
      <c r="B625" s="42">
        <v>17318</v>
      </c>
      <c r="C625" s="34" t="s">
        <v>1806</v>
      </c>
    </row>
    <row r="626" spans="1:3" ht="15.75" customHeight="1" x14ac:dyDescent="0.2">
      <c r="A626" s="42">
        <v>991</v>
      </c>
      <c r="B626" s="42">
        <v>17318</v>
      </c>
      <c r="C626" s="34" t="s">
        <v>1814</v>
      </c>
    </row>
    <row r="627" spans="1:3" ht="15.75" customHeight="1" x14ac:dyDescent="0.2">
      <c r="A627" s="42">
        <v>992</v>
      </c>
      <c r="B627" s="42">
        <v>17318</v>
      </c>
      <c r="C627" s="34" t="s">
        <v>1814</v>
      </c>
    </row>
    <row r="628" spans="1:3" ht="15.75" customHeight="1" x14ac:dyDescent="0.2">
      <c r="A628" s="42">
        <v>993</v>
      </c>
      <c r="B628" s="42">
        <v>17318</v>
      </c>
      <c r="C628" s="34" t="s">
        <v>1814</v>
      </c>
    </row>
    <row r="629" spans="1:3" ht="15.75" customHeight="1" x14ac:dyDescent="0.2">
      <c r="A629" s="42">
        <v>994</v>
      </c>
      <c r="B629" s="42">
        <v>17318</v>
      </c>
      <c r="C629" s="34" t="s">
        <v>1814</v>
      </c>
    </row>
    <row r="630" spans="1:3" ht="15.75" customHeight="1" x14ac:dyDescent="0.2">
      <c r="A630" s="42">
        <v>995</v>
      </c>
      <c r="B630" s="42">
        <v>17318</v>
      </c>
      <c r="C630" s="34" t="s">
        <v>1816</v>
      </c>
    </row>
    <row r="631" spans="1:3" ht="15.75" customHeight="1" x14ac:dyDescent="0.2">
      <c r="A631" s="42">
        <v>996</v>
      </c>
      <c r="B631" s="42">
        <v>17318</v>
      </c>
      <c r="C631" s="34" t="s">
        <v>1809</v>
      </c>
    </row>
    <row r="632" spans="1:3" ht="15.75" customHeight="1" x14ac:dyDescent="0.2">
      <c r="A632" s="42">
        <v>997</v>
      </c>
      <c r="B632" s="42">
        <v>17318</v>
      </c>
      <c r="C632" s="34" t="s">
        <v>1808</v>
      </c>
    </row>
    <row r="633" spans="1:3" ht="15.75" customHeight="1" x14ac:dyDescent="0.2">
      <c r="A633" s="42">
        <v>998</v>
      </c>
      <c r="B633" s="42">
        <v>17318</v>
      </c>
      <c r="C633" s="34" t="s">
        <v>1808</v>
      </c>
    </row>
    <row r="634" spans="1:3" ht="15.75" customHeight="1" x14ac:dyDescent="0.2">
      <c r="A634" s="42">
        <v>999</v>
      </c>
      <c r="B634" s="42">
        <v>17318</v>
      </c>
      <c r="C634" s="34" t="s">
        <v>1814</v>
      </c>
    </row>
    <row r="635" spans="1:3" ht="15.75" customHeight="1" x14ac:dyDescent="0.2">
      <c r="A635" s="42">
        <v>1000</v>
      </c>
      <c r="B635" s="42">
        <v>17318</v>
      </c>
      <c r="C635" s="34" t="s">
        <v>1806</v>
      </c>
    </row>
    <row r="636" spans="1:3" ht="15.75" customHeight="1" x14ac:dyDescent="0.2">
      <c r="A636" s="42">
        <v>1001</v>
      </c>
      <c r="B636" s="42">
        <v>17318</v>
      </c>
      <c r="C636" s="34" t="s">
        <v>1808</v>
      </c>
    </row>
    <row r="637" spans="1:3" ht="15.75" customHeight="1" x14ac:dyDescent="0.2">
      <c r="A637" s="42">
        <v>1002</v>
      </c>
      <c r="B637" s="42">
        <v>17318</v>
      </c>
      <c r="C637" s="34" t="s">
        <v>1814</v>
      </c>
    </row>
    <row r="638" spans="1:3" ht="15.75" customHeight="1" x14ac:dyDescent="0.2">
      <c r="A638" s="42">
        <v>1003</v>
      </c>
      <c r="B638" s="42">
        <v>17318</v>
      </c>
      <c r="C638" s="34" t="s">
        <v>1808</v>
      </c>
    </row>
    <row r="639" spans="1:3" ht="15.75" customHeight="1" x14ac:dyDescent="0.2">
      <c r="A639" s="42">
        <v>1004</v>
      </c>
      <c r="B639" s="42">
        <v>17318</v>
      </c>
      <c r="C639" s="34" t="s">
        <v>1827</v>
      </c>
    </row>
    <row r="640" spans="1:3" ht="15.75" customHeight="1" x14ac:dyDescent="0.2">
      <c r="A640" s="42">
        <v>1005</v>
      </c>
      <c r="B640" s="42">
        <v>17318</v>
      </c>
      <c r="C640" s="34" t="s">
        <v>1814</v>
      </c>
    </row>
    <row r="641" spans="1:3" ht="15.75" customHeight="1" x14ac:dyDescent="0.2">
      <c r="A641" s="42">
        <v>1006</v>
      </c>
      <c r="B641" s="42">
        <v>17318</v>
      </c>
      <c r="C641" s="34" t="s">
        <v>1812</v>
      </c>
    </row>
    <row r="642" spans="1:3" ht="15.75" customHeight="1" x14ac:dyDescent="0.2">
      <c r="A642" s="42">
        <v>1007</v>
      </c>
      <c r="B642" s="42">
        <v>17318</v>
      </c>
      <c r="C642" s="34" t="s">
        <v>1814</v>
      </c>
    </row>
    <row r="643" spans="1:3" ht="15.75" customHeight="1" x14ac:dyDescent="0.2">
      <c r="A643" s="42">
        <v>1008</v>
      </c>
      <c r="B643" s="42">
        <v>17318</v>
      </c>
      <c r="C643" s="34" t="s">
        <v>1808</v>
      </c>
    </row>
    <row r="644" spans="1:3" ht="15.75" customHeight="1" x14ac:dyDescent="0.2">
      <c r="A644" s="42">
        <v>1009</v>
      </c>
      <c r="B644" s="42">
        <v>17318</v>
      </c>
      <c r="C644" s="34" t="s">
        <v>1818</v>
      </c>
    </row>
    <row r="645" spans="1:3" ht="15.75" customHeight="1" x14ac:dyDescent="0.2">
      <c r="A645" s="42">
        <v>1010</v>
      </c>
      <c r="B645" s="42">
        <v>17318</v>
      </c>
      <c r="C645" s="34" t="s">
        <v>1806</v>
      </c>
    </row>
    <row r="646" spans="1:3" ht="15.75" customHeight="1" x14ac:dyDescent="0.2">
      <c r="A646" s="42">
        <v>1011</v>
      </c>
      <c r="B646" s="42">
        <v>17318</v>
      </c>
      <c r="C646" s="34" t="s">
        <v>1825</v>
      </c>
    </row>
    <row r="647" spans="1:3" ht="15.75" customHeight="1" x14ac:dyDescent="0.2">
      <c r="A647" s="42">
        <v>1012</v>
      </c>
      <c r="B647" s="42">
        <v>17318</v>
      </c>
      <c r="C647" s="34" t="s">
        <v>1814</v>
      </c>
    </row>
    <row r="648" spans="1:3" ht="15.75" customHeight="1" x14ac:dyDescent="0.2">
      <c r="A648" s="42">
        <v>1013</v>
      </c>
      <c r="B648" s="42">
        <v>17318</v>
      </c>
      <c r="C648" s="34" t="s">
        <v>1806</v>
      </c>
    </row>
    <row r="649" spans="1:3" ht="15.75" customHeight="1" x14ac:dyDescent="0.2">
      <c r="A649" s="42">
        <v>1014</v>
      </c>
      <c r="B649" s="42">
        <v>17318</v>
      </c>
      <c r="C649" s="34" t="s">
        <v>1816</v>
      </c>
    </row>
    <row r="650" spans="1:3" ht="15.75" customHeight="1" x14ac:dyDescent="0.2">
      <c r="A650" s="42">
        <v>1015</v>
      </c>
      <c r="B650" s="42">
        <v>17318</v>
      </c>
      <c r="C650" s="34" t="s">
        <v>1828</v>
      </c>
    </row>
    <row r="651" spans="1:3" ht="15.75" customHeight="1" x14ac:dyDescent="0.2">
      <c r="A651" s="42">
        <v>1016</v>
      </c>
      <c r="B651" s="42">
        <v>17318</v>
      </c>
      <c r="C651" s="34" t="s">
        <v>1806</v>
      </c>
    </row>
    <row r="652" spans="1:3" ht="15.75" customHeight="1" x14ac:dyDescent="0.2">
      <c r="A652" s="42">
        <v>1017</v>
      </c>
      <c r="B652" s="42">
        <v>17318</v>
      </c>
      <c r="C652" s="34" t="s">
        <v>1814</v>
      </c>
    </row>
    <row r="653" spans="1:3" ht="15.75" customHeight="1" x14ac:dyDescent="0.2">
      <c r="A653" s="42">
        <v>1018</v>
      </c>
      <c r="B653" s="42">
        <v>17318</v>
      </c>
      <c r="C653" s="34" t="s">
        <v>1818</v>
      </c>
    </row>
    <row r="654" spans="1:3" ht="15.75" customHeight="1" x14ac:dyDescent="0.2">
      <c r="A654" s="42">
        <v>1019</v>
      </c>
      <c r="B654" s="42">
        <v>17318</v>
      </c>
      <c r="C654" s="34" t="s">
        <v>1829</v>
      </c>
    </row>
    <row r="655" spans="1:3" ht="15.75" customHeight="1" x14ac:dyDescent="0.2">
      <c r="A655" s="42">
        <v>1020</v>
      </c>
      <c r="B655" s="42">
        <v>17318</v>
      </c>
      <c r="C655" s="34" t="s">
        <v>1809</v>
      </c>
    </row>
    <row r="656" spans="1:3" ht="15.75" customHeight="1" x14ac:dyDescent="0.2">
      <c r="A656" s="42">
        <v>1021</v>
      </c>
      <c r="B656" s="42">
        <v>17318</v>
      </c>
      <c r="C656" s="34" t="s">
        <v>1814</v>
      </c>
    </row>
    <row r="657" spans="1:3" ht="15.75" customHeight="1" x14ac:dyDescent="0.2">
      <c r="A657" s="42">
        <v>1022</v>
      </c>
      <c r="B657" s="42">
        <v>17318</v>
      </c>
      <c r="C657" s="34" t="s">
        <v>1814</v>
      </c>
    </row>
    <row r="658" spans="1:3" ht="15.75" customHeight="1" x14ac:dyDescent="0.2">
      <c r="A658" s="42">
        <v>1023</v>
      </c>
      <c r="B658" s="42">
        <v>17318</v>
      </c>
      <c r="C658" s="34" t="s">
        <v>1830</v>
      </c>
    </row>
    <row r="659" spans="1:3" ht="15.75" customHeight="1" x14ac:dyDescent="0.2">
      <c r="A659" s="42">
        <v>1024</v>
      </c>
      <c r="B659" s="42">
        <v>17318</v>
      </c>
      <c r="C659" s="34" t="s">
        <v>1808</v>
      </c>
    </row>
    <row r="660" spans="1:3" ht="15.75" customHeight="1" x14ac:dyDescent="0.2">
      <c r="A660" s="42">
        <v>1025</v>
      </c>
      <c r="B660" s="42">
        <v>17318</v>
      </c>
      <c r="C660" s="34" t="s">
        <v>1808</v>
      </c>
    </row>
    <row r="661" spans="1:3" ht="15.75" customHeight="1" x14ac:dyDescent="0.2">
      <c r="A661" s="42">
        <v>1026</v>
      </c>
      <c r="B661" s="42">
        <v>17318</v>
      </c>
      <c r="C661" s="34" t="s">
        <v>1808</v>
      </c>
    </row>
    <row r="662" spans="1:3" ht="15.75" customHeight="1" x14ac:dyDescent="0.2">
      <c r="A662" s="42">
        <v>1027</v>
      </c>
      <c r="B662" s="42">
        <v>17318</v>
      </c>
      <c r="C662" s="34" t="s">
        <v>1807</v>
      </c>
    </row>
    <row r="663" spans="1:3" ht="15.75" customHeight="1" x14ac:dyDescent="0.2">
      <c r="A663" s="42">
        <v>1028</v>
      </c>
      <c r="B663" s="42">
        <v>17318</v>
      </c>
      <c r="C663" s="34" t="s">
        <v>1818</v>
      </c>
    </row>
    <row r="664" spans="1:3" ht="15.75" customHeight="1" x14ac:dyDescent="0.2">
      <c r="A664" s="42">
        <v>1029</v>
      </c>
      <c r="B664" s="42">
        <v>17318</v>
      </c>
      <c r="C664" s="34" t="s">
        <v>1808</v>
      </c>
    </row>
    <row r="665" spans="1:3" ht="15.75" customHeight="1" x14ac:dyDescent="0.2">
      <c r="A665" s="42">
        <v>1030</v>
      </c>
      <c r="B665" s="42">
        <v>17318</v>
      </c>
      <c r="C665" s="34" t="s">
        <v>1808</v>
      </c>
    </row>
    <row r="666" spans="1:3" ht="15.75" customHeight="1" x14ac:dyDescent="0.2">
      <c r="A666" s="42">
        <v>1031</v>
      </c>
      <c r="B666" s="42">
        <v>17318</v>
      </c>
      <c r="C666" s="34" t="s">
        <v>1808</v>
      </c>
    </row>
    <row r="667" spans="1:3" ht="15.75" customHeight="1" x14ac:dyDescent="0.2">
      <c r="A667" s="42">
        <v>1032</v>
      </c>
      <c r="B667" s="42">
        <v>17318</v>
      </c>
      <c r="C667" s="34" t="s">
        <v>1814</v>
      </c>
    </row>
    <row r="668" spans="1:3" ht="15.75" customHeight="1" x14ac:dyDescent="0.2">
      <c r="A668" s="42">
        <v>1033</v>
      </c>
      <c r="B668" s="42">
        <v>17318</v>
      </c>
      <c r="C668" s="34" t="s">
        <v>1814</v>
      </c>
    </row>
    <row r="669" spans="1:3" ht="15.75" customHeight="1" x14ac:dyDescent="0.2">
      <c r="A669" s="42">
        <v>1034</v>
      </c>
      <c r="B669" s="42">
        <v>17318</v>
      </c>
      <c r="C669" s="34" t="s">
        <v>1808</v>
      </c>
    </row>
    <row r="670" spans="1:3" ht="15.75" customHeight="1" x14ac:dyDescent="0.2">
      <c r="A670" s="42">
        <v>1035</v>
      </c>
      <c r="B670" s="42">
        <v>17318</v>
      </c>
      <c r="C670" s="34" t="s">
        <v>1831</v>
      </c>
    </row>
    <row r="671" spans="1:3" ht="15.75" customHeight="1" x14ac:dyDescent="0.2">
      <c r="A671" s="42">
        <v>1036</v>
      </c>
      <c r="B671" s="42">
        <v>17319</v>
      </c>
      <c r="C671" s="34" t="s">
        <v>1832</v>
      </c>
    </row>
    <row r="672" spans="1:3" ht="15.75" customHeight="1" x14ac:dyDescent="0.2">
      <c r="A672" s="42">
        <v>1037</v>
      </c>
      <c r="B672" s="42">
        <v>17319</v>
      </c>
      <c r="C672" s="34" t="s">
        <v>1833</v>
      </c>
    </row>
    <row r="673" spans="1:3" ht="15.75" customHeight="1" x14ac:dyDescent="0.2">
      <c r="A673" s="42">
        <v>1038</v>
      </c>
      <c r="B673" s="42">
        <v>17319</v>
      </c>
      <c r="C673" s="34" t="s">
        <v>1834</v>
      </c>
    </row>
    <row r="674" spans="1:3" ht="15.75" customHeight="1" x14ac:dyDescent="0.2">
      <c r="A674" s="42">
        <v>1039</v>
      </c>
      <c r="B674" s="42">
        <v>17319</v>
      </c>
      <c r="C674" s="34" t="s">
        <v>1833</v>
      </c>
    </row>
    <row r="675" spans="1:3" ht="15.75" customHeight="1" x14ac:dyDescent="0.2">
      <c r="A675" s="42">
        <v>1040</v>
      </c>
      <c r="B675" s="42">
        <v>17319</v>
      </c>
      <c r="C675" s="34" t="s">
        <v>1833</v>
      </c>
    </row>
    <row r="676" spans="1:3" ht="15.75" customHeight="1" x14ac:dyDescent="0.2">
      <c r="A676" s="42">
        <v>1041</v>
      </c>
      <c r="B676" s="42">
        <v>17319</v>
      </c>
      <c r="C676" s="34" t="s">
        <v>1833</v>
      </c>
    </row>
    <row r="677" spans="1:3" ht="15.75" customHeight="1" x14ac:dyDescent="0.2">
      <c r="A677" s="42">
        <v>1042</v>
      </c>
      <c r="B677" s="42">
        <v>17319</v>
      </c>
      <c r="C677" s="34" t="s">
        <v>1833</v>
      </c>
    </row>
    <row r="678" spans="1:3" ht="15.75" customHeight="1" x14ac:dyDescent="0.2">
      <c r="A678" s="42">
        <v>1043</v>
      </c>
      <c r="B678" s="42">
        <v>17319</v>
      </c>
      <c r="C678" s="34" t="s">
        <v>1835</v>
      </c>
    </row>
    <row r="679" spans="1:3" ht="15.75" customHeight="1" x14ac:dyDescent="0.2">
      <c r="A679" s="42">
        <v>1044</v>
      </c>
      <c r="B679" s="42">
        <v>17319</v>
      </c>
      <c r="C679" s="34" t="s">
        <v>1836</v>
      </c>
    </row>
    <row r="680" spans="1:3" ht="15.75" customHeight="1" x14ac:dyDescent="0.2">
      <c r="A680" s="42">
        <v>1045</v>
      </c>
      <c r="B680" s="42">
        <v>17319</v>
      </c>
      <c r="C680" s="34" t="s">
        <v>1833</v>
      </c>
    </row>
    <row r="681" spans="1:3" ht="15.75" customHeight="1" x14ac:dyDescent="0.2">
      <c r="A681" s="42">
        <v>1046</v>
      </c>
      <c r="B681" s="42">
        <v>17319</v>
      </c>
      <c r="C681" s="34" t="s">
        <v>1835</v>
      </c>
    </row>
    <row r="682" spans="1:3" ht="15.75" customHeight="1" x14ac:dyDescent="0.2">
      <c r="A682" s="42">
        <v>1047</v>
      </c>
      <c r="B682" s="42">
        <v>17319</v>
      </c>
      <c r="C682" s="34" t="s">
        <v>1833</v>
      </c>
    </row>
    <row r="683" spans="1:3" ht="15.75" customHeight="1" x14ac:dyDescent="0.2">
      <c r="A683" s="42">
        <v>1048</v>
      </c>
      <c r="B683" s="42">
        <v>17319</v>
      </c>
      <c r="C683" s="34" t="s">
        <v>1833</v>
      </c>
    </row>
    <row r="684" spans="1:3" ht="15.75" customHeight="1" x14ac:dyDescent="0.2">
      <c r="A684" s="42">
        <v>1049</v>
      </c>
      <c r="B684" s="42">
        <v>17319</v>
      </c>
      <c r="C684" s="34" t="s">
        <v>1833</v>
      </c>
    </row>
    <row r="685" spans="1:3" ht="15.75" customHeight="1" x14ac:dyDescent="0.2">
      <c r="A685" s="42">
        <v>1050</v>
      </c>
      <c r="B685" s="42">
        <v>17319</v>
      </c>
      <c r="C685" s="34" t="s">
        <v>1833</v>
      </c>
    </row>
    <row r="686" spans="1:3" ht="15.75" customHeight="1" x14ac:dyDescent="0.2">
      <c r="A686" s="42">
        <v>1051</v>
      </c>
      <c r="B686" s="42">
        <v>17319</v>
      </c>
      <c r="C686" s="34" t="s">
        <v>1833</v>
      </c>
    </row>
    <row r="687" spans="1:3" ht="15.75" customHeight="1" x14ac:dyDescent="0.2">
      <c r="A687" s="42">
        <v>1052</v>
      </c>
      <c r="B687" s="42">
        <v>17319</v>
      </c>
      <c r="C687" s="34" t="s">
        <v>1833</v>
      </c>
    </row>
    <row r="688" spans="1:3" ht="15.75" customHeight="1" x14ac:dyDescent="0.2">
      <c r="A688" s="42">
        <v>1053</v>
      </c>
      <c r="B688" s="42">
        <v>17319</v>
      </c>
      <c r="C688" s="34" t="s">
        <v>1837</v>
      </c>
    </row>
    <row r="689" spans="1:3" ht="15.75" customHeight="1" x14ac:dyDescent="0.2">
      <c r="A689" s="42">
        <v>1054</v>
      </c>
      <c r="B689" s="42">
        <v>17319</v>
      </c>
      <c r="C689" s="34" t="s">
        <v>1833</v>
      </c>
    </row>
    <row r="690" spans="1:3" ht="15.75" customHeight="1" x14ac:dyDescent="0.2">
      <c r="A690" s="42">
        <v>1055</v>
      </c>
      <c r="B690" s="42">
        <v>17319</v>
      </c>
      <c r="C690" s="34" t="s">
        <v>1835</v>
      </c>
    </row>
    <row r="691" spans="1:3" ht="15.75" customHeight="1" x14ac:dyDescent="0.2">
      <c r="A691" s="42">
        <v>1056</v>
      </c>
      <c r="B691" s="42">
        <v>17319</v>
      </c>
      <c r="C691" s="34" t="s">
        <v>1833</v>
      </c>
    </row>
    <row r="692" spans="1:3" ht="15.75" customHeight="1" x14ac:dyDescent="0.2">
      <c r="A692" s="42">
        <v>1057</v>
      </c>
      <c r="B692" s="42">
        <v>17319</v>
      </c>
      <c r="C692" s="34" t="s">
        <v>1835</v>
      </c>
    </row>
    <row r="693" spans="1:3" ht="15.75" customHeight="1" x14ac:dyDescent="0.2">
      <c r="A693" s="42">
        <v>1058</v>
      </c>
      <c r="B693" s="42">
        <v>17319</v>
      </c>
      <c r="C693" s="34" t="s">
        <v>1833</v>
      </c>
    </row>
    <row r="694" spans="1:3" ht="15.75" customHeight="1" x14ac:dyDescent="0.2">
      <c r="A694" s="42">
        <v>1059</v>
      </c>
      <c r="B694" s="42">
        <v>17319</v>
      </c>
      <c r="C694" s="34" t="s">
        <v>1833</v>
      </c>
    </row>
    <row r="695" spans="1:3" ht="15.75" customHeight="1" x14ac:dyDescent="0.2">
      <c r="A695" s="42">
        <v>1060</v>
      </c>
      <c r="B695" s="42">
        <v>17319</v>
      </c>
      <c r="C695" s="34" t="s">
        <v>1833</v>
      </c>
    </row>
    <row r="696" spans="1:3" ht="15.75" customHeight="1" x14ac:dyDescent="0.2">
      <c r="A696" s="42">
        <v>1061</v>
      </c>
      <c r="B696" s="42">
        <v>17319</v>
      </c>
      <c r="C696" s="34" t="s">
        <v>1838</v>
      </c>
    </row>
    <row r="697" spans="1:3" ht="15.75" customHeight="1" x14ac:dyDescent="0.2">
      <c r="A697" s="42">
        <v>1062</v>
      </c>
      <c r="B697" s="42">
        <v>17319</v>
      </c>
      <c r="C697" s="34" t="s">
        <v>1833</v>
      </c>
    </row>
    <row r="698" spans="1:3" ht="15.75" customHeight="1" x14ac:dyDescent="0.2">
      <c r="A698" s="42">
        <v>1063</v>
      </c>
      <c r="B698" s="42">
        <v>17319</v>
      </c>
      <c r="C698" s="34" t="s">
        <v>1835</v>
      </c>
    </row>
    <row r="699" spans="1:3" ht="15.75" customHeight="1" x14ac:dyDescent="0.2">
      <c r="A699" s="42">
        <v>1064</v>
      </c>
      <c r="B699" s="42">
        <v>17319</v>
      </c>
      <c r="C699" s="34" t="s">
        <v>1839</v>
      </c>
    </row>
    <row r="700" spans="1:3" ht="15.75" customHeight="1" x14ac:dyDescent="0.2">
      <c r="A700" s="42">
        <v>1065</v>
      </c>
      <c r="B700" s="42">
        <v>17319</v>
      </c>
      <c r="C700" s="34" t="s">
        <v>1833</v>
      </c>
    </row>
    <row r="701" spans="1:3" ht="15.75" customHeight="1" x14ac:dyDescent="0.2">
      <c r="A701" s="42">
        <v>1066</v>
      </c>
      <c r="B701" s="42">
        <v>17319</v>
      </c>
      <c r="C701" s="34" t="s">
        <v>1835</v>
      </c>
    </row>
    <row r="702" spans="1:3" ht="15.75" customHeight="1" x14ac:dyDescent="0.2">
      <c r="A702" s="42">
        <v>1067</v>
      </c>
      <c r="B702" s="42">
        <v>17319</v>
      </c>
      <c r="C702" s="34" t="s">
        <v>1833</v>
      </c>
    </row>
    <row r="703" spans="1:3" ht="15.75" customHeight="1" x14ac:dyDescent="0.2">
      <c r="A703" s="42">
        <v>1068</v>
      </c>
      <c r="B703" s="42">
        <v>17319</v>
      </c>
      <c r="C703" s="34" t="s">
        <v>1840</v>
      </c>
    </row>
    <row r="704" spans="1:3" ht="15.75" customHeight="1" x14ac:dyDescent="0.2">
      <c r="A704" s="42">
        <v>1069</v>
      </c>
      <c r="B704" s="42">
        <v>17319</v>
      </c>
      <c r="C704" s="34" t="s">
        <v>1835</v>
      </c>
    </row>
    <row r="705" spans="1:3" ht="15.75" customHeight="1" x14ac:dyDescent="0.2">
      <c r="A705" s="42">
        <v>1070</v>
      </c>
      <c r="B705" s="42">
        <v>17319</v>
      </c>
      <c r="C705" s="34" t="s">
        <v>1833</v>
      </c>
    </row>
    <row r="706" spans="1:3" ht="15.75" customHeight="1" x14ac:dyDescent="0.2">
      <c r="A706" s="42">
        <v>1071</v>
      </c>
      <c r="B706" s="42">
        <v>17319</v>
      </c>
      <c r="C706" s="34" t="s">
        <v>1840</v>
      </c>
    </row>
    <row r="707" spans="1:3" ht="15.75" customHeight="1" x14ac:dyDescent="0.2">
      <c r="A707" s="42">
        <v>1072</v>
      </c>
      <c r="B707" s="42">
        <v>17319</v>
      </c>
      <c r="C707" s="34" t="s">
        <v>1833</v>
      </c>
    </row>
    <row r="708" spans="1:3" ht="15.75" customHeight="1" x14ac:dyDescent="0.2">
      <c r="A708" s="42">
        <v>1073</v>
      </c>
      <c r="B708" s="42">
        <v>17319</v>
      </c>
      <c r="C708" s="34" t="s">
        <v>1840</v>
      </c>
    </row>
    <row r="709" spans="1:3" ht="15.75" customHeight="1" x14ac:dyDescent="0.2">
      <c r="A709" s="42">
        <v>1074</v>
      </c>
      <c r="B709" s="42">
        <v>17319</v>
      </c>
      <c r="C709" s="34" t="s">
        <v>1833</v>
      </c>
    </row>
    <row r="710" spans="1:3" ht="15.75" customHeight="1" x14ac:dyDescent="0.2">
      <c r="A710" s="42">
        <v>1075</v>
      </c>
      <c r="B710" s="42">
        <v>17319</v>
      </c>
      <c r="C710" s="34" t="s">
        <v>1833</v>
      </c>
    </row>
    <row r="711" spans="1:3" ht="15.75" customHeight="1" x14ac:dyDescent="0.2">
      <c r="A711" s="42">
        <v>1076</v>
      </c>
      <c r="B711" s="42">
        <v>17319</v>
      </c>
      <c r="C711" s="34" t="s">
        <v>1833</v>
      </c>
    </row>
    <row r="712" spans="1:3" ht="15.75" customHeight="1" x14ac:dyDescent="0.2">
      <c r="A712" s="42">
        <v>1077</v>
      </c>
      <c r="B712" s="42">
        <v>17319</v>
      </c>
      <c r="C712" s="34" t="s">
        <v>1841</v>
      </c>
    </row>
    <row r="713" spans="1:3" ht="15.75" customHeight="1" x14ac:dyDescent="0.2">
      <c r="A713" s="42">
        <v>1078</v>
      </c>
      <c r="B713" s="42">
        <v>17319</v>
      </c>
      <c r="C713" s="34" t="s">
        <v>1833</v>
      </c>
    </row>
    <row r="714" spans="1:3" ht="15.75" customHeight="1" x14ac:dyDescent="0.2">
      <c r="A714" s="42">
        <v>1079</v>
      </c>
      <c r="B714" s="42">
        <v>17319</v>
      </c>
      <c r="C714" s="34" t="s">
        <v>1833</v>
      </c>
    </row>
    <row r="715" spans="1:3" ht="15.75" customHeight="1" x14ac:dyDescent="0.2">
      <c r="A715" s="42">
        <v>1080</v>
      </c>
      <c r="B715" s="42">
        <v>17319</v>
      </c>
      <c r="C715" s="34" t="s">
        <v>1833</v>
      </c>
    </row>
    <row r="716" spans="1:3" ht="15.75" customHeight="1" x14ac:dyDescent="0.2">
      <c r="A716" s="42">
        <v>1081</v>
      </c>
      <c r="B716" s="42">
        <v>17319</v>
      </c>
      <c r="C716" s="34" t="s">
        <v>1833</v>
      </c>
    </row>
    <row r="717" spans="1:3" ht="15.75" customHeight="1" x14ac:dyDescent="0.2">
      <c r="A717" s="42">
        <v>1082</v>
      </c>
      <c r="B717" s="42">
        <v>17319</v>
      </c>
      <c r="C717" s="34" t="s">
        <v>1833</v>
      </c>
    </row>
    <row r="718" spans="1:3" ht="15.75" customHeight="1" x14ac:dyDescent="0.2">
      <c r="A718" s="42">
        <v>1083</v>
      </c>
      <c r="B718" s="42">
        <v>17319</v>
      </c>
      <c r="C718" s="34" t="s">
        <v>1835</v>
      </c>
    </row>
    <row r="719" spans="1:3" ht="15.75" customHeight="1" x14ac:dyDescent="0.2">
      <c r="A719" s="42">
        <v>1084</v>
      </c>
      <c r="B719" s="42">
        <v>17319</v>
      </c>
      <c r="C719" s="34" t="s">
        <v>1833</v>
      </c>
    </row>
    <row r="720" spans="1:3" ht="15.75" customHeight="1" x14ac:dyDescent="0.2">
      <c r="A720" s="42">
        <v>1085</v>
      </c>
      <c r="B720" s="42">
        <v>17319</v>
      </c>
      <c r="C720" s="34" t="s">
        <v>1833</v>
      </c>
    </row>
    <row r="721" spans="1:3" ht="15.75" customHeight="1" x14ac:dyDescent="0.2">
      <c r="A721" s="42">
        <v>1086</v>
      </c>
      <c r="B721" s="42">
        <v>17319</v>
      </c>
      <c r="C721" s="34" t="s">
        <v>1833</v>
      </c>
    </row>
    <row r="722" spans="1:3" ht="15.75" customHeight="1" x14ac:dyDescent="0.2">
      <c r="A722" s="42">
        <v>1087</v>
      </c>
      <c r="B722" s="42">
        <v>17319</v>
      </c>
      <c r="C722" s="34" t="s">
        <v>1840</v>
      </c>
    </row>
    <row r="723" spans="1:3" ht="15.75" customHeight="1" x14ac:dyDescent="0.2">
      <c r="A723" s="42">
        <v>1088</v>
      </c>
      <c r="B723" s="42">
        <v>17319</v>
      </c>
      <c r="C723" s="34" t="s">
        <v>1833</v>
      </c>
    </row>
    <row r="724" spans="1:3" ht="15.75" customHeight="1" x14ac:dyDescent="0.2">
      <c r="A724" s="42">
        <v>1089</v>
      </c>
      <c r="B724" s="42">
        <v>17319</v>
      </c>
      <c r="C724" s="34" t="s">
        <v>1833</v>
      </c>
    </row>
    <row r="725" spans="1:3" ht="15.75" customHeight="1" x14ac:dyDescent="0.2">
      <c r="A725" s="42">
        <v>1090</v>
      </c>
      <c r="B725" s="42">
        <v>17319</v>
      </c>
      <c r="C725" s="34" t="s">
        <v>1833</v>
      </c>
    </row>
    <row r="726" spans="1:3" ht="15.75" customHeight="1" x14ac:dyDescent="0.2">
      <c r="A726" s="42">
        <v>1091</v>
      </c>
      <c r="B726" s="42">
        <v>17319</v>
      </c>
      <c r="C726" s="34" t="s">
        <v>1840</v>
      </c>
    </row>
    <row r="727" spans="1:3" ht="15.75" customHeight="1" x14ac:dyDescent="0.2">
      <c r="A727" s="42">
        <v>1092</v>
      </c>
      <c r="B727" s="42">
        <v>17319</v>
      </c>
      <c r="C727" s="34" t="s">
        <v>1833</v>
      </c>
    </row>
    <row r="728" spans="1:3" ht="15.75" customHeight="1" x14ac:dyDescent="0.2">
      <c r="A728" s="42">
        <v>1093</v>
      </c>
      <c r="B728" s="42">
        <v>17319</v>
      </c>
      <c r="C728" s="34" t="s">
        <v>1835</v>
      </c>
    </row>
    <row r="729" spans="1:3" ht="15.75" customHeight="1" x14ac:dyDescent="0.2">
      <c r="A729" s="42">
        <v>1094</v>
      </c>
      <c r="B729" s="42">
        <v>17319</v>
      </c>
      <c r="C729" s="34" t="s">
        <v>1835</v>
      </c>
    </row>
    <row r="730" spans="1:3" ht="15.75" customHeight="1" x14ac:dyDescent="0.2">
      <c r="A730" s="42">
        <v>1095</v>
      </c>
      <c r="B730" s="42">
        <v>17319</v>
      </c>
      <c r="C730" s="34" t="s">
        <v>1833</v>
      </c>
    </row>
    <row r="731" spans="1:3" ht="15.75" customHeight="1" x14ac:dyDescent="0.2">
      <c r="A731" s="42">
        <v>1096</v>
      </c>
      <c r="B731" s="42">
        <v>17319</v>
      </c>
      <c r="C731" s="34" t="s">
        <v>1840</v>
      </c>
    </row>
    <row r="732" spans="1:3" ht="15.75" customHeight="1" x14ac:dyDescent="0.2">
      <c r="A732" s="42">
        <v>1097</v>
      </c>
      <c r="B732" s="42">
        <v>17319</v>
      </c>
      <c r="C732" s="34" t="s">
        <v>1842</v>
      </c>
    </row>
    <row r="733" spans="1:3" ht="15.75" customHeight="1" x14ac:dyDescent="0.2">
      <c r="A733" s="42">
        <v>1098</v>
      </c>
      <c r="B733" s="42">
        <v>17319</v>
      </c>
      <c r="C733" s="34" t="s">
        <v>1833</v>
      </c>
    </row>
    <row r="734" spans="1:3" ht="15.75" customHeight="1" x14ac:dyDescent="0.2">
      <c r="A734" s="42">
        <v>1099</v>
      </c>
      <c r="B734" s="42">
        <v>17319</v>
      </c>
      <c r="C734" s="34" t="s">
        <v>1843</v>
      </c>
    </row>
    <row r="735" spans="1:3" ht="15.75" customHeight="1" x14ac:dyDescent="0.2">
      <c r="A735" s="42">
        <v>1100</v>
      </c>
      <c r="B735" s="42">
        <v>17319</v>
      </c>
      <c r="C735" s="34" t="s">
        <v>1833</v>
      </c>
    </row>
    <row r="736" spans="1:3" ht="15.75" customHeight="1" x14ac:dyDescent="0.2">
      <c r="A736" s="42">
        <v>1101</v>
      </c>
      <c r="B736" s="42">
        <v>17319</v>
      </c>
      <c r="C736" s="34" t="s">
        <v>1833</v>
      </c>
    </row>
    <row r="737" spans="1:3" ht="15.75" customHeight="1" x14ac:dyDescent="0.2">
      <c r="A737" s="42">
        <v>1102</v>
      </c>
      <c r="B737" s="42">
        <v>17319</v>
      </c>
      <c r="C737" s="34" t="s">
        <v>1833</v>
      </c>
    </row>
    <row r="738" spans="1:3" ht="15.75" customHeight="1" x14ac:dyDescent="0.2">
      <c r="A738" s="42">
        <v>1103</v>
      </c>
      <c r="B738" s="42">
        <v>17319</v>
      </c>
      <c r="C738" s="34" t="s">
        <v>1833</v>
      </c>
    </row>
    <row r="739" spans="1:3" ht="15.75" customHeight="1" x14ac:dyDescent="0.2">
      <c r="A739" s="42">
        <v>1104</v>
      </c>
      <c r="B739" s="42">
        <v>17319</v>
      </c>
      <c r="C739" s="34" t="s">
        <v>1833</v>
      </c>
    </row>
    <row r="740" spans="1:3" ht="15.75" customHeight="1" x14ac:dyDescent="0.2">
      <c r="A740" s="42">
        <v>1105</v>
      </c>
      <c r="B740" s="42">
        <v>17319</v>
      </c>
      <c r="C740" s="34" t="s">
        <v>1835</v>
      </c>
    </row>
    <row r="741" spans="1:3" ht="15.75" customHeight="1" x14ac:dyDescent="0.2">
      <c r="A741" s="42">
        <v>1106</v>
      </c>
      <c r="B741" s="42">
        <v>17319</v>
      </c>
      <c r="C741" s="34" t="s">
        <v>1835</v>
      </c>
    </row>
    <row r="742" spans="1:3" ht="15.75" customHeight="1" x14ac:dyDescent="0.2">
      <c r="A742" s="42">
        <v>1107</v>
      </c>
      <c r="B742" s="42">
        <v>17319</v>
      </c>
      <c r="C742" s="34" t="s">
        <v>1833</v>
      </c>
    </row>
    <row r="743" spans="1:3" ht="15.75" customHeight="1" x14ac:dyDescent="0.2">
      <c r="A743" s="42">
        <v>1108</v>
      </c>
      <c r="B743" s="42">
        <v>17319</v>
      </c>
      <c r="C743" s="34" t="s">
        <v>1833</v>
      </c>
    </row>
    <row r="744" spans="1:3" ht="15.75" customHeight="1" x14ac:dyDescent="0.2">
      <c r="A744" s="42">
        <v>1109</v>
      </c>
      <c r="B744" s="42">
        <v>17319</v>
      </c>
      <c r="C744" s="34" t="s">
        <v>1833</v>
      </c>
    </row>
    <row r="745" spans="1:3" ht="15.75" customHeight="1" x14ac:dyDescent="0.2">
      <c r="A745" s="42">
        <v>1110</v>
      </c>
      <c r="B745" s="42">
        <v>17319</v>
      </c>
      <c r="C745" s="34" t="s">
        <v>1840</v>
      </c>
    </row>
    <row r="746" spans="1:3" ht="15.75" customHeight="1" x14ac:dyDescent="0.2">
      <c r="A746" s="42">
        <v>1111</v>
      </c>
      <c r="B746" s="42">
        <v>17319</v>
      </c>
      <c r="C746" s="34" t="s">
        <v>1833</v>
      </c>
    </row>
    <row r="747" spans="1:3" ht="15.75" customHeight="1" x14ac:dyDescent="0.2">
      <c r="A747" s="42">
        <v>1112</v>
      </c>
      <c r="B747" s="42">
        <v>17319</v>
      </c>
      <c r="C747" s="34" t="s">
        <v>1833</v>
      </c>
    </row>
    <row r="748" spans="1:3" ht="15.75" customHeight="1" x14ac:dyDescent="0.2">
      <c r="A748" s="42">
        <v>1113</v>
      </c>
      <c r="B748" s="42">
        <v>17319</v>
      </c>
      <c r="C748" s="34" t="s">
        <v>1833</v>
      </c>
    </row>
    <row r="749" spans="1:3" ht="15.75" customHeight="1" x14ac:dyDescent="0.2">
      <c r="A749" s="42">
        <v>1114</v>
      </c>
      <c r="B749" s="42">
        <v>17319</v>
      </c>
      <c r="C749" s="34" t="s">
        <v>1840</v>
      </c>
    </row>
    <row r="750" spans="1:3" ht="15.75" customHeight="1" x14ac:dyDescent="0.2">
      <c r="A750" s="42">
        <v>1115</v>
      </c>
      <c r="B750" s="42">
        <v>17319</v>
      </c>
      <c r="C750" s="34" t="s">
        <v>1840</v>
      </c>
    </row>
    <row r="751" spans="1:3" ht="15.75" customHeight="1" x14ac:dyDescent="0.2">
      <c r="A751" s="42">
        <v>1116</v>
      </c>
      <c r="B751" s="42">
        <v>17319</v>
      </c>
      <c r="C751" s="34" t="s">
        <v>1844</v>
      </c>
    </row>
    <row r="752" spans="1:3" ht="15.75" customHeight="1" x14ac:dyDescent="0.2">
      <c r="A752" s="42">
        <v>1117</v>
      </c>
      <c r="B752" s="42">
        <v>17319</v>
      </c>
      <c r="C752" s="34" t="s">
        <v>1833</v>
      </c>
    </row>
    <row r="753" spans="1:3" ht="15.75" customHeight="1" x14ac:dyDescent="0.2">
      <c r="A753" s="42">
        <v>1118</v>
      </c>
      <c r="B753" s="42">
        <v>17319</v>
      </c>
      <c r="C753" s="34" t="s">
        <v>1833</v>
      </c>
    </row>
    <row r="754" spans="1:3" ht="15.75" customHeight="1" x14ac:dyDescent="0.2">
      <c r="A754" s="42">
        <v>1119</v>
      </c>
      <c r="B754" s="42">
        <v>17319</v>
      </c>
      <c r="C754" s="34" t="s">
        <v>1835</v>
      </c>
    </row>
    <row r="755" spans="1:3" ht="15.75" customHeight="1" x14ac:dyDescent="0.2">
      <c r="A755" s="42">
        <v>1120</v>
      </c>
      <c r="B755" s="42">
        <v>17319</v>
      </c>
      <c r="C755" s="34" t="s">
        <v>1833</v>
      </c>
    </row>
    <row r="756" spans="1:3" ht="15.75" customHeight="1" x14ac:dyDescent="0.2">
      <c r="A756" s="42">
        <v>1121</v>
      </c>
      <c r="B756" s="42">
        <v>17319</v>
      </c>
      <c r="C756" s="34" t="s">
        <v>1845</v>
      </c>
    </row>
    <row r="757" spans="1:3" ht="15.75" customHeight="1" x14ac:dyDescent="0.2">
      <c r="A757" s="42">
        <v>1122</v>
      </c>
      <c r="B757" s="42">
        <v>17319</v>
      </c>
      <c r="C757" s="34" t="s">
        <v>1833</v>
      </c>
    </row>
    <row r="758" spans="1:3" ht="15.75" customHeight="1" x14ac:dyDescent="0.2">
      <c r="A758" s="42">
        <v>1123</v>
      </c>
      <c r="B758" s="42">
        <v>17319</v>
      </c>
      <c r="C758" s="34" t="s">
        <v>1844</v>
      </c>
    </row>
    <row r="759" spans="1:3" ht="15.75" customHeight="1" x14ac:dyDescent="0.2">
      <c r="A759" s="42">
        <v>1124</v>
      </c>
      <c r="B759" s="42">
        <v>17319</v>
      </c>
      <c r="C759" s="34" t="s">
        <v>1835</v>
      </c>
    </row>
    <row r="760" spans="1:3" ht="15.75" customHeight="1" x14ac:dyDescent="0.2">
      <c r="A760" s="42">
        <v>1125</v>
      </c>
      <c r="B760" s="42">
        <v>17319</v>
      </c>
      <c r="C760" s="34" t="s">
        <v>1840</v>
      </c>
    </row>
    <row r="761" spans="1:3" ht="15.75" customHeight="1" x14ac:dyDescent="0.2">
      <c r="A761" s="42">
        <v>1126</v>
      </c>
      <c r="B761" s="42">
        <v>17319</v>
      </c>
      <c r="C761" s="34" t="s">
        <v>1840</v>
      </c>
    </row>
    <row r="762" spans="1:3" ht="15.75" customHeight="1" x14ac:dyDescent="0.2">
      <c r="A762" s="42">
        <v>1127</v>
      </c>
      <c r="B762" s="42">
        <v>17319</v>
      </c>
      <c r="C762" s="34" t="s">
        <v>1833</v>
      </c>
    </row>
    <row r="763" spans="1:3" ht="15.75" customHeight="1" x14ac:dyDescent="0.2">
      <c r="A763" s="42">
        <v>1128</v>
      </c>
      <c r="B763" s="42">
        <v>17319</v>
      </c>
      <c r="C763" s="34" t="s">
        <v>1833</v>
      </c>
    </row>
    <row r="764" spans="1:3" ht="15.75" customHeight="1" x14ac:dyDescent="0.2">
      <c r="A764" s="42">
        <v>1129</v>
      </c>
      <c r="B764" s="42">
        <v>17319</v>
      </c>
      <c r="C764" s="34" t="s">
        <v>1833</v>
      </c>
    </row>
    <row r="765" spans="1:3" ht="15.75" customHeight="1" x14ac:dyDescent="0.2">
      <c r="A765" s="42">
        <v>1130</v>
      </c>
      <c r="B765" s="42">
        <v>17320</v>
      </c>
      <c r="C765" s="34" t="s">
        <v>1846</v>
      </c>
    </row>
    <row r="766" spans="1:3" ht="15.75" customHeight="1" x14ac:dyDescent="0.2">
      <c r="A766" s="42">
        <v>1131</v>
      </c>
      <c r="B766" s="42">
        <v>17320</v>
      </c>
      <c r="C766" s="34" t="s">
        <v>1847</v>
      </c>
    </row>
    <row r="767" spans="1:3" ht="15.75" customHeight="1" x14ac:dyDescent="0.2">
      <c r="A767" s="42">
        <v>1132</v>
      </c>
      <c r="B767" s="42">
        <v>17320</v>
      </c>
      <c r="C767" s="34" t="s">
        <v>1848</v>
      </c>
    </row>
    <row r="768" spans="1:3" ht="15.75" customHeight="1" x14ac:dyDescent="0.2">
      <c r="A768" s="42">
        <v>1133</v>
      </c>
      <c r="B768" s="42">
        <v>17320</v>
      </c>
      <c r="C768" s="34" t="s">
        <v>1849</v>
      </c>
    </row>
    <row r="769" spans="1:3" ht="15.75" customHeight="1" x14ac:dyDescent="0.2">
      <c r="A769" s="42">
        <v>1134</v>
      </c>
      <c r="B769" s="42">
        <v>17320</v>
      </c>
      <c r="C769" s="34" t="s">
        <v>1850</v>
      </c>
    </row>
    <row r="770" spans="1:3" ht="15.75" customHeight="1" x14ac:dyDescent="0.2">
      <c r="A770" s="42">
        <v>1135</v>
      </c>
      <c r="B770" s="42">
        <v>17320</v>
      </c>
      <c r="C770" s="34" t="s">
        <v>1851</v>
      </c>
    </row>
    <row r="771" spans="1:3" ht="15.75" customHeight="1" x14ac:dyDescent="0.2">
      <c r="A771" s="42">
        <v>1136</v>
      </c>
      <c r="B771" s="42">
        <v>17320</v>
      </c>
      <c r="C771" s="34" t="s">
        <v>1852</v>
      </c>
    </row>
    <row r="772" spans="1:3" ht="15.75" customHeight="1" x14ac:dyDescent="0.2">
      <c r="A772" s="42">
        <v>1137</v>
      </c>
      <c r="B772" s="42">
        <v>17320</v>
      </c>
      <c r="C772" s="34" t="s">
        <v>1853</v>
      </c>
    </row>
    <row r="773" spans="1:3" ht="15.75" customHeight="1" x14ac:dyDescent="0.2">
      <c r="A773" s="42">
        <v>1138</v>
      </c>
      <c r="B773" s="42">
        <v>17320</v>
      </c>
      <c r="C773" s="34" t="s">
        <v>1854</v>
      </c>
    </row>
    <row r="774" spans="1:3" ht="15.75" customHeight="1" x14ac:dyDescent="0.2">
      <c r="A774" s="42">
        <v>1139</v>
      </c>
      <c r="B774" s="42">
        <v>17320</v>
      </c>
      <c r="C774" s="34" t="s">
        <v>1855</v>
      </c>
    </row>
    <row r="775" spans="1:3" ht="15.75" customHeight="1" x14ac:dyDescent="0.2">
      <c r="A775" s="42">
        <v>1140</v>
      </c>
      <c r="B775" s="42">
        <v>17320</v>
      </c>
      <c r="C775" s="34" t="s">
        <v>1856</v>
      </c>
    </row>
    <row r="776" spans="1:3" ht="15.75" customHeight="1" x14ac:dyDescent="0.2">
      <c r="A776" s="42">
        <v>1141</v>
      </c>
      <c r="B776" s="42">
        <v>17320</v>
      </c>
      <c r="C776" s="34" t="s">
        <v>1857</v>
      </c>
    </row>
    <row r="777" spans="1:3" ht="15.75" customHeight="1" x14ac:dyDescent="0.2">
      <c r="A777" s="42">
        <v>1142</v>
      </c>
      <c r="B777" s="42">
        <v>17320</v>
      </c>
      <c r="C777" s="34" t="s">
        <v>1858</v>
      </c>
    </row>
    <row r="778" spans="1:3" ht="15.75" customHeight="1" x14ac:dyDescent="0.2">
      <c r="A778" s="42">
        <v>1143</v>
      </c>
      <c r="B778" s="42">
        <v>17320</v>
      </c>
      <c r="C778" s="34" t="s">
        <v>1859</v>
      </c>
    </row>
    <row r="779" spans="1:3" ht="15.75" customHeight="1" x14ac:dyDescent="0.2">
      <c r="A779" s="42">
        <v>1144</v>
      </c>
      <c r="B779" s="42">
        <v>17320</v>
      </c>
      <c r="C779" s="34" t="s">
        <v>1860</v>
      </c>
    </row>
    <row r="780" spans="1:3" ht="15.75" customHeight="1" x14ac:dyDescent="0.2">
      <c r="A780" s="42">
        <v>1145</v>
      </c>
      <c r="B780" s="42">
        <v>17320</v>
      </c>
      <c r="C780" s="34" t="s">
        <v>1861</v>
      </c>
    </row>
    <row r="781" spans="1:3" ht="15.75" customHeight="1" x14ac:dyDescent="0.2">
      <c r="A781" s="42">
        <v>1146</v>
      </c>
      <c r="B781" s="42">
        <v>17320</v>
      </c>
      <c r="C781" s="34" t="s">
        <v>1862</v>
      </c>
    </row>
    <row r="782" spans="1:3" ht="15.75" customHeight="1" x14ac:dyDescent="0.2">
      <c r="A782" s="42">
        <v>1147</v>
      </c>
      <c r="B782" s="42">
        <v>17320</v>
      </c>
      <c r="C782" s="34" t="s">
        <v>1863</v>
      </c>
    </row>
    <row r="783" spans="1:3" ht="15.75" customHeight="1" x14ac:dyDescent="0.2">
      <c r="A783" s="42">
        <v>1148</v>
      </c>
      <c r="B783" s="42">
        <v>17320</v>
      </c>
      <c r="C783" s="34" t="s">
        <v>1864</v>
      </c>
    </row>
    <row r="784" spans="1:3" ht="15.75" customHeight="1" x14ac:dyDescent="0.2">
      <c r="A784" s="42">
        <v>1149</v>
      </c>
      <c r="B784" s="42">
        <v>17320</v>
      </c>
      <c r="C784" s="34" t="s">
        <v>1865</v>
      </c>
    </row>
    <row r="785" spans="1:3" ht="15.75" customHeight="1" x14ac:dyDescent="0.2">
      <c r="A785" s="42">
        <v>1150</v>
      </c>
      <c r="B785" s="42">
        <v>17320</v>
      </c>
      <c r="C785" s="34" t="s">
        <v>1866</v>
      </c>
    </row>
    <row r="786" spans="1:3" ht="15.75" customHeight="1" x14ac:dyDescent="0.2">
      <c r="A786" s="42">
        <v>1151</v>
      </c>
      <c r="B786" s="42">
        <v>17320</v>
      </c>
      <c r="C786" s="34" t="s">
        <v>1867</v>
      </c>
    </row>
    <row r="787" spans="1:3" ht="15.75" customHeight="1" x14ac:dyDescent="0.2">
      <c r="A787" s="42">
        <v>1152</v>
      </c>
      <c r="B787" s="42">
        <v>17320</v>
      </c>
      <c r="C787" s="34" t="s">
        <v>1868</v>
      </c>
    </row>
    <row r="788" spans="1:3" ht="15.75" customHeight="1" x14ac:dyDescent="0.2">
      <c r="A788" s="42">
        <v>1153</v>
      </c>
      <c r="B788" s="42">
        <v>17320</v>
      </c>
      <c r="C788" s="34" t="s">
        <v>1869</v>
      </c>
    </row>
    <row r="789" spans="1:3" ht="15.75" customHeight="1" x14ac:dyDescent="0.2">
      <c r="A789" s="42">
        <v>1154</v>
      </c>
      <c r="B789" s="42">
        <v>17320</v>
      </c>
      <c r="C789" s="34" t="s">
        <v>1870</v>
      </c>
    </row>
    <row r="790" spans="1:3" ht="15.75" customHeight="1" x14ac:dyDescent="0.2">
      <c r="A790" s="42">
        <v>1155</v>
      </c>
      <c r="B790" s="42">
        <v>17320</v>
      </c>
      <c r="C790" s="34" t="s">
        <v>1871</v>
      </c>
    </row>
    <row r="791" spans="1:3" ht="15.75" customHeight="1" x14ac:dyDescent="0.2">
      <c r="A791" s="42">
        <v>1156</v>
      </c>
      <c r="B791" s="42">
        <v>17320</v>
      </c>
      <c r="C791" s="34" t="s">
        <v>1872</v>
      </c>
    </row>
    <row r="792" spans="1:3" ht="15.75" customHeight="1" x14ac:dyDescent="0.2">
      <c r="A792" s="42">
        <v>1157</v>
      </c>
      <c r="B792" s="42">
        <v>17320</v>
      </c>
      <c r="C792" s="34" t="s">
        <v>1873</v>
      </c>
    </row>
    <row r="793" spans="1:3" ht="15.75" customHeight="1" x14ac:dyDescent="0.2">
      <c r="A793" s="42">
        <v>1158</v>
      </c>
      <c r="B793" s="42">
        <v>17320</v>
      </c>
      <c r="C793" s="34" t="s">
        <v>1874</v>
      </c>
    </row>
    <row r="794" spans="1:3" ht="15.75" customHeight="1" x14ac:dyDescent="0.2">
      <c r="A794" s="42">
        <v>1159</v>
      </c>
      <c r="B794" s="42">
        <v>17320</v>
      </c>
      <c r="C794" s="34" t="s">
        <v>1875</v>
      </c>
    </row>
    <row r="795" spans="1:3" ht="15.75" customHeight="1" x14ac:dyDescent="0.2">
      <c r="A795" s="42">
        <v>1160</v>
      </c>
      <c r="B795" s="42">
        <v>17320</v>
      </c>
      <c r="C795" s="34" t="s">
        <v>1876</v>
      </c>
    </row>
    <row r="796" spans="1:3" ht="15.75" customHeight="1" x14ac:dyDescent="0.2">
      <c r="A796" s="42">
        <v>1161</v>
      </c>
      <c r="B796" s="42">
        <v>17320</v>
      </c>
      <c r="C796" s="34" t="s">
        <v>1877</v>
      </c>
    </row>
    <row r="797" spans="1:3" ht="15.75" customHeight="1" x14ac:dyDescent="0.2">
      <c r="A797" s="42">
        <v>1162</v>
      </c>
      <c r="B797" s="42">
        <v>17320</v>
      </c>
      <c r="C797" s="34" t="s">
        <v>1878</v>
      </c>
    </row>
    <row r="798" spans="1:3" ht="15.75" customHeight="1" x14ac:dyDescent="0.2">
      <c r="A798" s="42">
        <v>1163</v>
      </c>
      <c r="B798" s="42">
        <v>17320</v>
      </c>
      <c r="C798" s="34" t="s">
        <v>1879</v>
      </c>
    </row>
    <row r="799" spans="1:3" ht="15.75" customHeight="1" x14ac:dyDescent="0.2">
      <c r="A799" s="42">
        <v>1164</v>
      </c>
      <c r="B799" s="42">
        <v>17320</v>
      </c>
      <c r="C799" s="34" t="s">
        <v>1880</v>
      </c>
    </row>
    <row r="800" spans="1:3" ht="15.75" customHeight="1" x14ac:dyDescent="0.2">
      <c r="A800" s="42">
        <v>1165</v>
      </c>
      <c r="B800" s="42">
        <v>17320</v>
      </c>
      <c r="C800" s="34" t="s">
        <v>1881</v>
      </c>
    </row>
    <row r="801" spans="1:3" ht="15.75" customHeight="1" x14ac:dyDescent="0.2">
      <c r="A801" s="42">
        <v>1166</v>
      </c>
      <c r="B801" s="42">
        <v>17320</v>
      </c>
      <c r="C801" s="34" t="s">
        <v>1882</v>
      </c>
    </row>
    <row r="802" spans="1:3" ht="15.75" customHeight="1" x14ac:dyDescent="0.2">
      <c r="A802" s="42">
        <v>1167</v>
      </c>
      <c r="B802" s="42">
        <v>17320</v>
      </c>
      <c r="C802" s="34" t="s">
        <v>1883</v>
      </c>
    </row>
    <row r="803" spans="1:3" ht="15.75" customHeight="1" x14ac:dyDescent="0.2">
      <c r="A803" s="42">
        <v>1168</v>
      </c>
      <c r="B803" s="42">
        <v>17320</v>
      </c>
      <c r="C803" s="34" t="s">
        <v>1884</v>
      </c>
    </row>
    <row r="804" spans="1:3" ht="15.75" customHeight="1" x14ac:dyDescent="0.2">
      <c r="A804" s="42">
        <v>1169</v>
      </c>
      <c r="B804" s="42">
        <v>17320</v>
      </c>
      <c r="C804" s="34" t="s">
        <v>1885</v>
      </c>
    </row>
    <row r="805" spans="1:3" ht="15.75" customHeight="1" x14ac:dyDescent="0.2">
      <c r="A805" s="42">
        <v>1170</v>
      </c>
      <c r="B805" s="42">
        <v>17320</v>
      </c>
      <c r="C805" s="34" t="s">
        <v>1886</v>
      </c>
    </row>
    <row r="806" spans="1:3" ht="15.75" customHeight="1" x14ac:dyDescent="0.2">
      <c r="A806" s="42">
        <v>1171</v>
      </c>
      <c r="B806" s="42">
        <v>17320</v>
      </c>
      <c r="C806" s="34" t="s">
        <v>1887</v>
      </c>
    </row>
    <row r="807" spans="1:3" ht="15.75" customHeight="1" x14ac:dyDescent="0.2">
      <c r="A807" s="42">
        <v>1172</v>
      </c>
      <c r="B807" s="42">
        <v>17320</v>
      </c>
      <c r="C807" s="34" t="s">
        <v>1888</v>
      </c>
    </row>
    <row r="808" spans="1:3" ht="15.75" customHeight="1" x14ac:dyDescent="0.2">
      <c r="A808" s="42">
        <v>1173</v>
      </c>
      <c r="B808" s="42">
        <v>17320</v>
      </c>
      <c r="C808" s="34" t="s">
        <v>1889</v>
      </c>
    </row>
    <row r="809" spans="1:3" ht="15.75" customHeight="1" x14ac:dyDescent="0.2">
      <c r="A809" s="42">
        <v>1174</v>
      </c>
      <c r="B809" s="42">
        <v>17320</v>
      </c>
      <c r="C809" s="34" t="s">
        <v>1881</v>
      </c>
    </row>
    <row r="810" spans="1:3" ht="15.75" customHeight="1" x14ac:dyDescent="0.2">
      <c r="A810" s="42">
        <v>1175</v>
      </c>
      <c r="B810" s="42">
        <v>17320</v>
      </c>
      <c r="C810" s="34" t="s">
        <v>1890</v>
      </c>
    </row>
    <row r="811" spans="1:3" ht="15.75" customHeight="1" x14ac:dyDescent="0.2">
      <c r="A811" s="42">
        <v>1176</v>
      </c>
      <c r="B811" s="42">
        <v>17320</v>
      </c>
      <c r="C811" s="34" t="s">
        <v>1891</v>
      </c>
    </row>
    <row r="812" spans="1:3" ht="15.75" customHeight="1" x14ac:dyDescent="0.2">
      <c r="A812" s="42">
        <v>1177</v>
      </c>
      <c r="B812" s="42">
        <v>17320</v>
      </c>
      <c r="C812" s="34" t="s">
        <v>1892</v>
      </c>
    </row>
    <row r="813" spans="1:3" ht="15.75" customHeight="1" x14ac:dyDescent="0.2">
      <c r="A813" s="42">
        <v>1178</v>
      </c>
      <c r="B813" s="42">
        <v>17320</v>
      </c>
      <c r="C813" s="34" t="s">
        <v>1893</v>
      </c>
    </row>
    <row r="814" spans="1:3" ht="15.75" customHeight="1" x14ac:dyDescent="0.2">
      <c r="A814" s="42">
        <v>1179</v>
      </c>
      <c r="B814" s="42">
        <v>17320</v>
      </c>
      <c r="C814" s="34" t="s">
        <v>1894</v>
      </c>
    </row>
    <row r="815" spans="1:3" ht="15.75" customHeight="1" x14ac:dyDescent="0.2">
      <c r="A815" s="42">
        <v>1180</v>
      </c>
      <c r="B815" s="42">
        <v>17320</v>
      </c>
      <c r="C815" s="34" t="s">
        <v>1881</v>
      </c>
    </row>
    <row r="816" spans="1:3" ht="15.75" customHeight="1" x14ac:dyDescent="0.2">
      <c r="A816" s="42">
        <v>1181</v>
      </c>
      <c r="B816" s="42">
        <v>17320</v>
      </c>
      <c r="C816" s="34" t="s">
        <v>1895</v>
      </c>
    </row>
    <row r="817" spans="1:3" ht="15.75" customHeight="1" x14ac:dyDescent="0.2">
      <c r="A817" s="42">
        <v>1182</v>
      </c>
      <c r="B817" s="42">
        <v>17320</v>
      </c>
      <c r="C817" s="34" t="s">
        <v>1896</v>
      </c>
    </row>
    <row r="818" spans="1:3" ht="15.75" customHeight="1" x14ac:dyDescent="0.2">
      <c r="A818" s="42">
        <v>1183</v>
      </c>
      <c r="B818" s="42">
        <v>17320</v>
      </c>
      <c r="C818" s="34" t="s">
        <v>1897</v>
      </c>
    </row>
    <row r="819" spans="1:3" ht="15.75" customHeight="1" x14ac:dyDescent="0.2">
      <c r="A819" s="42">
        <v>1184</v>
      </c>
      <c r="B819" s="42">
        <v>17320</v>
      </c>
      <c r="C819" s="34" t="s">
        <v>1898</v>
      </c>
    </row>
    <row r="820" spans="1:3" ht="15.75" customHeight="1" x14ac:dyDescent="0.2">
      <c r="A820" s="42">
        <v>1185</v>
      </c>
      <c r="B820" s="42">
        <v>17320</v>
      </c>
      <c r="C820" s="34" t="s">
        <v>1899</v>
      </c>
    </row>
    <row r="821" spans="1:3" ht="15.75" customHeight="1" x14ac:dyDescent="0.2">
      <c r="A821" s="42">
        <v>1186</v>
      </c>
      <c r="B821" s="42">
        <v>17320</v>
      </c>
      <c r="C821" s="34" t="s">
        <v>1900</v>
      </c>
    </row>
    <row r="822" spans="1:3" ht="15.75" customHeight="1" x14ac:dyDescent="0.2">
      <c r="A822" s="42">
        <v>1187</v>
      </c>
      <c r="B822" s="42">
        <v>17320</v>
      </c>
      <c r="C822" s="34" t="s">
        <v>1901</v>
      </c>
    </row>
    <row r="823" spans="1:3" ht="15.75" customHeight="1" x14ac:dyDescent="0.2">
      <c r="A823" s="42">
        <v>1188</v>
      </c>
      <c r="B823" s="42">
        <v>17320</v>
      </c>
      <c r="C823" s="34" t="s">
        <v>1902</v>
      </c>
    </row>
    <row r="824" spans="1:3" ht="15.75" customHeight="1" x14ac:dyDescent="0.2">
      <c r="A824" s="42">
        <v>1189</v>
      </c>
      <c r="B824" s="42">
        <v>17320</v>
      </c>
      <c r="C824" s="34" t="s">
        <v>1903</v>
      </c>
    </row>
    <row r="825" spans="1:3" ht="15.75" customHeight="1" x14ac:dyDescent="0.2">
      <c r="A825" s="42">
        <v>1190</v>
      </c>
      <c r="B825" s="42">
        <v>17320</v>
      </c>
      <c r="C825" s="34" t="s">
        <v>1904</v>
      </c>
    </row>
    <row r="826" spans="1:3" ht="15.75" customHeight="1" x14ac:dyDescent="0.2">
      <c r="A826" s="42">
        <v>1191</v>
      </c>
      <c r="B826" s="42">
        <v>17320</v>
      </c>
      <c r="C826" s="34" t="s">
        <v>1905</v>
      </c>
    </row>
    <row r="827" spans="1:3" ht="15.75" customHeight="1" x14ac:dyDescent="0.2">
      <c r="A827" s="42">
        <v>1192</v>
      </c>
      <c r="B827" s="42">
        <v>17320</v>
      </c>
      <c r="C827" s="34" t="s">
        <v>1906</v>
      </c>
    </row>
    <row r="828" spans="1:3" ht="15.75" customHeight="1" x14ac:dyDescent="0.2">
      <c r="A828" s="42">
        <v>1193</v>
      </c>
      <c r="B828" s="42">
        <v>17320</v>
      </c>
      <c r="C828" s="34" t="s">
        <v>1907</v>
      </c>
    </row>
    <row r="829" spans="1:3" ht="15.75" customHeight="1" x14ac:dyDescent="0.2">
      <c r="A829" s="42">
        <v>1194</v>
      </c>
      <c r="B829" s="42">
        <v>17320</v>
      </c>
      <c r="C829" s="34" t="s">
        <v>1908</v>
      </c>
    </row>
    <row r="830" spans="1:3" ht="15.75" customHeight="1" x14ac:dyDescent="0.2">
      <c r="A830" s="42">
        <v>1195</v>
      </c>
      <c r="B830" s="42">
        <v>17320</v>
      </c>
      <c r="C830" s="34" t="s">
        <v>1909</v>
      </c>
    </row>
    <row r="831" spans="1:3" ht="15.75" customHeight="1" x14ac:dyDescent="0.2">
      <c r="A831" s="42">
        <v>1196</v>
      </c>
      <c r="B831" s="42">
        <v>17320</v>
      </c>
      <c r="C831" s="34" t="s">
        <v>1910</v>
      </c>
    </row>
    <row r="832" spans="1:3" ht="15.75" customHeight="1" x14ac:dyDescent="0.2">
      <c r="A832" s="42">
        <v>1197</v>
      </c>
      <c r="B832" s="42">
        <v>17320</v>
      </c>
      <c r="C832" s="34" t="s">
        <v>1848</v>
      </c>
    </row>
    <row r="833" spans="1:3" ht="15.75" customHeight="1" x14ac:dyDescent="0.2">
      <c r="A833" s="42">
        <v>1198</v>
      </c>
      <c r="B833" s="42">
        <v>17320</v>
      </c>
      <c r="C833" s="34" t="s">
        <v>1911</v>
      </c>
    </row>
    <row r="834" spans="1:3" ht="15.75" customHeight="1" x14ac:dyDescent="0.2">
      <c r="A834" s="42">
        <v>1199</v>
      </c>
      <c r="B834" s="42">
        <v>17320</v>
      </c>
      <c r="C834" s="34" t="s">
        <v>1912</v>
      </c>
    </row>
    <row r="835" spans="1:3" ht="15.75" customHeight="1" x14ac:dyDescent="0.2">
      <c r="A835" s="42">
        <v>1200</v>
      </c>
      <c r="B835" s="42">
        <v>17320</v>
      </c>
      <c r="C835" s="34" t="s">
        <v>1913</v>
      </c>
    </row>
    <row r="836" spans="1:3" ht="15.75" customHeight="1" x14ac:dyDescent="0.2">
      <c r="A836" s="42">
        <v>1201</v>
      </c>
      <c r="B836" s="42">
        <v>17320</v>
      </c>
      <c r="C836" s="34" t="s">
        <v>1914</v>
      </c>
    </row>
    <row r="837" spans="1:3" ht="15.75" customHeight="1" x14ac:dyDescent="0.2">
      <c r="A837" s="42">
        <v>1202</v>
      </c>
      <c r="B837" s="42">
        <v>17320</v>
      </c>
      <c r="C837" s="34" t="s">
        <v>1915</v>
      </c>
    </row>
    <row r="838" spans="1:3" ht="15.75" customHeight="1" x14ac:dyDescent="0.2">
      <c r="A838" s="42">
        <v>1203</v>
      </c>
      <c r="B838" s="42">
        <v>17320</v>
      </c>
      <c r="C838" s="34" t="s">
        <v>1916</v>
      </c>
    </row>
    <row r="839" spans="1:3" ht="15.75" customHeight="1" x14ac:dyDescent="0.2">
      <c r="A839" s="42">
        <v>1204</v>
      </c>
      <c r="B839" s="42">
        <v>17320</v>
      </c>
      <c r="C839" s="34" t="s">
        <v>1917</v>
      </c>
    </row>
    <row r="840" spans="1:3" ht="15.75" customHeight="1" x14ac:dyDescent="0.2">
      <c r="A840" s="42">
        <v>1205</v>
      </c>
      <c r="B840" s="42">
        <v>17320</v>
      </c>
      <c r="C840" s="34" t="s">
        <v>1918</v>
      </c>
    </row>
    <row r="841" spans="1:3" ht="15.75" customHeight="1" x14ac:dyDescent="0.2">
      <c r="A841" s="42">
        <v>1206</v>
      </c>
      <c r="B841" s="42">
        <v>17320</v>
      </c>
      <c r="C841" s="34" t="s">
        <v>1919</v>
      </c>
    </row>
    <row r="842" spans="1:3" ht="15.75" customHeight="1" x14ac:dyDescent="0.2">
      <c r="A842" s="42">
        <v>1207</v>
      </c>
      <c r="B842" s="42">
        <v>17320</v>
      </c>
      <c r="C842" s="34" t="s">
        <v>1920</v>
      </c>
    </row>
    <row r="843" spans="1:3" ht="15.75" customHeight="1" x14ac:dyDescent="0.2">
      <c r="A843" s="42">
        <v>1208</v>
      </c>
      <c r="B843" s="42">
        <v>17320</v>
      </c>
      <c r="C843" s="34" t="s">
        <v>1921</v>
      </c>
    </row>
    <row r="844" spans="1:3" ht="15.75" customHeight="1" x14ac:dyDescent="0.2">
      <c r="A844" s="42">
        <v>1209</v>
      </c>
      <c r="B844" s="42">
        <v>17320</v>
      </c>
      <c r="C844" s="34" t="s">
        <v>1922</v>
      </c>
    </row>
    <row r="845" spans="1:3" ht="15.75" customHeight="1" x14ac:dyDescent="0.2">
      <c r="A845" s="42">
        <v>1210</v>
      </c>
      <c r="B845" s="42">
        <v>17320</v>
      </c>
      <c r="C845" s="34" t="s">
        <v>1923</v>
      </c>
    </row>
    <row r="846" spans="1:3" ht="15.75" customHeight="1" x14ac:dyDescent="0.2">
      <c r="A846" s="42">
        <v>1211</v>
      </c>
      <c r="B846" s="42">
        <v>17320</v>
      </c>
      <c r="C846" s="34" t="s">
        <v>1924</v>
      </c>
    </row>
    <row r="847" spans="1:3" ht="15.75" customHeight="1" x14ac:dyDescent="0.2">
      <c r="A847" s="42">
        <v>1212</v>
      </c>
      <c r="B847" s="42">
        <v>17320</v>
      </c>
      <c r="C847" s="34" t="s">
        <v>1847</v>
      </c>
    </row>
    <row r="848" spans="1:3" ht="15.75" customHeight="1" x14ac:dyDescent="0.2">
      <c r="A848" s="42">
        <v>1213</v>
      </c>
      <c r="B848" s="42">
        <v>17320</v>
      </c>
      <c r="C848" s="34" t="s">
        <v>1925</v>
      </c>
    </row>
    <row r="849" spans="1:3" ht="15.75" customHeight="1" x14ac:dyDescent="0.2">
      <c r="A849" s="42">
        <v>1214</v>
      </c>
      <c r="B849" s="42">
        <v>17320</v>
      </c>
      <c r="C849" s="34" t="s">
        <v>1926</v>
      </c>
    </row>
    <row r="850" spans="1:3" ht="15.75" customHeight="1" x14ac:dyDescent="0.2">
      <c r="A850" s="42">
        <v>1215</v>
      </c>
      <c r="B850" s="42">
        <v>17320</v>
      </c>
      <c r="C850" s="34" t="s">
        <v>1927</v>
      </c>
    </row>
    <row r="851" spans="1:3" ht="15.75" customHeight="1" x14ac:dyDescent="0.2">
      <c r="A851" s="42">
        <v>1216</v>
      </c>
      <c r="B851" s="42">
        <v>17320</v>
      </c>
      <c r="C851" s="34" t="s">
        <v>1928</v>
      </c>
    </row>
    <row r="852" spans="1:3" ht="15.75" customHeight="1" x14ac:dyDescent="0.2">
      <c r="A852" s="42">
        <v>1217</v>
      </c>
      <c r="B852" s="42">
        <v>17320</v>
      </c>
      <c r="C852" s="34" t="s">
        <v>1929</v>
      </c>
    </row>
    <row r="853" spans="1:3" ht="15.75" customHeight="1" x14ac:dyDescent="0.2">
      <c r="A853" s="42">
        <v>1218</v>
      </c>
      <c r="B853" s="42">
        <v>17320</v>
      </c>
      <c r="C853" s="34" t="s">
        <v>1930</v>
      </c>
    </row>
    <row r="854" spans="1:3" ht="15.75" customHeight="1" x14ac:dyDescent="0.2">
      <c r="A854" s="42">
        <v>1219</v>
      </c>
      <c r="B854" s="42">
        <v>17320</v>
      </c>
      <c r="C854" s="34" t="s">
        <v>1931</v>
      </c>
    </row>
    <row r="855" spans="1:3" ht="15.75" customHeight="1" x14ac:dyDescent="0.2">
      <c r="A855" s="42">
        <v>1220</v>
      </c>
      <c r="B855" s="42">
        <v>17320</v>
      </c>
      <c r="C855" s="34" t="s">
        <v>1932</v>
      </c>
    </row>
    <row r="856" spans="1:3" ht="15.75" customHeight="1" x14ac:dyDescent="0.2">
      <c r="A856" s="42">
        <v>1221</v>
      </c>
      <c r="B856" s="42">
        <v>17320</v>
      </c>
      <c r="C856" s="34" t="s">
        <v>1933</v>
      </c>
    </row>
    <row r="857" spans="1:3" ht="15.75" customHeight="1" x14ac:dyDescent="0.2">
      <c r="A857" s="42">
        <v>1222</v>
      </c>
      <c r="B857" s="42">
        <v>17322</v>
      </c>
      <c r="C857" s="34" t="s">
        <v>1934</v>
      </c>
    </row>
    <row r="858" spans="1:3" ht="15.75" customHeight="1" x14ac:dyDescent="0.2">
      <c r="A858" s="42">
        <v>1223</v>
      </c>
      <c r="B858" s="42">
        <v>17322</v>
      </c>
      <c r="C858" s="34" t="s">
        <v>1935</v>
      </c>
    </row>
    <row r="859" spans="1:3" ht="15.75" customHeight="1" x14ac:dyDescent="0.2">
      <c r="A859" s="42">
        <v>1224</v>
      </c>
      <c r="B859" s="42">
        <v>17322</v>
      </c>
      <c r="C859" s="34" t="s">
        <v>1936</v>
      </c>
    </row>
    <row r="860" spans="1:3" ht="15.75" customHeight="1" x14ac:dyDescent="0.2">
      <c r="A860" s="42">
        <v>1225</v>
      </c>
      <c r="B860" s="42">
        <v>17322</v>
      </c>
      <c r="C860" s="34" t="s">
        <v>1937</v>
      </c>
    </row>
    <row r="861" spans="1:3" ht="15.75" customHeight="1" x14ac:dyDescent="0.2">
      <c r="A861" s="42">
        <v>1226</v>
      </c>
      <c r="B861" s="42">
        <v>17322</v>
      </c>
      <c r="C861" s="34" t="s">
        <v>1938</v>
      </c>
    </row>
    <row r="862" spans="1:3" ht="15.75" customHeight="1" x14ac:dyDescent="0.2">
      <c r="A862" s="42">
        <v>1227</v>
      </c>
      <c r="B862" s="42">
        <v>17322</v>
      </c>
      <c r="C862" s="34" t="s">
        <v>1939</v>
      </c>
    </row>
    <row r="863" spans="1:3" ht="15.75" customHeight="1" x14ac:dyDescent="0.2">
      <c r="A863" s="42">
        <v>1228</v>
      </c>
      <c r="B863" s="42">
        <v>17322</v>
      </c>
      <c r="C863" s="34" t="s">
        <v>1940</v>
      </c>
    </row>
    <row r="864" spans="1:3" ht="15.75" customHeight="1" x14ac:dyDescent="0.2">
      <c r="A864" s="42">
        <v>1229</v>
      </c>
      <c r="B864" s="42">
        <v>17322</v>
      </c>
      <c r="C864" s="34" t="s">
        <v>1941</v>
      </c>
    </row>
    <row r="865" spans="1:3" ht="15.75" customHeight="1" x14ac:dyDescent="0.2">
      <c r="A865" s="42">
        <v>1230</v>
      </c>
      <c r="B865" s="42">
        <v>17322</v>
      </c>
      <c r="C865" s="34" t="s">
        <v>1942</v>
      </c>
    </row>
    <row r="866" spans="1:3" ht="15.75" customHeight="1" x14ac:dyDescent="0.2">
      <c r="A866" s="42">
        <v>1231</v>
      </c>
      <c r="B866" s="42">
        <v>17322</v>
      </c>
      <c r="C866" s="34" t="s">
        <v>1943</v>
      </c>
    </row>
    <row r="867" spans="1:3" ht="15.75" customHeight="1" x14ac:dyDescent="0.2">
      <c r="A867" s="42">
        <v>1232</v>
      </c>
      <c r="B867" s="42">
        <v>17322</v>
      </c>
      <c r="C867" s="34" t="s">
        <v>1944</v>
      </c>
    </row>
    <row r="868" spans="1:3" ht="15.75" customHeight="1" x14ac:dyDescent="0.2">
      <c r="A868" s="42">
        <v>1233</v>
      </c>
      <c r="B868" s="42">
        <v>17322</v>
      </c>
      <c r="C868" s="34" t="s">
        <v>1945</v>
      </c>
    </row>
    <row r="869" spans="1:3" ht="15.75" customHeight="1" x14ac:dyDescent="0.2">
      <c r="A869" s="42">
        <v>1234</v>
      </c>
      <c r="B869" s="42">
        <v>17322</v>
      </c>
      <c r="C869" s="34" t="s">
        <v>1946</v>
      </c>
    </row>
    <row r="870" spans="1:3" ht="15.75" customHeight="1" x14ac:dyDescent="0.2">
      <c r="A870" s="42">
        <v>1235</v>
      </c>
      <c r="B870" s="42">
        <v>17322</v>
      </c>
      <c r="C870" s="34" t="s">
        <v>1947</v>
      </c>
    </row>
    <row r="871" spans="1:3" ht="15.75" customHeight="1" x14ac:dyDescent="0.2">
      <c r="A871" s="42">
        <v>1236</v>
      </c>
      <c r="B871" s="42">
        <v>17322</v>
      </c>
      <c r="C871" s="34" t="s">
        <v>1948</v>
      </c>
    </row>
    <row r="872" spans="1:3" ht="15.75" customHeight="1" x14ac:dyDescent="0.2">
      <c r="A872" s="42">
        <v>1237</v>
      </c>
      <c r="B872" s="42">
        <v>17322</v>
      </c>
      <c r="C872" s="34" t="s">
        <v>1949</v>
      </c>
    </row>
    <row r="873" spans="1:3" ht="15.75" customHeight="1" x14ac:dyDescent="0.2">
      <c r="A873" s="42">
        <v>1238</v>
      </c>
      <c r="B873" s="42">
        <v>17322</v>
      </c>
      <c r="C873" s="34" t="s">
        <v>1950</v>
      </c>
    </row>
    <row r="874" spans="1:3" ht="15.75" customHeight="1" x14ac:dyDescent="0.2">
      <c r="A874" s="42">
        <v>1239</v>
      </c>
      <c r="B874" s="42">
        <v>17322</v>
      </c>
      <c r="C874" s="34" t="s">
        <v>1951</v>
      </c>
    </row>
    <row r="875" spans="1:3" ht="15.75" customHeight="1" x14ac:dyDescent="0.2">
      <c r="A875" s="42">
        <v>1240</v>
      </c>
      <c r="B875" s="42">
        <v>17322</v>
      </c>
      <c r="C875" s="34" t="s">
        <v>1952</v>
      </c>
    </row>
    <row r="876" spans="1:3" ht="15.75" customHeight="1" x14ac:dyDescent="0.2">
      <c r="A876" s="42">
        <v>1241</v>
      </c>
      <c r="B876" s="42">
        <v>17322</v>
      </c>
      <c r="C876" s="34" t="s">
        <v>1953</v>
      </c>
    </row>
    <row r="877" spans="1:3" ht="15.75" customHeight="1" x14ac:dyDescent="0.2">
      <c r="A877" s="42">
        <v>1242</v>
      </c>
      <c r="B877" s="42">
        <v>17322</v>
      </c>
      <c r="C877" s="34" t="s">
        <v>1954</v>
      </c>
    </row>
    <row r="878" spans="1:3" ht="15.75" customHeight="1" x14ac:dyDescent="0.2">
      <c r="A878" s="42">
        <v>1243</v>
      </c>
      <c r="B878" s="42">
        <v>17322</v>
      </c>
      <c r="C878" s="34" t="s">
        <v>1955</v>
      </c>
    </row>
    <row r="879" spans="1:3" ht="15.75" customHeight="1" x14ac:dyDescent="0.2">
      <c r="A879" s="42">
        <v>1244</v>
      </c>
      <c r="B879" s="42">
        <v>17322</v>
      </c>
      <c r="C879" s="34" t="s">
        <v>1956</v>
      </c>
    </row>
    <row r="880" spans="1:3" ht="15.75" customHeight="1" x14ac:dyDescent="0.2">
      <c r="A880" s="42">
        <v>1245</v>
      </c>
      <c r="B880" s="42">
        <v>17322</v>
      </c>
      <c r="C880" s="34" t="s">
        <v>1957</v>
      </c>
    </row>
    <row r="881" spans="1:3" ht="15.75" customHeight="1" x14ac:dyDescent="0.2">
      <c r="A881" s="42">
        <v>1246</v>
      </c>
      <c r="B881" s="42">
        <v>17322</v>
      </c>
      <c r="C881" s="34" t="s">
        <v>1958</v>
      </c>
    </row>
    <row r="882" spans="1:3" ht="15.75" customHeight="1" x14ac:dyDescent="0.2">
      <c r="A882" s="42">
        <v>1247</v>
      </c>
      <c r="B882" s="42">
        <v>17322</v>
      </c>
      <c r="C882" s="34" t="s">
        <v>1959</v>
      </c>
    </row>
    <row r="883" spans="1:3" ht="15.75" customHeight="1" x14ac:dyDescent="0.2">
      <c r="A883" s="42">
        <v>1248</v>
      </c>
      <c r="B883" s="42">
        <v>17322</v>
      </c>
      <c r="C883" s="34" t="s">
        <v>1960</v>
      </c>
    </row>
    <row r="884" spans="1:3" ht="15.75" customHeight="1" x14ac:dyDescent="0.2">
      <c r="A884" s="42">
        <v>1249</v>
      </c>
      <c r="B884" s="42">
        <v>17322</v>
      </c>
      <c r="C884" s="34" t="s">
        <v>1961</v>
      </c>
    </row>
    <row r="885" spans="1:3" ht="15.75" customHeight="1" x14ac:dyDescent="0.2">
      <c r="A885" s="42">
        <v>1250</v>
      </c>
      <c r="B885" s="42">
        <v>17322</v>
      </c>
      <c r="C885" s="34" t="s">
        <v>1962</v>
      </c>
    </row>
    <row r="886" spans="1:3" ht="15.75" customHeight="1" x14ac:dyDescent="0.2">
      <c r="A886" s="42">
        <v>1251</v>
      </c>
      <c r="B886" s="42">
        <v>17322</v>
      </c>
      <c r="C886" s="34" t="s">
        <v>1963</v>
      </c>
    </row>
    <row r="887" spans="1:3" ht="15.75" customHeight="1" x14ac:dyDescent="0.2">
      <c r="A887" s="42">
        <v>1252</v>
      </c>
      <c r="B887" s="42">
        <v>17322</v>
      </c>
      <c r="C887" s="34" t="s">
        <v>1964</v>
      </c>
    </row>
    <row r="888" spans="1:3" ht="15.75" customHeight="1" x14ac:dyDescent="0.2">
      <c r="A888" s="42">
        <v>1253</v>
      </c>
      <c r="B888" s="42">
        <v>17322</v>
      </c>
      <c r="C888" s="34" t="s">
        <v>1965</v>
      </c>
    </row>
    <row r="889" spans="1:3" ht="15.75" customHeight="1" x14ac:dyDescent="0.2">
      <c r="A889" s="42">
        <v>1254</v>
      </c>
      <c r="B889" s="42">
        <v>17322</v>
      </c>
      <c r="C889" s="34" t="s">
        <v>1966</v>
      </c>
    </row>
    <row r="890" spans="1:3" ht="15.75" customHeight="1" x14ac:dyDescent="0.2">
      <c r="A890" s="42">
        <v>1255</v>
      </c>
      <c r="B890" s="42">
        <v>17322</v>
      </c>
      <c r="C890" s="34" t="s">
        <v>1967</v>
      </c>
    </row>
    <row r="891" spans="1:3" ht="15.75" customHeight="1" x14ac:dyDescent="0.2">
      <c r="A891" s="42">
        <v>1256</v>
      </c>
      <c r="B891" s="42">
        <v>17322</v>
      </c>
      <c r="C891" s="34" t="s">
        <v>1951</v>
      </c>
    </row>
    <row r="892" spans="1:3" ht="15.75" customHeight="1" x14ac:dyDescent="0.2">
      <c r="A892" s="42">
        <v>1257</v>
      </c>
      <c r="B892" s="42">
        <v>17322</v>
      </c>
      <c r="C892" s="34" t="s">
        <v>1968</v>
      </c>
    </row>
    <row r="893" spans="1:3" ht="15.75" customHeight="1" x14ac:dyDescent="0.2">
      <c r="A893" s="42">
        <v>1258</v>
      </c>
      <c r="B893" s="42">
        <v>17322</v>
      </c>
      <c r="C893" s="34" t="s">
        <v>1969</v>
      </c>
    </row>
    <row r="894" spans="1:3" ht="15.75" customHeight="1" x14ac:dyDescent="0.2">
      <c r="A894" s="42">
        <v>1259</v>
      </c>
      <c r="B894" s="42">
        <v>17322</v>
      </c>
      <c r="C894" s="34" t="s">
        <v>1970</v>
      </c>
    </row>
    <row r="895" spans="1:3" ht="15.75" customHeight="1" x14ac:dyDescent="0.2">
      <c r="A895" s="42">
        <v>1260</v>
      </c>
      <c r="B895" s="42">
        <v>17322</v>
      </c>
      <c r="C895" s="34" t="s">
        <v>1971</v>
      </c>
    </row>
    <row r="896" spans="1:3" ht="15.75" customHeight="1" x14ac:dyDescent="0.2">
      <c r="A896" s="42">
        <v>1261</v>
      </c>
      <c r="B896" s="42">
        <v>17322</v>
      </c>
      <c r="C896" s="34" t="s">
        <v>1972</v>
      </c>
    </row>
    <row r="897" spans="1:3" ht="15.75" customHeight="1" x14ac:dyDescent="0.2">
      <c r="A897" s="42">
        <v>1262</v>
      </c>
      <c r="B897" s="42">
        <v>17322</v>
      </c>
      <c r="C897" s="34" t="s">
        <v>1973</v>
      </c>
    </row>
    <row r="898" spans="1:3" ht="15.75" customHeight="1" x14ac:dyDescent="0.2">
      <c r="A898" s="42">
        <v>1263</v>
      </c>
      <c r="B898" s="42">
        <v>17322</v>
      </c>
      <c r="C898" s="34" t="s">
        <v>1974</v>
      </c>
    </row>
    <row r="899" spans="1:3" ht="15.75" customHeight="1" x14ac:dyDescent="0.2">
      <c r="A899" s="42">
        <v>1264</v>
      </c>
      <c r="B899" s="42">
        <v>17322</v>
      </c>
      <c r="C899" s="34" t="s">
        <v>1975</v>
      </c>
    </row>
    <row r="900" spans="1:3" ht="15.75" customHeight="1" x14ac:dyDescent="0.2">
      <c r="A900" s="42">
        <v>1265</v>
      </c>
      <c r="B900" s="42">
        <v>17322</v>
      </c>
      <c r="C900" s="34" t="s">
        <v>1976</v>
      </c>
    </row>
    <row r="901" spans="1:3" ht="15.75" customHeight="1" x14ac:dyDescent="0.2">
      <c r="A901" s="42">
        <v>1266</v>
      </c>
      <c r="B901" s="42">
        <v>17322</v>
      </c>
      <c r="C901" s="34" t="s">
        <v>1977</v>
      </c>
    </row>
    <row r="902" spans="1:3" ht="15.75" customHeight="1" x14ac:dyDescent="0.2">
      <c r="A902" s="42">
        <v>1267</v>
      </c>
      <c r="B902" s="42">
        <v>17322</v>
      </c>
      <c r="C902" s="34" t="s">
        <v>1978</v>
      </c>
    </row>
    <row r="903" spans="1:3" ht="15.75" customHeight="1" x14ac:dyDescent="0.2">
      <c r="A903" s="42">
        <v>1268</v>
      </c>
      <c r="B903" s="42">
        <v>17322</v>
      </c>
      <c r="C903" s="34" t="s">
        <v>1979</v>
      </c>
    </row>
    <row r="904" spans="1:3" ht="15.75" customHeight="1" x14ac:dyDescent="0.2">
      <c r="A904" s="42">
        <v>1269</v>
      </c>
      <c r="B904" s="42">
        <v>17322</v>
      </c>
      <c r="C904" s="34" t="s">
        <v>1980</v>
      </c>
    </row>
    <row r="905" spans="1:3" ht="15.75" customHeight="1" x14ac:dyDescent="0.2">
      <c r="A905" s="42">
        <v>1270</v>
      </c>
      <c r="B905" s="42">
        <v>17322</v>
      </c>
      <c r="C905" s="34" t="s">
        <v>1981</v>
      </c>
    </row>
    <row r="906" spans="1:3" ht="15.75" customHeight="1" x14ac:dyDescent="0.2">
      <c r="A906" s="42">
        <v>1271</v>
      </c>
      <c r="B906" s="42">
        <v>17322</v>
      </c>
      <c r="C906" s="34" t="s">
        <v>1982</v>
      </c>
    </row>
    <row r="907" spans="1:3" ht="15.75" customHeight="1" x14ac:dyDescent="0.2">
      <c r="A907" s="42">
        <v>1272</v>
      </c>
      <c r="B907" s="42">
        <v>17322</v>
      </c>
      <c r="C907" s="34" t="s">
        <v>1983</v>
      </c>
    </row>
    <row r="908" spans="1:3" ht="15.75" customHeight="1" x14ac:dyDescent="0.2">
      <c r="A908" s="42">
        <v>1273</v>
      </c>
      <c r="B908" s="42">
        <v>17322</v>
      </c>
      <c r="C908" s="34" t="s">
        <v>1984</v>
      </c>
    </row>
    <row r="909" spans="1:3" ht="15.75" customHeight="1" x14ac:dyDescent="0.2">
      <c r="A909" s="42">
        <v>1274</v>
      </c>
      <c r="B909" s="42">
        <v>17322</v>
      </c>
      <c r="C909" s="34" t="s">
        <v>1985</v>
      </c>
    </row>
    <row r="910" spans="1:3" ht="15.75" customHeight="1" x14ac:dyDescent="0.2">
      <c r="A910" s="42">
        <v>1275</v>
      </c>
      <c r="B910" s="42">
        <v>17322</v>
      </c>
      <c r="C910" s="34" t="s">
        <v>1986</v>
      </c>
    </row>
    <row r="911" spans="1:3" ht="15.75" customHeight="1" x14ac:dyDescent="0.2">
      <c r="A911" s="42">
        <v>1276</v>
      </c>
      <c r="B911" s="42">
        <v>17322</v>
      </c>
      <c r="C911" s="34" t="s">
        <v>1987</v>
      </c>
    </row>
    <row r="912" spans="1:3" ht="15.75" customHeight="1" x14ac:dyDescent="0.2">
      <c r="A912" s="42">
        <v>1277</v>
      </c>
      <c r="B912" s="42">
        <v>17322</v>
      </c>
      <c r="C912" s="34" t="s">
        <v>1988</v>
      </c>
    </row>
    <row r="913" spans="1:3" ht="15.75" customHeight="1" x14ac:dyDescent="0.2">
      <c r="A913" s="42">
        <v>1278</v>
      </c>
      <c r="B913" s="42">
        <v>17322</v>
      </c>
      <c r="C913" s="34" t="s">
        <v>1989</v>
      </c>
    </row>
    <row r="914" spans="1:3" ht="15.75" customHeight="1" x14ac:dyDescent="0.2">
      <c r="A914" s="42">
        <v>1279</v>
      </c>
      <c r="B914" s="42">
        <v>17322</v>
      </c>
      <c r="C914" s="34" t="s">
        <v>1990</v>
      </c>
    </row>
    <row r="915" spans="1:3" ht="15.75" customHeight="1" x14ac:dyDescent="0.2">
      <c r="A915" s="42">
        <v>1280</v>
      </c>
      <c r="B915" s="42">
        <v>17322</v>
      </c>
      <c r="C915" s="34" t="s">
        <v>1991</v>
      </c>
    </row>
    <row r="916" spans="1:3" ht="15.75" customHeight="1" x14ac:dyDescent="0.2">
      <c r="A916" s="42">
        <v>1281</v>
      </c>
      <c r="B916" s="42">
        <v>17322</v>
      </c>
      <c r="C916" s="34" t="s">
        <v>1992</v>
      </c>
    </row>
    <row r="917" spans="1:3" ht="15.75" customHeight="1" x14ac:dyDescent="0.2">
      <c r="A917" s="42">
        <v>1282</v>
      </c>
      <c r="B917" s="42">
        <v>17322</v>
      </c>
      <c r="C917" s="34" t="s">
        <v>1993</v>
      </c>
    </row>
    <row r="918" spans="1:3" ht="15.75" customHeight="1" x14ac:dyDescent="0.2">
      <c r="A918" s="42">
        <v>1283</v>
      </c>
      <c r="B918" s="42">
        <v>17322</v>
      </c>
      <c r="C918" s="34" t="s">
        <v>1994</v>
      </c>
    </row>
    <row r="919" spans="1:3" ht="15.75" customHeight="1" x14ac:dyDescent="0.2">
      <c r="A919" s="42">
        <v>1284</v>
      </c>
      <c r="B919" s="42">
        <v>17322</v>
      </c>
      <c r="C919" s="34" t="s">
        <v>1995</v>
      </c>
    </row>
    <row r="920" spans="1:3" ht="15.75" customHeight="1" x14ac:dyDescent="0.2">
      <c r="A920" s="42">
        <v>1285</v>
      </c>
      <c r="B920" s="42">
        <v>17322</v>
      </c>
      <c r="C920" s="34" t="s">
        <v>1996</v>
      </c>
    </row>
    <row r="921" spans="1:3" ht="15.75" customHeight="1" x14ac:dyDescent="0.2">
      <c r="A921" s="42">
        <v>1286</v>
      </c>
      <c r="B921" s="42">
        <v>17322</v>
      </c>
      <c r="C921" s="34" t="s">
        <v>1997</v>
      </c>
    </row>
    <row r="922" spans="1:3" ht="15.75" customHeight="1" x14ac:dyDescent="0.2">
      <c r="A922" s="42">
        <v>1287</v>
      </c>
      <c r="B922" s="42">
        <v>17322</v>
      </c>
      <c r="C922" s="34" t="s">
        <v>1998</v>
      </c>
    </row>
    <row r="923" spans="1:3" ht="15.75" customHeight="1" x14ac:dyDescent="0.2">
      <c r="A923" s="42">
        <v>1288</v>
      </c>
      <c r="B923" s="42">
        <v>17322</v>
      </c>
      <c r="C923" s="34" t="s">
        <v>1999</v>
      </c>
    </row>
    <row r="924" spans="1:3" ht="15.75" customHeight="1" x14ac:dyDescent="0.2">
      <c r="A924" s="42">
        <v>1289</v>
      </c>
      <c r="B924" s="42">
        <v>17322</v>
      </c>
      <c r="C924" s="34" t="s">
        <v>2000</v>
      </c>
    </row>
    <row r="925" spans="1:3" ht="15.75" customHeight="1" x14ac:dyDescent="0.2">
      <c r="A925" s="42">
        <v>1290</v>
      </c>
      <c r="B925" s="42">
        <v>17322</v>
      </c>
      <c r="C925" s="34" t="s">
        <v>2001</v>
      </c>
    </row>
    <row r="926" spans="1:3" ht="15.75" customHeight="1" x14ac:dyDescent="0.2">
      <c r="A926" s="42">
        <v>1291</v>
      </c>
      <c r="B926" s="42">
        <v>17322</v>
      </c>
      <c r="C926" s="34" t="s">
        <v>2002</v>
      </c>
    </row>
    <row r="927" spans="1:3" ht="15.75" customHeight="1" x14ac:dyDescent="0.2">
      <c r="A927" s="42">
        <v>1292</v>
      </c>
      <c r="B927" s="42">
        <v>17322</v>
      </c>
      <c r="C927" s="34" t="s">
        <v>2003</v>
      </c>
    </row>
    <row r="928" spans="1:3" ht="15.75" customHeight="1" x14ac:dyDescent="0.2">
      <c r="A928" s="42">
        <v>1293</v>
      </c>
      <c r="B928" s="42">
        <v>17322</v>
      </c>
      <c r="C928" s="34" t="s">
        <v>2004</v>
      </c>
    </row>
    <row r="929" spans="1:3" ht="15.75" customHeight="1" x14ac:dyDescent="0.2">
      <c r="A929" s="42">
        <v>1294</v>
      </c>
      <c r="B929" s="42">
        <v>17322</v>
      </c>
      <c r="C929" s="34" t="s">
        <v>2005</v>
      </c>
    </row>
    <row r="930" spans="1:3" ht="15.75" customHeight="1" x14ac:dyDescent="0.2">
      <c r="A930" s="42">
        <v>1295</v>
      </c>
      <c r="B930" s="42">
        <v>17322</v>
      </c>
      <c r="C930" s="34" t="s">
        <v>2006</v>
      </c>
    </row>
    <row r="931" spans="1:3" ht="15.75" customHeight="1" x14ac:dyDescent="0.2">
      <c r="A931" s="42">
        <v>1296</v>
      </c>
      <c r="B931" s="42">
        <v>17322</v>
      </c>
      <c r="C931" s="34" t="s">
        <v>2007</v>
      </c>
    </row>
    <row r="932" spans="1:3" ht="15.75" customHeight="1" x14ac:dyDescent="0.2">
      <c r="A932" s="42">
        <v>1297</v>
      </c>
      <c r="B932" s="42">
        <v>17322</v>
      </c>
      <c r="C932" s="34" t="s">
        <v>2008</v>
      </c>
    </row>
    <row r="933" spans="1:3" ht="15.75" customHeight="1" x14ac:dyDescent="0.2">
      <c r="A933" s="42">
        <v>1298</v>
      </c>
      <c r="B933" s="42">
        <v>17322</v>
      </c>
      <c r="C933" s="34" t="s">
        <v>2009</v>
      </c>
    </row>
    <row r="934" spans="1:3" ht="15.75" customHeight="1" x14ac:dyDescent="0.2">
      <c r="A934" s="42">
        <v>1299</v>
      </c>
      <c r="B934" s="42">
        <v>17322</v>
      </c>
      <c r="C934" s="34" t="s">
        <v>2010</v>
      </c>
    </row>
    <row r="935" spans="1:3" ht="15.75" customHeight="1" x14ac:dyDescent="0.2">
      <c r="A935" s="42">
        <v>1300</v>
      </c>
      <c r="B935" s="42">
        <v>17322</v>
      </c>
      <c r="C935" s="34" t="s">
        <v>2011</v>
      </c>
    </row>
    <row r="936" spans="1:3" ht="15.75" customHeight="1" x14ac:dyDescent="0.2">
      <c r="A936" s="42">
        <v>1301</v>
      </c>
      <c r="B936" s="42">
        <v>17322</v>
      </c>
      <c r="C936" s="34" t="s">
        <v>2012</v>
      </c>
    </row>
    <row r="937" spans="1:3" ht="15.75" customHeight="1" x14ac:dyDescent="0.2">
      <c r="A937" s="42">
        <v>1302</v>
      </c>
      <c r="B937" s="42">
        <v>17322</v>
      </c>
      <c r="C937" s="34" t="s">
        <v>2013</v>
      </c>
    </row>
    <row r="938" spans="1:3" ht="15.75" customHeight="1" x14ac:dyDescent="0.2">
      <c r="A938" s="42">
        <v>1303</v>
      </c>
      <c r="B938" s="42">
        <v>17322</v>
      </c>
      <c r="C938" s="34" t="s">
        <v>2014</v>
      </c>
    </row>
    <row r="939" spans="1:3" ht="15.75" customHeight="1" x14ac:dyDescent="0.2">
      <c r="A939" s="42">
        <v>1304</v>
      </c>
      <c r="B939" s="42">
        <v>17322</v>
      </c>
      <c r="C939" s="34" t="s">
        <v>2015</v>
      </c>
    </row>
    <row r="940" spans="1:3" ht="15.75" customHeight="1" x14ac:dyDescent="0.2">
      <c r="A940" s="42">
        <v>1305</v>
      </c>
      <c r="B940" s="42">
        <v>17322</v>
      </c>
      <c r="C940" s="34" t="s">
        <v>1940</v>
      </c>
    </row>
    <row r="941" spans="1:3" ht="15.75" customHeight="1" x14ac:dyDescent="0.2">
      <c r="A941" s="42">
        <v>1306</v>
      </c>
      <c r="B941" s="42">
        <v>17322</v>
      </c>
      <c r="C941" s="34" t="s">
        <v>2016</v>
      </c>
    </row>
    <row r="942" spans="1:3" ht="15.75" customHeight="1" x14ac:dyDescent="0.2">
      <c r="A942" s="42">
        <v>1307</v>
      </c>
      <c r="B942" s="42">
        <v>17322</v>
      </c>
      <c r="C942" s="34" t="s">
        <v>2017</v>
      </c>
    </row>
    <row r="943" spans="1:3" ht="15.75" customHeight="1" x14ac:dyDescent="0.2">
      <c r="A943" s="42">
        <v>1308</v>
      </c>
      <c r="B943" s="42">
        <v>17322</v>
      </c>
      <c r="C943" s="34" t="s">
        <v>2018</v>
      </c>
    </row>
    <row r="944" spans="1:3" ht="15.75" customHeight="1" x14ac:dyDescent="0.2">
      <c r="A944" s="42">
        <v>1309</v>
      </c>
      <c r="B944" s="42">
        <v>17322</v>
      </c>
      <c r="C944" s="34" t="s">
        <v>2019</v>
      </c>
    </row>
    <row r="945" spans="1:3" ht="15.75" customHeight="1" x14ac:dyDescent="0.2">
      <c r="A945" s="42">
        <v>1310</v>
      </c>
      <c r="B945" s="42">
        <v>17322</v>
      </c>
      <c r="C945" s="34" t="s">
        <v>2020</v>
      </c>
    </row>
    <row r="946" spans="1:3" ht="15.75" customHeight="1" x14ac:dyDescent="0.2">
      <c r="A946" s="42">
        <v>1311</v>
      </c>
      <c r="B946" s="42">
        <v>17322</v>
      </c>
      <c r="C946" s="34" t="s">
        <v>2021</v>
      </c>
    </row>
    <row r="947" spans="1:3" ht="15.75" customHeight="1" x14ac:dyDescent="0.2">
      <c r="A947" s="42">
        <v>1312</v>
      </c>
      <c r="B947" s="42">
        <v>17322</v>
      </c>
      <c r="C947" s="34" t="s">
        <v>2022</v>
      </c>
    </row>
    <row r="948" spans="1:3" ht="15.75" customHeight="1" x14ac:dyDescent="0.2">
      <c r="A948" s="42">
        <v>1313</v>
      </c>
      <c r="B948" s="42">
        <v>17322</v>
      </c>
      <c r="C948" s="34" t="s">
        <v>2023</v>
      </c>
    </row>
    <row r="949" spans="1:3" ht="15.75" customHeight="1" x14ac:dyDescent="0.2">
      <c r="A949" s="42">
        <v>1314</v>
      </c>
      <c r="B949" s="42">
        <v>17322</v>
      </c>
      <c r="C949" s="34" t="s">
        <v>2024</v>
      </c>
    </row>
    <row r="950" spans="1:3" ht="15.75" customHeight="1" x14ac:dyDescent="0.2">
      <c r="A950" s="42">
        <v>1315</v>
      </c>
      <c r="B950" s="42">
        <v>17323</v>
      </c>
      <c r="C950" s="34" t="s">
        <v>2025</v>
      </c>
    </row>
    <row r="951" spans="1:3" ht="15.75" customHeight="1" x14ac:dyDescent="0.2">
      <c r="A951" s="42">
        <v>1316</v>
      </c>
      <c r="B951" s="42">
        <v>17323</v>
      </c>
      <c r="C951" s="34" t="s">
        <v>2026</v>
      </c>
    </row>
    <row r="952" spans="1:3" ht="15.75" customHeight="1" x14ac:dyDescent="0.2">
      <c r="A952" s="42">
        <v>1317</v>
      </c>
      <c r="B952" s="42">
        <v>17323</v>
      </c>
      <c r="C952" s="34" t="s">
        <v>2027</v>
      </c>
    </row>
    <row r="953" spans="1:3" ht="15.75" customHeight="1" x14ac:dyDescent="0.2">
      <c r="A953" s="42">
        <v>1318</v>
      </c>
      <c r="B953" s="42">
        <v>17323</v>
      </c>
      <c r="C953" s="34" t="s">
        <v>2028</v>
      </c>
    </row>
    <row r="954" spans="1:3" ht="15.75" customHeight="1" x14ac:dyDescent="0.2">
      <c r="A954" s="42">
        <v>1319</v>
      </c>
      <c r="B954" s="42">
        <v>17323</v>
      </c>
      <c r="C954" s="34" t="s">
        <v>2029</v>
      </c>
    </row>
    <row r="955" spans="1:3" ht="15.75" customHeight="1" x14ac:dyDescent="0.2">
      <c r="A955" s="42">
        <v>1320</v>
      </c>
      <c r="B955" s="42">
        <v>17323</v>
      </c>
      <c r="C955" s="34" t="s">
        <v>2030</v>
      </c>
    </row>
    <row r="956" spans="1:3" ht="15.75" customHeight="1" x14ac:dyDescent="0.2">
      <c r="A956" s="42">
        <v>1321</v>
      </c>
      <c r="B956" s="42">
        <v>17323</v>
      </c>
      <c r="C956" s="34" t="s">
        <v>2031</v>
      </c>
    </row>
    <row r="957" spans="1:3" ht="15.75" customHeight="1" x14ac:dyDescent="0.2">
      <c r="A957" s="42">
        <v>1322</v>
      </c>
      <c r="B957" s="42">
        <v>17323</v>
      </c>
      <c r="C957" s="34" t="s">
        <v>2032</v>
      </c>
    </row>
    <row r="958" spans="1:3" ht="15.75" customHeight="1" x14ac:dyDescent="0.2">
      <c r="A958" s="42">
        <v>1323</v>
      </c>
      <c r="B958" s="42">
        <v>17323</v>
      </c>
      <c r="C958" s="34" t="s">
        <v>2033</v>
      </c>
    </row>
    <row r="959" spans="1:3" ht="15.75" customHeight="1" x14ac:dyDescent="0.2">
      <c r="A959" s="42">
        <v>1324</v>
      </c>
      <c r="B959" s="42">
        <v>17323</v>
      </c>
      <c r="C959" s="34" t="s">
        <v>2034</v>
      </c>
    </row>
    <row r="960" spans="1:3" ht="15.75" customHeight="1" x14ac:dyDescent="0.2">
      <c r="A960" s="42">
        <v>1325</v>
      </c>
      <c r="B960" s="42">
        <v>17323</v>
      </c>
      <c r="C960" s="34" t="s">
        <v>2035</v>
      </c>
    </row>
    <row r="961" spans="1:3" ht="15.75" customHeight="1" x14ac:dyDescent="0.2">
      <c r="A961" s="42">
        <v>1326</v>
      </c>
      <c r="B961" s="42">
        <v>17323</v>
      </c>
      <c r="C961" s="34" t="s">
        <v>2036</v>
      </c>
    </row>
    <row r="962" spans="1:3" ht="15.75" customHeight="1" x14ac:dyDescent="0.2">
      <c r="A962" s="42">
        <v>1327</v>
      </c>
      <c r="B962" s="42">
        <v>17323</v>
      </c>
      <c r="C962" s="34" t="s">
        <v>2037</v>
      </c>
    </row>
    <row r="963" spans="1:3" ht="15.75" customHeight="1" x14ac:dyDescent="0.2">
      <c r="A963" s="42">
        <v>1328</v>
      </c>
      <c r="B963" s="42">
        <v>17323</v>
      </c>
      <c r="C963" s="34" t="s">
        <v>2038</v>
      </c>
    </row>
    <row r="964" spans="1:3" ht="15.75" customHeight="1" x14ac:dyDescent="0.2">
      <c r="A964" s="42">
        <v>1329</v>
      </c>
      <c r="B964" s="42">
        <v>17323</v>
      </c>
      <c r="C964" s="34" t="s">
        <v>2039</v>
      </c>
    </row>
    <row r="965" spans="1:3" ht="15.75" customHeight="1" x14ac:dyDescent="0.2">
      <c r="A965" s="42">
        <v>1330</v>
      </c>
      <c r="B965" s="42">
        <v>17323</v>
      </c>
      <c r="C965" s="34" t="s">
        <v>2040</v>
      </c>
    </row>
    <row r="966" spans="1:3" ht="15.75" customHeight="1" x14ac:dyDescent="0.2">
      <c r="A966" s="42">
        <v>1331</v>
      </c>
      <c r="B966" s="42">
        <v>17323</v>
      </c>
      <c r="C966" s="34" t="s">
        <v>2041</v>
      </c>
    </row>
    <row r="967" spans="1:3" ht="15.75" customHeight="1" x14ac:dyDescent="0.2">
      <c r="A967" s="42">
        <v>1332</v>
      </c>
      <c r="B967" s="42">
        <v>17323</v>
      </c>
      <c r="C967" s="34" t="s">
        <v>2042</v>
      </c>
    </row>
    <row r="968" spans="1:3" ht="15.75" customHeight="1" x14ac:dyDescent="0.2">
      <c r="A968" s="42">
        <v>1333</v>
      </c>
      <c r="B968" s="42">
        <v>17323</v>
      </c>
      <c r="C968" s="34" t="s">
        <v>2043</v>
      </c>
    </row>
    <row r="969" spans="1:3" ht="15.75" customHeight="1" x14ac:dyDescent="0.2">
      <c r="A969" s="42">
        <v>1334</v>
      </c>
      <c r="B969" s="42">
        <v>17323</v>
      </c>
      <c r="C969" s="34" t="s">
        <v>2044</v>
      </c>
    </row>
    <row r="970" spans="1:3" ht="15.75" customHeight="1" x14ac:dyDescent="0.2">
      <c r="A970" s="42">
        <v>1335</v>
      </c>
      <c r="B970" s="42">
        <v>17323</v>
      </c>
      <c r="C970" s="34" t="s">
        <v>2045</v>
      </c>
    </row>
    <row r="971" spans="1:3" ht="15.75" customHeight="1" x14ac:dyDescent="0.2">
      <c r="A971" s="42">
        <v>1336</v>
      </c>
      <c r="B971" s="42">
        <v>17323</v>
      </c>
      <c r="C971" s="34" t="s">
        <v>2046</v>
      </c>
    </row>
    <row r="972" spans="1:3" ht="15.75" customHeight="1" x14ac:dyDescent="0.2">
      <c r="A972" s="42">
        <v>1337</v>
      </c>
      <c r="B972" s="42">
        <v>17323</v>
      </c>
      <c r="C972" s="34" t="s">
        <v>2047</v>
      </c>
    </row>
    <row r="973" spans="1:3" ht="15.75" customHeight="1" x14ac:dyDescent="0.2">
      <c r="A973" s="42">
        <v>1338</v>
      </c>
      <c r="B973" s="42">
        <v>17323</v>
      </c>
      <c r="C973" s="34" t="s">
        <v>2048</v>
      </c>
    </row>
    <row r="974" spans="1:3" ht="15.75" customHeight="1" x14ac:dyDescent="0.2">
      <c r="A974" s="42">
        <v>1339</v>
      </c>
      <c r="B974" s="42">
        <v>17323</v>
      </c>
      <c r="C974" s="34" t="s">
        <v>2049</v>
      </c>
    </row>
    <row r="975" spans="1:3" ht="15.75" customHeight="1" x14ac:dyDescent="0.2">
      <c r="A975" s="42">
        <v>1340</v>
      </c>
      <c r="B975" s="42">
        <v>17323</v>
      </c>
      <c r="C975" s="34" t="s">
        <v>2050</v>
      </c>
    </row>
    <row r="976" spans="1:3" ht="15.75" customHeight="1" x14ac:dyDescent="0.2">
      <c r="A976" s="42">
        <v>1341</v>
      </c>
      <c r="B976" s="42">
        <v>17323</v>
      </c>
      <c r="C976" s="34" t="s">
        <v>2036</v>
      </c>
    </row>
    <row r="977" spans="1:3" ht="15.75" customHeight="1" x14ac:dyDescent="0.2">
      <c r="A977" s="42">
        <v>1342</v>
      </c>
      <c r="B977" s="42">
        <v>17323</v>
      </c>
      <c r="C977" s="34" t="s">
        <v>2051</v>
      </c>
    </row>
    <row r="978" spans="1:3" ht="15.75" customHeight="1" x14ac:dyDescent="0.2">
      <c r="A978" s="42">
        <v>1343</v>
      </c>
      <c r="B978" s="42">
        <v>17323</v>
      </c>
      <c r="C978" s="34" t="s">
        <v>2052</v>
      </c>
    </row>
    <row r="979" spans="1:3" ht="15.75" customHeight="1" x14ac:dyDescent="0.2">
      <c r="A979" s="42">
        <v>1344</v>
      </c>
      <c r="B979" s="42">
        <v>17323</v>
      </c>
      <c r="C979" s="34" t="s">
        <v>2043</v>
      </c>
    </row>
    <row r="980" spans="1:3" ht="15.75" customHeight="1" x14ac:dyDescent="0.2">
      <c r="A980" s="42">
        <v>1345</v>
      </c>
      <c r="B980" s="42">
        <v>17323</v>
      </c>
      <c r="C980" s="34" t="s">
        <v>2036</v>
      </c>
    </row>
    <row r="981" spans="1:3" ht="15.75" customHeight="1" x14ac:dyDescent="0.2">
      <c r="A981" s="42">
        <v>1346</v>
      </c>
      <c r="B981" s="42">
        <v>17323</v>
      </c>
      <c r="C981" s="34" t="s">
        <v>2053</v>
      </c>
    </row>
    <row r="982" spans="1:3" ht="15.75" customHeight="1" x14ac:dyDescent="0.2">
      <c r="A982" s="42">
        <v>1347</v>
      </c>
      <c r="B982" s="42">
        <v>17323</v>
      </c>
      <c r="C982" s="34" t="s">
        <v>2054</v>
      </c>
    </row>
    <row r="983" spans="1:3" ht="15.75" customHeight="1" x14ac:dyDescent="0.2">
      <c r="A983" s="42">
        <v>1348</v>
      </c>
      <c r="B983" s="42">
        <v>17323</v>
      </c>
      <c r="C983" s="34" t="s">
        <v>2055</v>
      </c>
    </row>
    <row r="984" spans="1:3" ht="15.75" customHeight="1" x14ac:dyDescent="0.2">
      <c r="A984" s="42">
        <v>1349</v>
      </c>
      <c r="B984" s="42">
        <v>17323</v>
      </c>
      <c r="C984" s="34" t="s">
        <v>2056</v>
      </c>
    </row>
    <row r="985" spans="1:3" ht="15.75" customHeight="1" x14ac:dyDescent="0.2">
      <c r="A985" s="42">
        <v>1350</v>
      </c>
      <c r="B985" s="42">
        <v>17323</v>
      </c>
      <c r="C985" s="34" t="s">
        <v>2057</v>
      </c>
    </row>
    <row r="986" spans="1:3" ht="15.75" customHeight="1" x14ac:dyDescent="0.2">
      <c r="A986" s="42">
        <v>1351</v>
      </c>
      <c r="B986" s="42">
        <v>17323</v>
      </c>
      <c r="C986" s="34" t="s">
        <v>2058</v>
      </c>
    </row>
    <row r="987" spans="1:3" ht="15.75" customHeight="1" x14ac:dyDescent="0.2">
      <c r="A987" s="42">
        <v>1352</v>
      </c>
      <c r="B987" s="42">
        <v>17323</v>
      </c>
      <c r="C987" s="34" t="s">
        <v>2059</v>
      </c>
    </row>
    <row r="988" spans="1:3" ht="15.75" customHeight="1" x14ac:dyDescent="0.2">
      <c r="A988" s="42">
        <v>1353</v>
      </c>
      <c r="B988" s="42">
        <v>17323</v>
      </c>
      <c r="C988" s="34" t="s">
        <v>2060</v>
      </c>
    </row>
    <row r="989" spans="1:3" ht="15.75" customHeight="1" x14ac:dyDescent="0.2">
      <c r="A989" s="42">
        <v>1354</v>
      </c>
      <c r="B989" s="42">
        <v>17323</v>
      </c>
      <c r="C989" s="34" t="s">
        <v>2061</v>
      </c>
    </row>
    <row r="990" spans="1:3" ht="15.75" customHeight="1" x14ac:dyDescent="0.2">
      <c r="A990" s="42">
        <v>1355</v>
      </c>
      <c r="B990" s="42">
        <v>17323</v>
      </c>
      <c r="C990" s="34" t="s">
        <v>2062</v>
      </c>
    </row>
    <row r="991" spans="1:3" ht="15.75" customHeight="1" x14ac:dyDescent="0.2">
      <c r="A991" s="42">
        <v>1356</v>
      </c>
      <c r="B991" s="42">
        <v>17323</v>
      </c>
      <c r="C991" s="34" t="s">
        <v>2063</v>
      </c>
    </row>
    <row r="992" spans="1:3" ht="15.75" customHeight="1" x14ac:dyDescent="0.2">
      <c r="A992" s="42">
        <v>1357</v>
      </c>
      <c r="B992" s="42">
        <v>17323</v>
      </c>
      <c r="C992" s="34" t="s">
        <v>2064</v>
      </c>
    </row>
    <row r="993" spans="1:3" ht="15.75" customHeight="1" x14ac:dyDescent="0.2">
      <c r="A993" s="42">
        <v>1358</v>
      </c>
      <c r="B993" s="42">
        <v>17323</v>
      </c>
      <c r="C993" s="34" t="s">
        <v>2065</v>
      </c>
    </row>
    <row r="994" spans="1:3" ht="15.75" customHeight="1" x14ac:dyDescent="0.2">
      <c r="A994" s="42">
        <v>1359</v>
      </c>
      <c r="B994" s="42">
        <v>17323</v>
      </c>
      <c r="C994" s="34" t="s">
        <v>2066</v>
      </c>
    </row>
    <row r="995" spans="1:3" ht="15.75" customHeight="1" x14ac:dyDescent="0.2">
      <c r="A995" s="42">
        <v>1360</v>
      </c>
      <c r="B995" s="42">
        <v>17323</v>
      </c>
      <c r="C995" s="34" t="s">
        <v>2067</v>
      </c>
    </row>
    <row r="996" spans="1:3" ht="15.75" customHeight="1" x14ac:dyDescent="0.2">
      <c r="A996" s="42">
        <v>1361</v>
      </c>
      <c r="B996" s="42">
        <v>17323</v>
      </c>
      <c r="C996" s="34" t="s">
        <v>2068</v>
      </c>
    </row>
    <row r="997" spans="1:3" ht="15.75" customHeight="1" x14ac:dyDescent="0.2">
      <c r="A997" s="42">
        <v>1362</v>
      </c>
      <c r="B997" s="42">
        <v>17323</v>
      </c>
      <c r="C997" s="34" t="s">
        <v>2069</v>
      </c>
    </row>
    <row r="998" spans="1:3" ht="15.75" customHeight="1" x14ac:dyDescent="0.2">
      <c r="A998" s="42">
        <v>1363</v>
      </c>
      <c r="B998" s="42">
        <v>17323</v>
      </c>
      <c r="C998" s="34" t="s">
        <v>2070</v>
      </c>
    </row>
    <row r="999" spans="1:3" ht="15.75" customHeight="1" x14ac:dyDescent="0.2">
      <c r="A999" s="42">
        <v>1364</v>
      </c>
      <c r="B999" s="42">
        <v>17323</v>
      </c>
      <c r="C999" s="34" t="s">
        <v>2071</v>
      </c>
    </row>
    <row r="1000" spans="1:3" ht="15.75" customHeight="1" x14ac:dyDescent="0.2">
      <c r="A1000" s="42">
        <v>1365</v>
      </c>
      <c r="B1000" s="42">
        <v>17323</v>
      </c>
      <c r="C1000" s="34" t="s">
        <v>2072</v>
      </c>
    </row>
    <row r="1001" spans="1:3" ht="15.75" customHeight="1" x14ac:dyDescent="0.2">
      <c r="A1001" s="42">
        <v>1366</v>
      </c>
      <c r="B1001" s="42">
        <v>17323</v>
      </c>
      <c r="C1001" s="34" t="s">
        <v>2040</v>
      </c>
    </row>
    <row r="1002" spans="1:3" ht="15.75" customHeight="1" x14ac:dyDescent="0.2">
      <c r="A1002" s="42">
        <v>1367</v>
      </c>
      <c r="B1002" s="42">
        <v>17323</v>
      </c>
      <c r="C1002" s="34" t="s">
        <v>2043</v>
      </c>
    </row>
    <row r="1003" spans="1:3" ht="15.75" customHeight="1" x14ac:dyDescent="0.2">
      <c r="A1003" s="42">
        <v>1368</v>
      </c>
      <c r="B1003" s="42">
        <v>17323</v>
      </c>
      <c r="C1003" s="34" t="s">
        <v>2044</v>
      </c>
    </row>
    <row r="1004" spans="1:3" ht="15.75" customHeight="1" x14ac:dyDescent="0.2">
      <c r="A1004" s="42">
        <v>1369</v>
      </c>
      <c r="B1004" s="42">
        <v>17323</v>
      </c>
      <c r="C1004" s="34" t="s">
        <v>2073</v>
      </c>
    </row>
    <row r="1005" spans="1:3" ht="15.75" customHeight="1" x14ac:dyDescent="0.2">
      <c r="A1005" s="42">
        <v>1370</v>
      </c>
      <c r="B1005" s="42">
        <v>17323</v>
      </c>
      <c r="C1005" s="34" t="s">
        <v>2074</v>
      </c>
    </row>
    <row r="1006" spans="1:3" ht="15.75" customHeight="1" x14ac:dyDescent="0.2">
      <c r="A1006" s="42">
        <v>1371</v>
      </c>
      <c r="B1006" s="42">
        <v>17323</v>
      </c>
      <c r="C1006" s="34" t="s">
        <v>2040</v>
      </c>
    </row>
    <row r="1007" spans="1:3" ht="15.75" customHeight="1" x14ac:dyDescent="0.2">
      <c r="A1007" s="42">
        <v>1372</v>
      </c>
      <c r="B1007" s="42">
        <v>17323</v>
      </c>
      <c r="C1007" s="34" t="s">
        <v>2075</v>
      </c>
    </row>
    <row r="1008" spans="1:3" ht="15.75" customHeight="1" x14ac:dyDescent="0.2">
      <c r="A1008" s="42">
        <v>1373</v>
      </c>
      <c r="B1008" s="42">
        <v>17323</v>
      </c>
      <c r="C1008" s="34" t="s">
        <v>2040</v>
      </c>
    </row>
    <row r="1009" spans="1:3" ht="15.75" customHeight="1" x14ac:dyDescent="0.2">
      <c r="A1009" s="42">
        <v>1374</v>
      </c>
      <c r="B1009" s="42">
        <v>17323</v>
      </c>
      <c r="C1009" s="34" t="s">
        <v>2076</v>
      </c>
    </row>
    <row r="1010" spans="1:3" ht="15.75" customHeight="1" x14ac:dyDescent="0.2">
      <c r="A1010" s="42">
        <v>1375</v>
      </c>
      <c r="B1010" s="42">
        <v>17323</v>
      </c>
      <c r="C1010" s="34" t="s">
        <v>2077</v>
      </c>
    </row>
    <row r="1011" spans="1:3" ht="15.75" customHeight="1" x14ac:dyDescent="0.2">
      <c r="A1011" s="42">
        <v>1376</v>
      </c>
      <c r="B1011" s="42">
        <v>17323</v>
      </c>
      <c r="C1011" s="34" t="s">
        <v>2078</v>
      </c>
    </row>
    <row r="1012" spans="1:3" ht="15.75" customHeight="1" x14ac:dyDescent="0.2">
      <c r="A1012" s="42">
        <v>1377</v>
      </c>
      <c r="B1012" s="42">
        <v>17323</v>
      </c>
      <c r="C1012" s="34" t="s">
        <v>2041</v>
      </c>
    </row>
    <row r="1013" spans="1:3" ht="15.75" customHeight="1" x14ac:dyDescent="0.2">
      <c r="A1013" s="42">
        <v>1378</v>
      </c>
      <c r="B1013" s="42">
        <v>17323</v>
      </c>
      <c r="C1013" s="34" t="s">
        <v>2079</v>
      </c>
    </row>
    <row r="1014" spans="1:3" ht="15.75" customHeight="1" x14ac:dyDescent="0.2">
      <c r="A1014" s="42">
        <v>1379</v>
      </c>
      <c r="B1014" s="42">
        <v>17323</v>
      </c>
      <c r="C1014" s="34" t="s">
        <v>2080</v>
      </c>
    </row>
    <row r="1015" spans="1:3" ht="15.75" customHeight="1" x14ac:dyDescent="0.2">
      <c r="A1015" s="42">
        <v>1380</v>
      </c>
      <c r="B1015" s="42">
        <v>17323</v>
      </c>
      <c r="C1015" s="34" t="s">
        <v>2039</v>
      </c>
    </row>
    <row r="1016" spans="1:3" ht="15.75" customHeight="1" x14ac:dyDescent="0.2">
      <c r="A1016" s="42">
        <v>1381</v>
      </c>
      <c r="B1016" s="42">
        <v>17323</v>
      </c>
      <c r="C1016" s="34" t="s">
        <v>2081</v>
      </c>
    </row>
    <row r="1017" spans="1:3" ht="15.75" customHeight="1" x14ac:dyDescent="0.2">
      <c r="A1017" s="42">
        <v>1382</v>
      </c>
      <c r="B1017" s="42">
        <v>17323</v>
      </c>
      <c r="C1017" s="34" t="s">
        <v>2078</v>
      </c>
    </row>
    <row r="1018" spans="1:3" ht="15.75" customHeight="1" x14ac:dyDescent="0.2">
      <c r="A1018" s="42">
        <v>1383</v>
      </c>
      <c r="B1018" s="42">
        <v>17323</v>
      </c>
      <c r="C1018" s="34" t="s">
        <v>2082</v>
      </c>
    </row>
    <row r="1019" spans="1:3" ht="15.75" customHeight="1" x14ac:dyDescent="0.2">
      <c r="A1019" s="42">
        <v>1384</v>
      </c>
      <c r="B1019" s="42">
        <v>17323</v>
      </c>
      <c r="C1019" s="34" t="s">
        <v>2083</v>
      </c>
    </row>
    <row r="1020" spans="1:3" ht="15.75" customHeight="1" x14ac:dyDescent="0.2">
      <c r="A1020" s="42">
        <v>1385</v>
      </c>
      <c r="B1020" s="42">
        <v>17323</v>
      </c>
      <c r="C1020" s="34" t="s">
        <v>2084</v>
      </c>
    </row>
    <row r="1021" spans="1:3" ht="15.75" customHeight="1" x14ac:dyDescent="0.2">
      <c r="A1021" s="42">
        <v>1386</v>
      </c>
      <c r="B1021" s="42">
        <v>17323</v>
      </c>
      <c r="C1021" s="34" t="s">
        <v>2085</v>
      </c>
    </row>
    <row r="1022" spans="1:3" ht="15.75" customHeight="1" x14ac:dyDescent="0.2">
      <c r="A1022" s="42">
        <v>1387</v>
      </c>
      <c r="B1022" s="42">
        <v>17323</v>
      </c>
      <c r="C1022" s="34" t="s">
        <v>2086</v>
      </c>
    </row>
    <row r="1023" spans="1:3" ht="15.75" customHeight="1" x14ac:dyDescent="0.2">
      <c r="A1023" s="42">
        <v>1388</v>
      </c>
      <c r="B1023" s="42">
        <v>17323</v>
      </c>
      <c r="C1023" s="34" t="s">
        <v>2078</v>
      </c>
    </row>
    <row r="1024" spans="1:3" ht="15.75" customHeight="1" x14ac:dyDescent="0.2">
      <c r="A1024" s="42">
        <v>1389</v>
      </c>
      <c r="B1024" s="42">
        <v>17323</v>
      </c>
      <c r="C1024" s="34" t="s">
        <v>2087</v>
      </c>
    </row>
    <row r="1025" spans="1:3" ht="15.75" customHeight="1" x14ac:dyDescent="0.2">
      <c r="A1025" s="42">
        <v>1390</v>
      </c>
      <c r="B1025" s="42">
        <v>17323</v>
      </c>
      <c r="C1025" s="34" t="s">
        <v>2088</v>
      </c>
    </row>
    <row r="1026" spans="1:3" ht="15.75" customHeight="1" x14ac:dyDescent="0.2">
      <c r="A1026" s="42">
        <v>1391</v>
      </c>
      <c r="B1026" s="42">
        <v>17323</v>
      </c>
      <c r="C1026" s="34" t="s">
        <v>2089</v>
      </c>
    </row>
    <row r="1027" spans="1:3" ht="15.75" customHeight="1" x14ac:dyDescent="0.2">
      <c r="A1027" s="42">
        <v>1392</v>
      </c>
      <c r="B1027" s="42">
        <v>17323</v>
      </c>
      <c r="C1027" s="34" t="s">
        <v>2090</v>
      </c>
    </row>
    <row r="1028" spans="1:3" ht="15.75" customHeight="1" x14ac:dyDescent="0.2">
      <c r="A1028" s="42">
        <v>1393</v>
      </c>
      <c r="B1028" s="42">
        <v>17323</v>
      </c>
      <c r="C1028" s="34" t="s">
        <v>2083</v>
      </c>
    </row>
    <row r="1029" spans="1:3" ht="15.75" customHeight="1" x14ac:dyDescent="0.2">
      <c r="A1029" s="42">
        <v>1394</v>
      </c>
      <c r="B1029" s="42">
        <v>17323</v>
      </c>
      <c r="C1029" s="34" t="s">
        <v>2091</v>
      </c>
    </row>
    <row r="1030" spans="1:3" ht="15.75" customHeight="1" x14ac:dyDescent="0.2">
      <c r="A1030" s="42">
        <v>1395</v>
      </c>
      <c r="B1030" s="42">
        <v>17323</v>
      </c>
      <c r="C1030" s="34" t="s">
        <v>2092</v>
      </c>
    </row>
    <row r="1031" spans="1:3" ht="15.75" customHeight="1" x14ac:dyDescent="0.2">
      <c r="A1031" s="42">
        <v>1396</v>
      </c>
      <c r="B1031" s="42">
        <v>17323</v>
      </c>
      <c r="C1031" s="34" t="s">
        <v>2045</v>
      </c>
    </row>
    <row r="1032" spans="1:3" ht="15.75" customHeight="1" x14ac:dyDescent="0.2">
      <c r="A1032" s="42">
        <v>1397</v>
      </c>
      <c r="B1032" s="42">
        <v>17323</v>
      </c>
      <c r="C1032" s="34" t="s">
        <v>2044</v>
      </c>
    </row>
    <row r="1033" spans="1:3" ht="15.75" customHeight="1" x14ac:dyDescent="0.2">
      <c r="A1033" s="42">
        <v>1398</v>
      </c>
      <c r="B1033" s="42">
        <v>17323</v>
      </c>
      <c r="C1033" s="34" t="s">
        <v>2031</v>
      </c>
    </row>
    <row r="1034" spans="1:3" ht="15.75" customHeight="1" x14ac:dyDescent="0.2">
      <c r="A1034" s="42">
        <v>1399</v>
      </c>
      <c r="B1034" s="42">
        <v>17323</v>
      </c>
      <c r="C1034" s="34" t="s">
        <v>2093</v>
      </c>
    </row>
    <row r="1035" spans="1:3" ht="15.75" customHeight="1" x14ac:dyDescent="0.2">
      <c r="A1035" s="42">
        <v>1400</v>
      </c>
      <c r="B1035" s="42">
        <v>17323</v>
      </c>
      <c r="C1035" s="34" t="s">
        <v>2094</v>
      </c>
    </row>
    <row r="1036" spans="1:3" ht="15.75" customHeight="1" x14ac:dyDescent="0.2">
      <c r="A1036" s="42">
        <v>1401</v>
      </c>
      <c r="B1036" s="42">
        <v>17323</v>
      </c>
      <c r="C1036" s="34" t="s">
        <v>2095</v>
      </c>
    </row>
    <row r="1037" spans="1:3" ht="15.75" customHeight="1" x14ac:dyDescent="0.2">
      <c r="A1037" s="42">
        <v>1402</v>
      </c>
      <c r="B1037" s="42">
        <v>17323</v>
      </c>
      <c r="C1037" s="34" t="s">
        <v>2096</v>
      </c>
    </row>
    <row r="1038" spans="1:3" ht="15.75" customHeight="1" x14ac:dyDescent="0.2">
      <c r="A1038" s="42">
        <v>1403</v>
      </c>
      <c r="B1038" s="42">
        <v>17323</v>
      </c>
      <c r="C1038" s="34" t="s">
        <v>2097</v>
      </c>
    </row>
    <row r="1039" spans="1:3" ht="15.75" customHeight="1" x14ac:dyDescent="0.2">
      <c r="A1039" s="42">
        <v>1404</v>
      </c>
      <c r="B1039" s="42">
        <v>17323</v>
      </c>
      <c r="C1039" s="34" t="s">
        <v>2098</v>
      </c>
    </row>
    <row r="1040" spans="1:3" ht="15.75" customHeight="1" x14ac:dyDescent="0.2">
      <c r="A1040" s="42">
        <v>1405</v>
      </c>
      <c r="B1040" s="42">
        <v>17323</v>
      </c>
      <c r="C1040" s="34" t="s">
        <v>2099</v>
      </c>
    </row>
    <row r="1041" spans="1:3" ht="15.75" customHeight="1" x14ac:dyDescent="0.2">
      <c r="A1041" s="42">
        <v>1406</v>
      </c>
      <c r="B1041" s="42">
        <v>17323</v>
      </c>
      <c r="C1041" s="34" t="s">
        <v>2100</v>
      </c>
    </row>
    <row r="1042" spans="1:3" ht="15.75" customHeight="1" x14ac:dyDescent="0.2">
      <c r="A1042" s="42">
        <v>1407</v>
      </c>
      <c r="B1042" s="42">
        <v>17323</v>
      </c>
      <c r="C1042" s="34" t="s">
        <v>2101</v>
      </c>
    </row>
    <row r="1043" spans="1:3" ht="15.75" customHeight="1" x14ac:dyDescent="0.2">
      <c r="A1043" s="42">
        <v>1408</v>
      </c>
      <c r="B1043" s="42">
        <v>17324</v>
      </c>
      <c r="C1043" s="34" t="s">
        <v>2102</v>
      </c>
    </row>
    <row r="1044" spans="1:3" ht="15.75" customHeight="1" x14ac:dyDescent="0.2">
      <c r="A1044" s="42">
        <v>1409</v>
      </c>
      <c r="B1044" s="42">
        <v>17324</v>
      </c>
      <c r="C1044" s="34" t="s">
        <v>2103</v>
      </c>
    </row>
    <row r="1045" spans="1:3" ht="15.75" customHeight="1" x14ac:dyDescent="0.2">
      <c r="A1045" s="42">
        <v>1410</v>
      </c>
      <c r="B1045" s="42">
        <v>17324</v>
      </c>
      <c r="C1045" s="34" t="s">
        <v>2104</v>
      </c>
    </row>
    <row r="1046" spans="1:3" ht="15.75" customHeight="1" x14ac:dyDescent="0.2">
      <c r="A1046" s="42">
        <v>1411</v>
      </c>
      <c r="B1046" s="42">
        <v>17324</v>
      </c>
      <c r="C1046" s="34" t="s">
        <v>2105</v>
      </c>
    </row>
    <row r="1047" spans="1:3" ht="15.75" customHeight="1" x14ac:dyDescent="0.2">
      <c r="A1047" s="42">
        <v>1412</v>
      </c>
      <c r="B1047" s="42">
        <v>17324</v>
      </c>
      <c r="C1047" s="34" t="s">
        <v>2106</v>
      </c>
    </row>
    <row r="1048" spans="1:3" ht="15.75" customHeight="1" x14ac:dyDescent="0.2">
      <c r="A1048" s="42">
        <v>1413</v>
      </c>
      <c r="B1048" s="42">
        <v>17324</v>
      </c>
      <c r="C1048" s="34" t="s">
        <v>2107</v>
      </c>
    </row>
    <row r="1049" spans="1:3" ht="15.75" customHeight="1" x14ac:dyDescent="0.2">
      <c r="A1049" s="42">
        <v>1414</v>
      </c>
      <c r="B1049" s="42">
        <v>17324</v>
      </c>
      <c r="C1049" s="34" t="s">
        <v>2108</v>
      </c>
    </row>
    <row r="1050" spans="1:3" ht="15.75" customHeight="1" x14ac:dyDescent="0.2">
      <c r="A1050" s="42">
        <v>1415</v>
      </c>
      <c r="B1050" s="42">
        <v>17324</v>
      </c>
      <c r="C1050" s="34" t="s">
        <v>2109</v>
      </c>
    </row>
    <row r="1051" spans="1:3" ht="15.75" customHeight="1" x14ac:dyDescent="0.2">
      <c r="A1051" s="42">
        <v>1416</v>
      </c>
      <c r="B1051" s="42">
        <v>17324</v>
      </c>
      <c r="C1051" s="34" t="s">
        <v>2110</v>
      </c>
    </row>
    <row r="1052" spans="1:3" ht="15.75" customHeight="1" x14ac:dyDescent="0.2">
      <c r="A1052" s="42">
        <v>1417</v>
      </c>
      <c r="B1052" s="42">
        <v>17324</v>
      </c>
      <c r="C1052" s="34" t="s">
        <v>2111</v>
      </c>
    </row>
    <row r="1053" spans="1:3" ht="15.75" customHeight="1" x14ac:dyDescent="0.2">
      <c r="A1053" s="42">
        <v>1418</v>
      </c>
      <c r="B1053" s="42">
        <v>17324</v>
      </c>
      <c r="C1053" s="34" t="s">
        <v>2112</v>
      </c>
    </row>
    <row r="1054" spans="1:3" ht="15.75" customHeight="1" x14ac:dyDescent="0.2">
      <c r="A1054" s="42">
        <v>1419</v>
      </c>
      <c r="B1054" s="42">
        <v>17324</v>
      </c>
      <c r="C1054" s="34" t="s">
        <v>2113</v>
      </c>
    </row>
    <row r="1055" spans="1:3" ht="15.75" customHeight="1" x14ac:dyDescent="0.2">
      <c r="A1055" s="42">
        <v>1420</v>
      </c>
      <c r="B1055" s="42">
        <v>17324</v>
      </c>
      <c r="C1055" s="34" t="s">
        <v>2114</v>
      </c>
    </row>
    <row r="1056" spans="1:3" ht="15.75" customHeight="1" x14ac:dyDescent="0.2">
      <c r="A1056" s="42">
        <v>1421</v>
      </c>
      <c r="B1056" s="42">
        <v>17324</v>
      </c>
      <c r="C1056" s="34" t="s">
        <v>2115</v>
      </c>
    </row>
    <row r="1057" spans="1:3" ht="15.75" customHeight="1" x14ac:dyDescent="0.2">
      <c r="A1057" s="42">
        <v>1422</v>
      </c>
      <c r="B1057" s="42">
        <v>17324</v>
      </c>
      <c r="C1057" s="34" t="s">
        <v>2116</v>
      </c>
    </row>
    <row r="1058" spans="1:3" ht="15.75" customHeight="1" x14ac:dyDescent="0.2">
      <c r="A1058" s="42">
        <v>1423</v>
      </c>
      <c r="B1058" s="42">
        <v>17324</v>
      </c>
      <c r="C1058" s="34" t="s">
        <v>2117</v>
      </c>
    </row>
    <row r="1059" spans="1:3" ht="15.75" customHeight="1" x14ac:dyDescent="0.2">
      <c r="A1059" s="42">
        <v>1424</v>
      </c>
      <c r="B1059" s="42">
        <v>17324</v>
      </c>
      <c r="C1059" s="34" t="s">
        <v>2118</v>
      </c>
    </row>
    <row r="1060" spans="1:3" ht="15.75" customHeight="1" x14ac:dyDescent="0.2">
      <c r="A1060" s="42">
        <v>1425</v>
      </c>
      <c r="B1060" s="42">
        <v>17324</v>
      </c>
      <c r="C1060" s="34" t="s">
        <v>2119</v>
      </c>
    </row>
    <row r="1061" spans="1:3" ht="15.75" customHeight="1" x14ac:dyDescent="0.2">
      <c r="A1061" s="42">
        <v>1426</v>
      </c>
      <c r="B1061" s="42">
        <v>17324</v>
      </c>
      <c r="C1061" s="34" t="s">
        <v>2120</v>
      </c>
    </row>
    <row r="1062" spans="1:3" ht="15.75" customHeight="1" x14ac:dyDescent="0.2">
      <c r="A1062" s="42">
        <v>1427</v>
      </c>
      <c r="B1062" s="42">
        <v>17324</v>
      </c>
      <c r="C1062" s="34" t="s">
        <v>2121</v>
      </c>
    </row>
    <row r="1063" spans="1:3" ht="15.75" customHeight="1" x14ac:dyDescent="0.2">
      <c r="A1063" s="42">
        <v>1428</v>
      </c>
      <c r="B1063" s="42">
        <v>17324</v>
      </c>
      <c r="C1063" s="34" t="s">
        <v>2122</v>
      </c>
    </row>
    <row r="1064" spans="1:3" ht="15.75" customHeight="1" x14ac:dyDescent="0.2">
      <c r="A1064" s="42">
        <v>1429</v>
      </c>
      <c r="B1064" s="42">
        <v>17324</v>
      </c>
      <c r="C1064" s="34" t="s">
        <v>2123</v>
      </c>
    </row>
    <row r="1065" spans="1:3" ht="15.75" customHeight="1" x14ac:dyDescent="0.2">
      <c r="A1065" s="42">
        <v>1430</v>
      </c>
      <c r="B1065" s="42">
        <v>17324</v>
      </c>
      <c r="C1065" s="34" t="s">
        <v>2124</v>
      </c>
    </row>
    <row r="1066" spans="1:3" ht="15.75" customHeight="1" x14ac:dyDescent="0.2">
      <c r="A1066" s="42">
        <v>1431</v>
      </c>
      <c r="B1066" s="42">
        <v>17324</v>
      </c>
      <c r="C1066" s="34" t="s">
        <v>2125</v>
      </c>
    </row>
    <row r="1067" spans="1:3" ht="15.75" customHeight="1" x14ac:dyDescent="0.2">
      <c r="A1067" s="42">
        <v>1432</v>
      </c>
      <c r="B1067" s="42">
        <v>17324</v>
      </c>
      <c r="C1067" s="34" t="s">
        <v>2126</v>
      </c>
    </row>
    <row r="1068" spans="1:3" ht="15.75" customHeight="1" x14ac:dyDescent="0.2">
      <c r="A1068" s="42">
        <v>1433</v>
      </c>
      <c r="B1068" s="42">
        <v>17324</v>
      </c>
      <c r="C1068" s="34" t="s">
        <v>2127</v>
      </c>
    </row>
    <row r="1069" spans="1:3" ht="15.75" customHeight="1" x14ac:dyDescent="0.2">
      <c r="A1069" s="42">
        <v>1434</v>
      </c>
      <c r="B1069" s="42">
        <v>17324</v>
      </c>
      <c r="C1069" s="34" t="s">
        <v>2128</v>
      </c>
    </row>
    <row r="1070" spans="1:3" ht="15.75" customHeight="1" x14ac:dyDescent="0.2">
      <c r="A1070" s="42">
        <v>1435</v>
      </c>
      <c r="B1070" s="42">
        <v>17324</v>
      </c>
      <c r="C1070" s="34" t="s">
        <v>2129</v>
      </c>
    </row>
    <row r="1071" spans="1:3" ht="15.75" customHeight="1" x14ac:dyDescent="0.2">
      <c r="A1071" s="42">
        <v>1436</v>
      </c>
      <c r="B1071" s="42">
        <v>17324</v>
      </c>
      <c r="C1071" s="34" t="s">
        <v>2130</v>
      </c>
    </row>
    <row r="1072" spans="1:3" ht="15.75" customHeight="1" x14ac:dyDescent="0.2">
      <c r="A1072" s="42">
        <v>1437</v>
      </c>
      <c r="B1072" s="42">
        <v>17324</v>
      </c>
      <c r="C1072" s="34" t="s">
        <v>2131</v>
      </c>
    </row>
    <row r="1073" spans="1:3" ht="15.75" customHeight="1" x14ac:dyDescent="0.2">
      <c r="A1073" s="42">
        <v>1438</v>
      </c>
      <c r="B1073" s="42">
        <v>17324</v>
      </c>
      <c r="C1073" s="34" t="s">
        <v>2132</v>
      </c>
    </row>
    <row r="1074" spans="1:3" ht="15.75" customHeight="1" x14ac:dyDescent="0.2">
      <c r="A1074" s="42">
        <v>1439</v>
      </c>
      <c r="B1074" s="42">
        <v>17324</v>
      </c>
      <c r="C1074" s="34" t="s">
        <v>2133</v>
      </c>
    </row>
    <row r="1075" spans="1:3" ht="15.75" customHeight="1" x14ac:dyDescent="0.2">
      <c r="A1075" s="42">
        <v>1440</v>
      </c>
      <c r="B1075" s="42">
        <v>17324</v>
      </c>
      <c r="C1075" s="34" t="s">
        <v>2134</v>
      </c>
    </row>
    <row r="1076" spans="1:3" ht="15.75" customHeight="1" x14ac:dyDescent="0.2">
      <c r="A1076" s="42">
        <v>1441</v>
      </c>
      <c r="B1076" s="42">
        <v>17324</v>
      </c>
      <c r="C1076" s="34" t="s">
        <v>2135</v>
      </c>
    </row>
    <row r="1077" spans="1:3" ht="15.75" customHeight="1" x14ac:dyDescent="0.2">
      <c r="A1077" s="42">
        <v>1442</v>
      </c>
      <c r="B1077" s="42">
        <v>17324</v>
      </c>
      <c r="C1077" s="34" t="s">
        <v>2136</v>
      </c>
    </row>
    <row r="1078" spans="1:3" ht="15.75" customHeight="1" x14ac:dyDescent="0.2">
      <c r="A1078" s="42">
        <v>1443</v>
      </c>
      <c r="B1078" s="42">
        <v>17324</v>
      </c>
      <c r="C1078" s="34" t="s">
        <v>2137</v>
      </c>
    </row>
    <row r="1079" spans="1:3" ht="15.75" customHeight="1" x14ac:dyDescent="0.2">
      <c r="A1079" s="42">
        <v>1444</v>
      </c>
      <c r="B1079" s="42">
        <v>17324</v>
      </c>
      <c r="C1079" s="34" t="s">
        <v>2138</v>
      </c>
    </row>
    <row r="1080" spans="1:3" ht="15.75" customHeight="1" x14ac:dyDescent="0.2">
      <c r="A1080" s="42">
        <v>1445</v>
      </c>
      <c r="B1080" s="42">
        <v>17324</v>
      </c>
      <c r="C1080" s="34" t="s">
        <v>2139</v>
      </c>
    </row>
    <row r="1081" spans="1:3" ht="15.75" customHeight="1" x14ac:dyDescent="0.2">
      <c r="A1081" s="42">
        <v>1446</v>
      </c>
      <c r="B1081" s="42">
        <v>17324</v>
      </c>
      <c r="C1081" s="34" t="s">
        <v>2140</v>
      </c>
    </row>
    <row r="1082" spans="1:3" ht="15.75" customHeight="1" x14ac:dyDescent="0.2">
      <c r="A1082" s="42">
        <v>1447</v>
      </c>
      <c r="B1082" s="42">
        <v>17324</v>
      </c>
      <c r="C1082" s="34" t="s">
        <v>2141</v>
      </c>
    </row>
    <row r="1083" spans="1:3" ht="15.75" customHeight="1" x14ac:dyDescent="0.2">
      <c r="A1083" s="42">
        <v>1448</v>
      </c>
      <c r="B1083" s="42">
        <v>17324</v>
      </c>
      <c r="C1083" s="34" t="s">
        <v>2142</v>
      </c>
    </row>
    <row r="1084" spans="1:3" ht="15.75" customHeight="1" x14ac:dyDescent="0.2">
      <c r="A1084" s="42">
        <v>1449</v>
      </c>
      <c r="B1084" s="42">
        <v>17324</v>
      </c>
      <c r="C1084" s="34" t="s">
        <v>2143</v>
      </c>
    </row>
    <row r="1085" spans="1:3" ht="15.75" customHeight="1" x14ac:dyDescent="0.2">
      <c r="A1085" s="42">
        <v>1450</v>
      </c>
      <c r="B1085" s="42">
        <v>17324</v>
      </c>
      <c r="C1085" s="34" t="s">
        <v>2144</v>
      </c>
    </row>
    <row r="1086" spans="1:3" ht="15.75" customHeight="1" x14ac:dyDescent="0.2">
      <c r="A1086" s="42">
        <v>1451</v>
      </c>
      <c r="B1086" s="42">
        <v>17324</v>
      </c>
      <c r="C1086" s="34" t="s">
        <v>2116</v>
      </c>
    </row>
    <row r="1087" spans="1:3" ht="15.75" customHeight="1" x14ac:dyDescent="0.2">
      <c r="A1087" s="42">
        <v>1452</v>
      </c>
      <c r="B1087" s="42">
        <v>17324</v>
      </c>
      <c r="C1087" s="34" t="s">
        <v>2145</v>
      </c>
    </row>
    <row r="1088" spans="1:3" ht="15.75" customHeight="1" x14ac:dyDescent="0.2">
      <c r="A1088" s="42">
        <v>1453</v>
      </c>
      <c r="B1088" s="42">
        <v>17324</v>
      </c>
      <c r="C1088" s="34" t="s">
        <v>2146</v>
      </c>
    </row>
    <row r="1089" spans="1:3" ht="15.75" customHeight="1" x14ac:dyDescent="0.2">
      <c r="A1089" s="42">
        <v>1454</v>
      </c>
      <c r="B1089" s="42">
        <v>17324</v>
      </c>
      <c r="C1089" s="34" t="s">
        <v>2147</v>
      </c>
    </row>
    <row r="1090" spans="1:3" ht="15.75" customHeight="1" x14ac:dyDescent="0.2">
      <c r="A1090" s="42">
        <v>1455</v>
      </c>
      <c r="B1090" s="42">
        <v>17324</v>
      </c>
      <c r="C1090" s="34" t="s">
        <v>2148</v>
      </c>
    </row>
    <row r="1091" spans="1:3" ht="15.75" customHeight="1" x14ac:dyDescent="0.2">
      <c r="A1091" s="42">
        <v>1456</v>
      </c>
      <c r="B1091" s="42">
        <v>17324</v>
      </c>
      <c r="C1091" s="34" t="s">
        <v>2149</v>
      </c>
    </row>
    <row r="1092" spans="1:3" ht="15.75" customHeight="1" x14ac:dyDescent="0.2">
      <c r="A1092" s="42">
        <v>1457</v>
      </c>
      <c r="B1092" s="42">
        <v>17324</v>
      </c>
      <c r="C1092" s="34" t="s">
        <v>2150</v>
      </c>
    </row>
    <row r="1093" spans="1:3" ht="15.75" customHeight="1" x14ac:dyDescent="0.2">
      <c r="A1093" s="42">
        <v>1458</v>
      </c>
      <c r="B1093" s="42">
        <v>17324</v>
      </c>
      <c r="C1093" s="34" t="s">
        <v>2151</v>
      </c>
    </row>
    <row r="1094" spans="1:3" ht="15.75" customHeight="1" x14ac:dyDescent="0.2">
      <c r="A1094" s="42">
        <v>1459</v>
      </c>
      <c r="B1094" s="42">
        <v>17324</v>
      </c>
      <c r="C1094" s="34" t="s">
        <v>2152</v>
      </c>
    </row>
    <row r="1095" spans="1:3" ht="15.75" customHeight="1" x14ac:dyDescent="0.2">
      <c r="A1095" s="42">
        <v>1460</v>
      </c>
      <c r="B1095" s="42">
        <v>17324</v>
      </c>
      <c r="C1095" s="34" t="s">
        <v>2153</v>
      </c>
    </row>
    <row r="1096" spans="1:3" ht="15.75" customHeight="1" x14ac:dyDescent="0.2">
      <c r="A1096" s="42">
        <v>1461</v>
      </c>
      <c r="B1096" s="42">
        <v>17324</v>
      </c>
      <c r="C1096" s="34" t="s">
        <v>2154</v>
      </c>
    </row>
    <row r="1097" spans="1:3" ht="15.75" customHeight="1" x14ac:dyDescent="0.2">
      <c r="A1097" s="42">
        <v>1462</v>
      </c>
      <c r="B1097" s="42">
        <v>17324</v>
      </c>
      <c r="C1097" s="34" t="s">
        <v>2155</v>
      </c>
    </row>
    <row r="1098" spans="1:3" ht="15.75" customHeight="1" x14ac:dyDescent="0.2">
      <c r="A1098" s="42">
        <v>1463</v>
      </c>
      <c r="B1098" s="42">
        <v>17324</v>
      </c>
      <c r="C1098" s="34" t="s">
        <v>2156</v>
      </c>
    </row>
    <row r="1099" spans="1:3" ht="15.75" customHeight="1" x14ac:dyDescent="0.2">
      <c r="A1099" s="42">
        <v>1464</v>
      </c>
      <c r="B1099" s="42">
        <v>17324</v>
      </c>
      <c r="C1099" s="34" t="s">
        <v>2141</v>
      </c>
    </row>
    <row r="1100" spans="1:3" ht="15.75" customHeight="1" x14ac:dyDescent="0.2">
      <c r="A1100" s="42">
        <v>1465</v>
      </c>
      <c r="B1100" s="42">
        <v>17324</v>
      </c>
      <c r="C1100" s="34" t="s">
        <v>2157</v>
      </c>
    </row>
    <row r="1101" spans="1:3" ht="15.75" customHeight="1" x14ac:dyDescent="0.2">
      <c r="A1101" s="42">
        <v>1466</v>
      </c>
      <c r="B1101" s="42">
        <v>17324</v>
      </c>
      <c r="C1101" s="34" t="s">
        <v>2158</v>
      </c>
    </row>
    <row r="1102" spans="1:3" ht="15.75" customHeight="1" x14ac:dyDescent="0.2">
      <c r="A1102" s="42">
        <v>1467</v>
      </c>
      <c r="B1102" s="42">
        <v>17324</v>
      </c>
      <c r="C1102" s="34" t="s">
        <v>2159</v>
      </c>
    </row>
    <row r="1103" spans="1:3" ht="15.75" customHeight="1" x14ac:dyDescent="0.2">
      <c r="A1103" s="42">
        <v>1468</v>
      </c>
      <c r="B1103" s="42">
        <v>17324</v>
      </c>
      <c r="C1103" s="34" t="s">
        <v>2160</v>
      </c>
    </row>
    <row r="1104" spans="1:3" ht="15.75" customHeight="1" x14ac:dyDescent="0.2">
      <c r="A1104" s="42">
        <v>1469</v>
      </c>
      <c r="B1104" s="42">
        <v>17324</v>
      </c>
      <c r="C1104" s="34" t="s">
        <v>2161</v>
      </c>
    </row>
    <row r="1105" spans="1:3" ht="15.75" customHeight="1" x14ac:dyDescent="0.2">
      <c r="A1105" s="42">
        <v>1470</v>
      </c>
      <c r="B1105" s="42">
        <v>17324</v>
      </c>
      <c r="C1105" s="34" t="s">
        <v>2162</v>
      </c>
    </row>
    <row r="1106" spans="1:3" ht="15.75" customHeight="1" x14ac:dyDescent="0.2">
      <c r="A1106" s="42">
        <v>1471</v>
      </c>
      <c r="B1106" s="42">
        <v>17324</v>
      </c>
      <c r="C1106" s="34" t="s">
        <v>2163</v>
      </c>
    </row>
    <row r="1107" spans="1:3" ht="15.75" customHeight="1" x14ac:dyDescent="0.2">
      <c r="A1107" s="42">
        <v>1472</v>
      </c>
      <c r="B1107" s="42">
        <v>17324</v>
      </c>
      <c r="C1107" s="34" t="s">
        <v>2164</v>
      </c>
    </row>
    <row r="1108" spans="1:3" ht="15.75" customHeight="1" x14ac:dyDescent="0.2">
      <c r="A1108" s="42">
        <v>1473</v>
      </c>
      <c r="B1108" s="42">
        <v>17324</v>
      </c>
      <c r="C1108" s="34" t="s">
        <v>2165</v>
      </c>
    </row>
    <row r="1109" spans="1:3" ht="15.75" customHeight="1" x14ac:dyDescent="0.2">
      <c r="A1109" s="42">
        <v>1474</v>
      </c>
      <c r="B1109" s="42">
        <v>17324</v>
      </c>
      <c r="C1109" s="34" t="s">
        <v>2166</v>
      </c>
    </row>
    <row r="1110" spans="1:3" ht="15.75" customHeight="1" x14ac:dyDescent="0.2">
      <c r="A1110" s="42">
        <v>1475</v>
      </c>
      <c r="B1110" s="42">
        <v>17324</v>
      </c>
      <c r="C1110" s="34" t="s">
        <v>2167</v>
      </c>
    </row>
    <row r="1111" spans="1:3" ht="15.75" customHeight="1" x14ac:dyDescent="0.2">
      <c r="A1111" s="42">
        <v>1476</v>
      </c>
      <c r="B1111" s="42">
        <v>17324</v>
      </c>
      <c r="C1111" s="34" t="s">
        <v>2168</v>
      </c>
    </row>
    <row r="1112" spans="1:3" ht="15.75" customHeight="1" x14ac:dyDescent="0.2">
      <c r="A1112" s="42">
        <v>1477</v>
      </c>
      <c r="B1112" s="42">
        <v>17324</v>
      </c>
      <c r="C1112" s="34" t="s">
        <v>2169</v>
      </c>
    </row>
    <row r="1113" spans="1:3" ht="15.75" customHeight="1" x14ac:dyDescent="0.2">
      <c r="A1113" s="42">
        <v>1478</v>
      </c>
      <c r="B1113" s="42">
        <v>17324</v>
      </c>
      <c r="C1113" s="34" t="s">
        <v>2170</v>
      </c>
    </row>
    <row r="1114" spans="1:3" ht="15.75" customHeight="1" x14ac:dyDescent="0.2">
      <c r="A1114" s="42">
        <v>1479</v>
      </c>
      <c r="B1114" s="42">
        <v>17324</v>
      </c>
      <c r="C1114" s="34" t="s">
        <v>2171</v>
      </c>
    </row>
    <row r="1115" spans="1:3" ht="15.75" customHeight="1" x14ac:dyDescent="0.2">
      <c r="A1115" s="42">
        <v>1480</v>
      </c>
      <c r="B1115" s="42">
        <v>17324</v>
      </c>
      <c r="C1115" s="34" t="s">
        <v>2172</v>
      </c>
    </row>
    <row r="1116" spans="1:3" ht="15.75" customHeight="1" x14ac:dyDescent="0.2">
      <c r="A1116" s="42">
        <v>1481</v>
      </c>
      <c r="B1116" s="42">
        <v>17324</v>
      </c>
      <c r="C1116" s="34" t="s">
        <v>2111</v>
      </c>
    </row>
    <row r="1117" spans="1:3" ht="15.75" customHeight="1" x14ac:dyDescent="0.2">
      <c r="A1117" s="42">
        <v>1482</v>
      </c>
      <c r="B1117" s="42">
        <v>17324</v>
      </c>
      <c r="C1117" s="34" t="s">
        <v>2173</v>
      </c>
    </row>
    <row r="1118" spans="1:3" ht="15.75" customHeight="1" x14ac:dyDescent="0.2">
      <c r="A1118" s="42">
        <v>1483</v>
      </c>
      <c r="B1118" s="42">
        <v>17324</v>
      </c>
      <c r="C1118" s="34" t="s">
        <v>2174</v>
      </c>
    </row>
    <row r="1119" spans="1:3" ht="15.75" customHeight="1" x14ac:dyDescent="0.2">
      <c r="A1119" s="42">
        <v>1484</v>
      </c>
      <c r="B1119" s="42">
        <v>17324</v>
      </c>
      <c r="C1119" s="34" t="s">
        <v>2175</v>
      </c>
    </row>
    <row r="1120" spans="1:3" ht="15.75" customHeight="1" x14ac:dyDescent="0.2">
      <c r="A1120" s="42">
        <v>1485</v>
      </c>
      <c r="B1120" s="42">
        <v>17324</v>
      </c>
      <c r="C1120" s="34" t="s">
        <v>2176</v>
      </c>
    </row>
    <row r="1121" spans="1:3" ht="15.75" customHeight="1" x14ac:dyDescent="0.2">
      <c r="A1121" s="42">
        <v>1486</v>
      </c>
      <c r="B1121" s="42">
        <v>17324</v>
      </c>
      <c r="C1121" s="34" t="s">
        <v>2177</v>
      </c>
    </row>
    <row r="1122" spans="1:3" ht="15.75" customHeight="1" x14ac:dyDescent="0.2">
      <c r="A1122" s="42">
        <v>1487</v>
      </c>
      <c r="B1122" s="42">
        <v>17324</v>
      </c>
      <c r="C1122" s="34" t="s">
        <v>2178</v>
      </c>
    </row>
    <row r="1123" spans="1:3" ht="15.75" customHeight="1" x14ac:dyDescent="0.2">
      <c r="A1123" s="42">
        <v>1488</v>
      </c>
      <c r="B1123" s="42">
        <v>17324</v>
      </c>
      <c r="C1123" s="34" t="s">
        <v>2179</v>
      </c>
    </row>
    <row r="1124" spans="1:3" ht="15.75" customHeight="1" x14ac:dyDescent="0.2">
      <c r="A1124" s="42">
        <v>1489</v>
      </c>
      <c r="B1124" s="42">
        <v>17324</v>
      </c>
      <c r="C1124" s="34" t="s">
        <v>2180</v>
      </c>
    </row>
    <row r="1125" spans="1:3" ht="15.75" customHeight="1" x14ac:dyDescent="0.2">
      <c r="A1125" s="42">
        <v>1490</v>
      </c>
      <c r="B1125" s="42">
        <v>17324</v>
      </c>
      <c r="C1125" s="34" t="s">
        <v>2181</v>
      </c>
    </row>
    <row r="1126" spans="1:3" ht="15.75" customHeight="1" x14ac:dyDescent="0.2">
      <c r="A1126" s="42">
        <v>1491</v>
      </c>
      <c r="B1126" s="42">
        <v>17324</v>
      </c>
      <c r="C1126" s="34" t="s">
        <v>2182</v>
      </c>
    </row>
    <row r="1127" spans="1:3" ht="15.75" customHeight="1" x14ac:dyDescent="0.2">
      <c r="A1127" s="42">
        <v>1492</v>
      </c>
      <c r="B1127" s="42">
        <v>17324</v>
      </c>
      <c r="C1127" s="34" t="s">
        <v>2183</v>
      </c>
    </row>
    <row r="1128" spans="1:3" ht="15.75" customHeight="1" x14ac:dyDescent="0.2">
      <c r="A1128" s="42">
        <v>1493</v>
      </c>
      <c r="B1128" s="42">
        <v>17324</v>
      </c>
      <c r="C1128" s="34" t="s">
        <v>2184</v>
      </c>
    </row>
    <row r="1129" spans="1:3" ht="15.75" customHeight="1" x14ac:dyDescent="0.2">
      <c r="A1129" s="42">
        <v>1494</v>
      </c>
      <c r="B1129" s="42">
        <v>17324</v>
      </c>
      <c r="C1129" s="34" t="s">
        <v>2185</v>
      </c>
    </row>
    <row r="1130" spans="1:3" ht="15.75" customHeight="1" x14ac:dyDescent="0.2">
      <c r="A1130" s="42">
        <v>1495</v>
      </c>
      <c r="B1130" s="42">
        <v>17324</v>
      </c>
      <c r="C1130" s="34" t="s">
        <v>2186</v>
      </c>
    </row>
    <row r="1131" spans="1:3" ht="15.75" customHeight="1" x14ac:dyDescent="0.2">
      <c r="A1131" s="42">
        <v>1496</v>
      </c>
      <c r="B1131" s="42">
        <v>17324</v>
      </c>
      <c r="C1131" s="34" t="s">
        <v>2187</v>
      </c>
    </row>
    <row r="1132" spans="1:3" ht="15.75" customHeight="1" x14ac:dyDescent="0.2">
      <c r="A1132" s="42">
        <v>1497</v>
      </c>
      <c r="B1132" s="42">
        <v>17324</v>
      </c>
      <c r="C1132" s="34" t="s">
        <v>2188</v>
      </c>
    </row>
    <row r="1133" spans="1:3" ht="15.75" customHeight="1" x14ac:dyDescent="0.2">
      <c r="A1133" s="42">
        <v>1498</v>
      </c>
      <c r="B1133" s="42">
        <v>17324</v>
      </c>
      <c r="C1133" s="34" t="s">
        <v>2189</v>
      </c>
    </row>
    <row r="1134" spans="1:3" ht="15.75" customHeight="1" x14ac:dyDescent="0.2">
      <c r="A1134" s="42">
        <v>1499</v>
      </c>
      <c r="B1134" s="42">
        <v>17324</v>
      </c>
      <c r="C1134" s="34" t="s">
        <v>2190</v>
      </c>
    </row>
    <row r="1135" spans="1:3" ht="15.75" customHeight="1" x14ac:dyDescent="0.2">
      <c r="A1135" s="42">
        <v>1500</v>
      </c>
      <c r="B1135" s="42">
        <v>17324</v>
      </c>
      <c r="C1135" s="34" t="s">
        <v>2191</v>
      </c>
    </row>
    <row r="1136" spans="1:3" ht="15.75" customHeight="1" x14ac:dyDescent="0.2">
      <c r="A1136" s="42">
        <v>1501</v>
      </c>
      <c r="B1136" s="42">
        <v>17325</v>
      </c>
      <c r="C1136" s="34" t="s">
        <v>2192</v>
      </c>
    </row>
    <row r="1137" spans="1:3" ht="15.75" customHeight="1" x14ac:dyDescent="0.2">
      <c r="A1137" s="42">
        <v>1502</v>
      </c>
      <c r="B1137" s="42">
        <v>17325</v>
      </c>
      <c r="C1137" s="34" t="s">
        <v>2193</v>
      </c>
    </row>
    <row r="1138" spans="1:3" ht="15.75" customHeight="1" x14ac:dyDescent="0.2">
      <c r="A1138" s="42">
        <v>1503</v>
      </c>
      <c r="B1138" s="42">
        <v>17325</v>
      </c>
      <c r="C1138" s="34" t="s">
        <v>2194</v>
      </c>
    </row>
    <row r="1139" spans="1:3" ht="15.75" customHeight="1" x14ac:dyDescent="0.2">
      <c r="A1139" s="42">
        <v>1504</v>
      </c>
      <c r="B1139" s="42">
        <v>17325</v>
      </c>
      <c r="C1139" s="34" t="s">
        <v>2195</v>
      </c>
    </row>
    <row r="1140" spans="1:3" ht="15.75" customHeight="1" x14ac:dyDescent="0.2">
      <c r="A1140" s="42">
        <v>1505</v>
      </c>
      <c r="B1140" s="42">
        <v>17325</v>
      </c>
      <c r="C1140" s="34" t="s">
        <v>2196</v>
      </c>
    </row>
    <row r="1141" spans="1:3" ht="15.75" customHeight="1" x14ac:dyDescent="0.2">
      <c r="A1141" s="42">
        <v>1506</v>
      </c>
      <c r="B1141" s="42">
        <v>17325</v>
      </c>
      <c r="C1141" s="34" t="s">
        <v>2197</v>
      </c>
    </row>
    <row r="1142" spans="1:3" ht="15.75" customHeight="1" x14ac:dyDescent="0.2">
      <c r="A1142" s="42">
        <v>1507</v>
      </c>
      <c r="B1142" s="42">
        <v>17325</v>
      </c>
      <c r="C1142" s="34" t="s">
        <v>2198</v>
      </c>
    </row>
    <row r="1143" spans="1:3" ht="15.75" customHeight="1" x14ac:dyDescent="0.2">
      <c r="A1143" s="42">
        <v>1508</v>
      </c>
      <c r="B1143" s="42">
        <v>17325</v>
      </c>
      <c r="C1143" s="34" t="s">
        <v>2199</v>
      </c>
    </row>
    <row r="1144" spans="1:3" ht="15.75" customHeight="1" x14ac:dyDescent="0.2">
      <c r="A1144" s="42">
        <v>1509</v>
      </c>
      <c r="B1144" s="42">
        <v>17325</v>
      </c>
      <c r="C1144" s="34" t="s">
        <v>2200</v>
      </c>
    </row>
    <row r="1145" spans="1:3" ht="15.75" customHeight="1" x14ac:dyDescent="0.2">
      <c r="A1145" s="42">
        <v>1510</v>
      </c>
      <c r="B1145" s="42">
        <v>17325</v>
      </c>
      <c r="C1145" s="34" t="s">
        <v>2201</v>
      </c>
    </row>
    <row r="1146" spans="1:3" ht="15.75" customHeight="1" x14ac:dyDescent="0.2">
      <c r="A1146" s="42">
        <v>1511</v>
      </c>
      <c r="B1146" s="42">
        <v>17325</v>
      </c>
      <c r="C1146" s="34" t="s">
        <v>2202</v>
      </c>
    </row>
    <row r="1147" spans="1:3" ht="15.75" customHeight="1" x14ac:dyDescent="0.2">
      <c r="A1147" s="42">
        <v>1512</v>
      </c>
      <c r="B1147" s="42">
        <v>17325</v>
      </c>
      <c r="C1147" s="34" t="s">
        <v>2203</v>
      </c>
    </row>
    <row r="1148" spans="1:3" ht="15.75" customHeight="1" x14ac:dyDescent="0.2">
      <c r="A1148" s="42">
        <v>1513</v>
      </c>
      <c r="B1148" s="42">
        <v>17325</v>
      </c>
      <c r="C1148" s="34" t="s">
        <v>2204</v>
      </c>
    </row>
    <row r="1149" spans="1:3" ht="15.75" customHeight="1" x14ac:dyDescent="0.2">
      <c r="A1149" s="42">
        <v>1514</v>
      </c>
      <c r="B1149" s="42">
        <v>17325</v>
      </c>
      <c r="C1149" s="34" t="s">
        <v>2205</v>
      </c>
    </row>
    <row r="1150" spans="1:3" ht="15.75" customHeight="1" x14ac:dyDescent="0.2">
      <c r="A1150" s="42">
        <v>1515</v>
      </c>
      <c r="B1150" s="42">
        <v>17325</v>
      </c>
      <c r="C1150" s="34" t="s">
        <v>2206</v>
      </c>
    </row>
    <row r="1151" spans="1:3" ht="15.75" customHeight="1" x14ac:dyDescent="0.2">
      <c r="A1151" s="42">
        <v>1516</v>
      </c>
      <c r="B1151" s="42">
        <v>17325</v>
      </c>
      <c r="C1151" s="34" t="s">
        <v>2207</v>
      </c>
    </row>
    <row r="1152" spans="1:3" ht="15.75" customHeight="1" x14ac:dyDescent="0.2">
      <c r="A1152" s="42">
        <v>1517</v>
      </c>
      <c r="B1152" s="42">
        <v>17325</v>
      </c>
      <c r="C1152" s="34" t="s">
        <v>2208</v>
      </c>
    </row>
    <row r="1153" spans="1:3" ht="15.75" customHeight="1" x14ac:dyDescent="0.2">
      <c r="A1153" s="42">
        <v>1518</v>
      </c>
      <c r="B1153" s="42">
        <v>17325</v>
      </c>
      <c r="C1153" s="34" t="s">
        <v>2209</v>
      </c>
    </row>
    <row r="1154" spans="1:3" ht="15.75" customHeight="1" x14ac:dyDescent="0.2">
      <c r="A1154" s="42">
        <v>1519</v>
      </c>
      <c r="B1154" s="42">
        <v>17325</v>
      </c>
      <c r="C1154" s="34" t="s">
        <v>2210</v>
      </c>
    </row>
    <row r="1155" spans="1:3" ht="15.75" customHeight="1" x14ac:dyDescent="0.2">
      <c r="A1155" s="42">
        <v>1520</v>
      </c>
      <c r="B1155" s="42">
        <v>17325</v>
      </c>
      <c r="C1155" s="34" t="s">
        <v>2211</v>
      </c>
    </row>
    <row r="1156" spans="1:3" ht="15.75" customHeight="1" x14ac:dyDescent="0.2">
      <c r="A1156" s="42">
        <v>1521</v>
      </c>
      <c r="B1156" s="42">
        <v>17325</v>
      </c>
      <c r="C1156" s="34" t="s">
        <v>2212</v>
      </c>
    </row>
    <row r="1157" spans="1:3" ht="15.75" customHeight="1" x14ac:dyDescent="0.2">
      <c r="A1157" s="42">
        <v>1522</v>
      </c>
      <c r="B1157" s="42">
        <v>17325</v>
      </c>
      <c r="C1157" s="34" t="s">
        <v>2213</v>
      </c>
    </row>
    <row r="1158" spans="1:3" ht="15.75" customHeight="1" x14ac:dyDescent="0.2">
      <c r="A1158" s="42">
        <v>1523</v>
      </c>
      <c r="B1158" s="42">
        <v>17325</v>
      </c>
      <c r="C1158" s="34" t="s">
        <v>2214</v>
      </c>
    </row>
    <row r="1159" spans="1:3" ht="15.75" customHeight="1" x14ac:dyDescent="0.2">
      <c r="A1159" s="42">
        <v>1524</v>
      </c>
      <c r="B1159" s="42">
        <v>17325</v>
      </c>
      <c r="C1159" s="34" t="s">
        <v>2215</v>
      </c>
    </row>
    <row r="1160" spans="1:3" ht="15.75" customHeight="1" x14ac:dyDescent="0.2">
      <c r="A1160" s="42">
        <v>1525</v>
      </c>
      <c r="B1160" s="42">
        <v>17325</v>
      </c>
      <c r="C1160" s="34" t="s">
        <v>2216</v>
      </c>
    </row>
    <row r="1161" spans="1:3" ht="15.75" customHeight="1" x14ac:dyDescent="0.2">
      <c r="A1161" s="42">
        <v>1526</v>
      </c>
      <c r="B1161" s="42">
        <v>17325</v>
      </c>
      <c r="C1161" s="34" t="s">
        <v>2217</v>
      </c>
    </row>
    <row r="1162" spans="1:3" ht="15.75" customHeight="1" x14ac:dyDescent="0.2">
      <c r="A1162" s="42">
        <v>1527</v>
      </c>
      <c r="B1162" s="42">
        <v>17325</v>
      </c>
      <c r="C1162" s="34" t="s">
        <v>2218</v>
      </c>
    </row>
    <row r="1163" spans="1:3" ht="15.75" customHeight="1" x14ac:dyDescent="0.2">
      <c r="A1163" s="42">
        <v>1528</v>
      </c>
      <c r="B1163" s="42">
        <v>17325</v>
      </c>
      <c r="C1163" s="34" t="s">
        <v>2219</v>
      </c>
    </row>
    <row r="1164" spans="1:3" ht="15.75" customHeight="1" x14ac:dyDescent="0.2">
      <c r="A1164" s="42">
        <v>1529</v>
      </c>
      <c r="B1164" s="42">
        <v>17325</v>
      </c>
      <c r="C1164" s="34" t="s">
        <v>2220</v>
      </c>
    </row>
    <row r="1165" spans="1:3" ht="15.75" customHeight="1" x14ac:dyDescent="0.2">
      <c r="A1165" s="42">
        <v>1530</v>
      </c>
      <c r="B1165" s="42">
        <v>17325</v>
      </c>
      <c r="C1165" s="34" t="s">
        <v>2221</v>
      </c>
    </row>
    <row r="1166" spans="1:3" ht="15.75" customHeight="1" x14ac:dyDescent="0.2">
      <c r="A1166" s="42">
        <v>1531</v>
      </c>
      <c r="B1166" s="42">
        <v>17325</v>
      </c>
      <c r="C1166" s="34" t="s">
        <v>2222</v>
      </c>
    </row>
    <row r="1167" spans="1:3" ht="15.75" customHeight="1" x14ac:dyDescent="0.2">
      <c r="A1167" s="42">
        <v>1532</v>
      </c>
      <c r="B1167" s="42">
        <v>17325</v>
      </c>
      <c r="C1167" s="34" t="s">
        <v>2223</v>
      </c>
    </row>
    <row r="1168" spans="1:3" ht="15.75" customHeight="1" x14ac:dyDescent="0.2">
      <c r="A1168" s="42">
        <v>1533</v>
      </c>
      <c r="B1168" s="42">
        <v>17325</v>
      </c>
      <c r="C1168" s="34" t="s">
        <v>2224</v>
      </c>
    </row>
    <row r="1169" spans="1:3" ht="15.75" customHeight="1" x14ac:dyDescent="0.2">
      <c r="A1169" s="42">
        <v>1534</v>
      </c>
      <c r="B1169" s="42">
        <v>17325</v>
      </c>
      <c r="C1169" s="34" t="s">
        <v>2225</v>
      </c>
    </row>
    <row r="1170" spans="1:3" ht="15.75" customHeight="1" x14ac:dyDescent="0.2">
      <c r="A1170" s="42">
        <v>1535</v>
      </c>
      <c r="B1170" s="42">
        <v>17325</v>
      </c>
      <c r="C1170" s="34" t="s">
        <v>2226</v>
      </c>
    </row>
    <row r="1171" spans="1:3" ht="15.75" customHeight="1" x14ac:dyDescent="0.2">
      <c r="A1171" s="42">
        <v>1536</v>
      </c>
      <c r="B1171" s="42">
        <v>17325</v>
      </c>
      <c r="C1171" s="34" t="s">
        <v>2227</v>
      </c>
    </row>
    <row r="1172" spans="1:3" ht="15.75" customHeight="1" x14ac:dyDescent="0.2">
      <c r="A1172" s="42">
        <v>1537</v>
      </c>
      <c r="B1172" s="42">
        <v>17325</v>
      </c>
      <c r="C1172" s="34" t="s">
        <v>2228</v>
      </c>
    </row>
    <row r="1173" spans="1:3" ht="15.75" customHeight="1" x14ac:dyDescent="0.2">
      <c r="A1173" s="42">
        <v>1538</v>
      </c>
      <c r="B1173" s="42">
        <v>17325</v>
      </c>
      <c r="C1173" s="34" t="s">
        <v>2229</v>
      </c>
    </row>
    <row r="1174" spans="1:3" ht="15.75" customHeight="1" x14ac:dyDescent="0.2">
      <c r="A1174" s="42">
        <v>1539</v>
      </c>
      <c r="B1174" s="42">
        <v>17325</v>
      </c>
      <c r="C1174" s="34" t="s">
        <v>2230</v>
      </c>
    </row>
    <row r="1175" spans="1:3" ht="15.75" customHeight="1" x14ac:dyDescent="0.2">
      <c r="A1175" s="42">
        <v>1540</v>
      </c>
      <c r="B1175" s="42">
        <v>17325</v>
      </c>
      <c r="C1175" s="34" t="s">
        <v>2231</v>
      </c>
    </row>
    <row r="1176" spans="1:3" ht="15.75" customHeight="1" x14ac:dyDescent="0.2">
      <c r="A1176" s="42">
        <v>1541</v>
      </c>
      <c r="B1176" s="42">
        <v>17325</v>
      </c>
      <c r="C1176" s="34" t="s">
        <v>2232</v>
      </c>
    </row>
    <row r="1177" spans="1:3" ht="15.75" customHeight="1" x14ac:dyDescent="0.2">
      <c r="A1177" s="42">
        <v>1542</v>
      </c>
      <c r="B1177" s="42">
        <v>17325</v>
      </c>
      <c r="C1177" s="34" t="s">
        <v>2233</v>
      </c>
    </row>
    <row r="1178" spans="1:3" ht="15.75" customHeight="1" x14ac:dyDescent="0.2">
      <c r="A1178" s="42">
        <v>1543</v>
      </c>
      <c r="B1178" s="42">
        <v>17325</v>
      </c>
      <c r="C1178" s="34" t="s">
        <v>2234</v>
      </c>
    </row>
    <row r="1179" spans="1:3" ht="15.75" customHeight="1" x14ac:dyDescent="0.2">
      <c r="A1179" s="42">
        <v>1544</v>
      </c>
      <c r="B1179" s="42">
        <v>17325</v>
      </c>
      <c r="C1179" s="34" t="s">
        <v>2235</v>
      </c>
    </row>
    <row r="1180" spans="1:3" ht="15.75" customHeight="1" x14ac:dyDescent="0.2">
      <c r="A1180" s="42">
        <v>1545</v>
      </c>
      <c r="B1180" s="42">
        <v>17325</v>
      </c>
      <c r="C1180" s="34" t="s">
        <v>2236</v>
      </c>
    </row>
    <row r="1181" spans="1:3" ht="15.75" customHeight="1" x14ac:dyDescent="0.2">
      <c r="A1181" s="42">
        <v>1546</v>
      </c>
      <c r="B1181" s="42">
        <v>17325</v>
      </c>
      <c r="C1181" s="34" t="s">
        <v>2237</v>
      </c>
    </row>
    <row r="1182" spans="1:3" ht="15.75" customHeight="1" x14ac:dyDescent="0.2">
      <c r="A1182" s="42">
        <v>1547</v>
      </c>
      <c r="B1182" s="42">
        <v>17325</v>
      </c>
      <c r="C1182" s="34" t="s">
        <v>2238</v>
      </c>
    </row>
    <row r="1183" spans="1:3" ht="15.75" customHeight="1" x14ac:dyDescent="0.2">
      <c r="A1183" s="42">
        <v>1548</v>
      </c>
      <c r="B1183" s="42">
        <v>17325</v>
      </c>
      <c r="C1183" s="34" t="s">
        <v>2239</v>
      </c>
    </row>
    <row r="1184" spans="1:3" ht="15.75" customHeight="1" x14ac:dyDescent="0.2">
      <c r="A1184" s="42">
        <v>1549</v>
      </c>
      <c r="B1184" s="42">
        <v>17325</v>
      </c>
      <c r="C1184" s="34" t="s">
        <v>2240</v>
      </c>
    </row>
    <row r="1185" spans="1:3" ht="15.75" customHeight="1" x14ac:dyDescent="0.2">
      <c r="A1185" s="42">
        <v>1550</v>
      </c>
      <c r="B1185" s="42">
        <v>17325</v>
      </c>
      <c r="C1185" s="34" t="s">
        <v>2241</v>
      </c>
    </row>
    <row r="1186" spans="1:3" ht="15.75" customHeight="1" x14ac:dyDescent="0.2">
      <c r="A1186" s="42">
        <v>1551</v>
      </c>
      <c r="B1186" s="42">
        <v>17325</v>
      </c>
      <c r="C1186" s="34" t="s">
        <v>2242</v>
      </c>
    </row>
    <row r="1187" spans="1:3" ht="15.75" customHeight="1" x14ac:dyDescent="0.2">
      <c r="A1187" s="42">
        <v>1552</v>
      </c>
      <c r="B1187" s="42">
        <v>17325</v>
      </c>
      <c r="C1187" s="34" t="s">
        <v>2243</v>
      </c>
    </row>
    <row r="1188" spans="1:3" ht="15.75" customHeight="1" x14ac:dyDescent="0.2">
      <c r="A1188" s="42">
        <v>1553</v>
      </c>
      <c r="B1188" s="42">
        <v>17325</v>
      </c>
      <c r="C1188" s="34" t="s">
        <v>2244</v>
      </c>
    </row>
    <row r="1189" spans="1:3" ht="15.75" customHeight="1" x14ac:dyDescent="0.2">
      <c r="A1189" s="42">
        <v>1554</v>
      </c>
      <c r="B1189" s="42">
        <v>17325</v>
      </c>
      <c r="C1189" s="34" t="s">
        <v>2245</v>
      </c>
    </row>
    <row r="1190" spans="1:3" ht="15.75" customHeight="1" x14ac:dyDescent="0.2">
      <c r="A1190" s="42">
        <v>1555</v>
      </c>
      <c r="B1190" s="42">
        <v>17325</v>
      </c>
      <c r="C1190" s="34" t="s">
        <v>2246</v>
      </c>
    </row>
    <row r="1191" spans="1:3" ht="15.75" customHeight="1" x14ac:dyDescent="0.2">
      <c r="A1191" s="42">
        <v>1556</v>
      </c>
      <c r="B1191" s="42">
        <v>17325</v>
      </c>
      <c r="C1191" s="34" t="s">
        <v>2247</v>
      </c>
    </row>
    <row r="1192" spans="1:3" ht="15.75" customHeight="1" x14ac:dyDescent="0.2">
      <c r="A1192" s="42">
        <v>1557</v>
      </c>
      <c r="B1192" s="42">
        <v>17325</v>
      </c>
      <c r="C1192" s="34" t="s">
        <v>2248</v>
      </c>
    </row>
    <row r="1193" spans="1:3" ht="15.75" customHeight="1" x14ac:dyDescent="0.2">
      <c r="A1193" s="42">
        <v>1558</v>
      </c>
      <c r="B1193" s="42">
        <v>17325</v>
      </c>
      <c r="C1193" s="34" t="s">
        <v>2249</v>
      </c>
    </row>
    <row r="1194" spans="1:3" ht="15.75" customHeight="1" x14ac:dyDescent="0.2">
      <c r="A1194" s="42">
        <v>1559</v>
      </c>
      <c r="B1194" s="42">
        <v>17325</v>
      </c>
      <c r="C1194" s="34" t="s">
        <v>2250</v>
      </c>
    </row>
    <row r="1195" spans="1:3" ht="15.75" customHeight="1" x14ac:dyDescent="0.2">
      <c r="A1195" s="42">
        <v>1560</v>
      </c>
      <c r="B1195" s="42">
        <v>17325</v>
      </c>
      <c r="C1195" s="34" t="s">
        <v>2251</v>
      </c>
    </row>
    <row r="1196" spans="1:3" ht="15.75" customHeight="1" x14ac:dyDescent="0.2">
      <c r="A1196" s="42">
        <v>1561</v>
      </c>
      <c r="B1196" s="42">
        <v>17325</v>
      </c>
      <c r="C1196" s="34" t="s">
        <v>2252</v>
      </c>
    </row>
    <row r="1197" spans="1:3" ht="15.75" customHeight="1" x14ac:dyDescent="0.2">
      <c r="A1197" s="42">
        <v>1562</v>
      </c>
      <c r="B1197" s="42">
        <v>17325</v>
      </c>
      <c r="C1197" s="34" t="s">
        <v>2253</v>
      </c>
    </row>
    <row r="1198" spans="1:3" ht="15.75" customHeight="1" x14ac:dyDescent="0.2">
      <c r="A1198" s="42">
        <v>1563</v>
      </c>
      <c r="B1198" s="42">
        <v>17325</v>
      </c>
      <c r="C1198" s="34" t="s">
        <v>2254</v>
      </c>
    </row>
    <row r="1199" spans="1:3" ht="15.75" customHeight="1" x14ac:dyDescent="0.2">
      <c r="A1199" s="42">
        <v>1564</v>
      </c>
      <c r="B1199" s="42">
        <v>17325</v>
      </c>
      <c r="C1199" s="34" t="s">
        <v>2255</v>
      </c>
    </row>
    <row r="1200" spans="1:3" ht="15.75" customHeight="1" x14ac:dyDescent="0.2">
      <c r="A1200" s="42">
        <v>1565</v>
      </c>
      <c r="B1200" s="42">
        <v>17325</v>
      </c>
      <c r="C1200" s="34" t="s">
        <v>2256</v>
      </c>
    </row>
    <row r="1201" spans="1:3" ht="15.75" customHeight="1" x14ac:dyDescent="0.2">
      <c r="A1201" s="42">
        <v>1566</v>
      </c>
      <c r="B1201" s="42">
        <v>17325</v>
      </c>
      <c r="C1201" s="34" t="s">
        <v>2257</v>
      </c>
    </row>
    <row r="1202" spans="1:3" ht="15.75" customHeight="1" x14ac:dyDescent="0.2">
      <c r="A1202" s="42">
        <v>1567</v>
      </c>
      <c r="B1202" s="42">
        <v>17325</v>
      </c>
      <c r="C1202" s="34" t="s">
        <v>2258</v>
      </c>
    </row>
    <row r="1203" spans="1:3" ht="15.75" customHeight="1" x14ac:dyDescent="0.2">
      <c r="A1203" s="42">
        <v>1568</v>
      </c>
      <c r="B1203" s="42">
        <v>17325</v>
      </c>
      <c r="C1203" s="34" t="s">
        <v>2259</v>
      </c>
    </row>
    <row r="1204" spans="1:3" ht="15.75" customHeight="1" x14ac:dyDescent="0.2">
      <c r="A1204" s="42">
        <v>1569</v>
      </c>
      <c r="B1204" s="42">
        <v>17325</v>
      </c>
      <c r="C1204" s="34" t="s">
        <v>2260</v>
      </c>
    </row>
    <row r="1205" spans="1:3" ht="15.75" customHeight="1" x14ac:dyDescent="0.2">
      <c r="A1205" s="42">
        <v>1570</v>
      </c>
      <c r="B1205" s="42">
        <v>17325</v>
      </c>
      <c r="C1205" s="34" t="s">
        <v>2261</v>
      </c>
    </row>
    <row r="1206" spans="1:3" ht="15.75" customHeight="1" x14ac:dyDescent="0.2">
      <c r="A1206" s="42">
        <v>1571</v>
      </c>
      <c r="B1206" s="42">
        <v>17325</v>
      </c>
      <c r="C1206" s="34" t="s">
        <v>2262</v>
      </c>
    </row>
    <row r="1207" spans="1:3" ht="15.75" customHeight="1" x14ac:dyDescent="0.2">
      <c r="A1207" s="42">
        <v>1572</v>
      </c>
      <c r="B1207" s="42">
        <v>17325</v>
      </c>
      <c r="C1207" s="34" t="s">
        <v>2263</v>
      </c>
    </row>
    <row r="1208" spans="1:3" ht="15.75" customHeight="1" x14ac:dyDescent="0.2">
      <c r="A1208" s="42">
        <v>1573</v>
      </c>
      <c r="B1208" s="42">
        <v>17325</v>
      </c>
      <c r="C1208" s="34" t="s">
        <v>2264</v>
      </c>
    </row>
    <row r="1209" spans="1:3" ht="15.75" customHeight="1" x14ac:dyDescent="0.2">
      <c r="A1209" s="42">
        <v>1574</v>
      </c>
      <c r="B1209" s="42">
        <v>17325</v>
      </c>
      <c r="C1209" s="34" t="s">
        <v>2265</v>
      </c>
    </row>
    <row r="1210" spans="1:3" ht="15.75" customHeight="1" x14ac:dyDescent="0.2">
      <c r="A1210" s="42">
        <v>1575</v>
      </c>
      <c r="B1210" s="42">
        <v>17325</v>
      </c>
      <c r="C1210" s="34" t="s">
        <v>2266</v>
      </c>
    </row>
    <row r="1211" spans="1:3" ht="15.75" customHeight="1" x14ac:dyDescent="0.2">
      <c r="A1211" s="42">
        <v>1576</v>
      </c>
      <c r="B1211" s="42">
        <v>17325</v>
      </c>
      <c r="C1211" s="34" t="s">
        <v>2267</v>
      </c>
    </row>
    <row r="1212" spans="1:3" ht="15.75" customHeight="1" x14ac:dyDescent="0.2">
      <c r="A1212" s="42">
        <v>1577</v>
      </c>
      <c r="B1212" s="42">
        <v>17325</v>
      </c>
      <c r="C1212" s="34" t="s">
        <v>2268</v>
      </c>
    </row>
    <row r="1213" spans="1:3" ht="15.75" customHeight="1" x14ac:dyDescent="0.2">
      <c r="A1213" s="42">
        <v>1578</v>
      </c>
      <c r="B1213" s="42">
        <v>17325</v>
      </c>
      <c r="C1213" s="34" t="s">
        <v>2269</v>
      </c>
    </row>
    <row r="1214" spans="1:3" ht="15.75" customHeight="1" x14ac:dyDescent="0.2">
      <c r="A1214" s="42">
        <v>1579</v>
      </c>
      <c r="B1214" s="42">
        <v>17325</v>
      </c>
      <c r="C1214" s="34" t="s">
        <v>2270</v>
      </c>
    </row>
    <row r="1215" spans="1:3" ht="15.75" customHeight="1" x14ac:dyDescent="0.2">
      <c r="A1215" s="42">
        <v>1580</v>
      </c>
      <c r="B1215" s="42">
        <v>17325</v>
      </c>
      <c r="C1215" s="34" t="s">
        <v>2271</v>
      </c>
    </row>
    <row r="1216" spans="1:3" ht="15.75" customHeight="1" x14ac:dyDescent="0.2">
      <c r="A1216" s="42">
        <v>1581</v>
      </c>
      <c r="B1216" s="42">
        <v>17325</v>
      </c>
      <c r="C1216" s="34" t="s">
        <v>2272</v>
      </c>
    </row>
    <row r="1217" spans="1:3" ht="15.75" customHeight="1" x14ac:dyDescent="0.2">
      <c r="A1217" s="42">
        <v>1582</v>
      </c>
      <c r="B1217" s="42">
        <v>17325</v>
      </c>
      <c r="C1217" s="34" t="s">
        <v>2273</v>
      </c>
    </row>
    <row r="1218" spans="1:3" ht="15.75" customHeight="1" x14ac:dyDescent="0.2">
      <c r="A1218" s="42">
        <v>1583</v>
      </c>
      <c r="B1218" s="42">
        <v>17325</v>
      </c>
      <c r="C1218" s="34" t="s">
        <v>2274</v>
      </c>
    </row>
    <row r="1219" spans="1:3" ht="15.75" customHeight="1" x14ac:dyDescent="0.2">
      <c r="A1219" s="42">
        <v>1584</v>
      </c>
      <c r="B1219" s="42">
        <v>17325</v>
      </c>
      <c r="C1219" s="34" t="s">
        <v>2199</v>
      </c>
    </row>
    <row r="1220" spans="1:3" ht="15.75" customHeight="1" x14ac:dyDescent="0.2">
      <c r="A1220" s="42">
        <v>1585</v>
      </c>
      <c r="B1220" s="42">
        <v>17325</v>
      </c>
      <c r="C1220" s="34" t="s">
        <v>2275</v>
      </c>
    </row>
    <row r="1221" spans="1:3" ht="15.75" customHeight="1" x14ac:dyDescent="0.2">
      <c r="A1221" s="42">
        <v>1586</v>
      </c>
      <c r="B1221" s="42">
        <v>17325</v>
      </c>
      <c r="C1221" s="34" t="s">
        <v>2276</v>
      </c>
    </row>
    <row r="1222" spans="1:3" ht="15.75" customHeight="1" x14ac:dyDescent="0.2">
      <c r="A1222" s="42">
        <v>1587</v>
      </c>
      <c r="B1222" s="42">
        <v>17325</v>
      </c>
      <c r="C1222" s="34" t="s">
        <v>2277</v>
      </c>
    </row>
    <row r="1223" spans="1:3" ht="15.75" customHeight="1" x14ac:dyDescent="0.2">
      <c r="A1223" s="42">
        <v>1588</v>
      </c>
      <c r="B1223" s="42">
        <v>17325</v>
      </c>
      <c r="C1223" s="34" t="s">
        <v>2278</v>
      </c>
    </row>
    <row r="1224" spans="1:3" ht="15.75" customHeight="1" x14ac:dyDescent="0.2">
      <c r="A1224" s="42">
        <v>1589</v>
      </c>
      <c r="B1224" s="42">
        <v>17325</v>
      </c>
      <c r="C1224" s="34" t="s">
        <v>2279</v>
      </c>
    </row>
    <row r="1225" spans="1:3" ht="15.75" customHeight="1" x14ac:dyDescent="0.2">
      <c r="A1225" s="42">
        <v>1590</v>
      </c>
      <c r="B1225" s="42">
        <v>17325</v>
      </c>
      <c r="C1225" s="34" t="s">
        <v>2280</v>
      </c>
    </row>
    <row r="1226" spans="1:3" ht="15.75" customHeight="1" x14ac:dyDescent="0.2">
      <c r="A1226" s="42">
        <v>1591</v>
      </c>
      <c r="B1226" s="42">
        <v>17325</v>
      </c>
      <c r="C1226" s="34" t="s">
        <v>2281</v>
      </c>
    </row>
    <row r="1227" spans="1:3" ht="15.75" customHeight="1" x14ac:dyDescent="0.2">
      <c r="A1227" s="42">
        <v>1592</v>
      </c>
      <c r="B1227" s="42">
        <v>17325</v>
      </c>
      <c r="C1227" s="34" t="s">
        <v>2282</v>
      </c>
    </row>
    <row r="1228" spans="1:3" ht="15.75" customHeight="1" x14ac:dyDescent="0.2">
      <c r="A1228" s="42">
        <v>1593</v>
      </c>
      <c r="B1228" s="42">
        <v>17325</v>
      </c>
      <c r="C1228" s="34" t="s">
        <v>2283</v>
      </c>
    </row>
    <row r="1229" spans="1:3" ht="15.75" customHeight="1" x14ac:dyDescent="0.2">
      <c r="A1229" s="42">
        <v>1594</v>
      </c>
      <c r="B1229" s="42">
        <v>17326</v>
      </c>
      <c r="C1229" s="34" t="s">
        <v>2284</v>
      </c>
    </row>
    <row r="1230" spans="1:3" ht="15.75" customHeight="1" x14ac:dyDescent="0.2">
      <c r="A1230" s="42">
        <v>1595</v>
      </c>
      <c r="B1230" s="42">
        <v>17326</v>
      </c>
      <c r="C1230" s="34" t="s">
        <v>2285</v>
      </c>
    </row>
    <row r="1231" spans="1:3" ht="15.75" customHeight="1" x14ac:dyDescent="0.2">
      <c r="A1231" s="42">
        <v>1596</v>
      </c>
      <c r="B1231" s="42">
        <v>17326</v>
      </c>
      <c r="C1231" s="34" t="s">
        <v>2286</v>
      </c>
    </row>
    <row r="1232" spans="1:3" ht="15.75" customHeight="1" x14ac:dyDescent="0.2">
      <c r="A1232" s="42">
        <v>1597</v>
      </c>
      <c r="B1232" s="42">
        <v>17326</v>
      </c>
      <c r="C1232" s="34" t="s">
        <v>2287</v>
      </c>
    </row>
    <row r="1233" spans="1:3" ht="15.75" customHeight="1" x14ac:dyDescent="0.2">
      <c r="A1233" s="42">
        <v>1598</v>
      </c>
      <c r="B1233" s="42">
        <v>17326</v>
      </c>
      <c r="C1233" s="34" t="s">
        <v>2288</v>
      </c>
    </row>
    <row r="1234" spans="1:3" ht="15.75" customHeight="1" x14ac:dyDescent="0.2">
      <c r="A1234" s="42">
        <v>1599</v>
      </c>
      <c r="B1234" s="42">
        <v>17326</v>
      </c>
      <c r="C1234" s="34" t="s">
        <v>2289</v>
      </c>
    </row>
    <row r="1235" spans="1:3" ht="15.75" customHeight="1" x14ac:dyDescent="0.2">
      <c r="A1235" s="42">
        <v>1600</v>
      </c>
      <c r="B1235" s="42">
        <v>17326</v>
      </c>
      <c r="C1235" s="34" t="s">
        <v>2290</v>
      </c>
    </row>
    <row r="1236" spans="1:3" ht="15.75" customHeight="1" x14ac:dyDescent="0.2">
      <c r="A1236" s="42">
        <v>1601</v>
      </c>
      <c r="B1236" s="42">
        <v>17326</v>
      </c>
      <c r="C1236" s="34" t="s">
        <v>2291</v>
      </c>
    </row>
    <row r="1237" spans="1:3" ht="15.75" customHeight="1" x14ac:dyDescent="0.2">
      <c r="A1237" s="42">
        <v>1602</v>
      </c>
      <c r="B1237" s="42">
        <v>17326</v>
      </c>
      <c r="C1237" s="34" t="s">
        <v>2292</v>
      </c>
    </row>
    <row r="1238" spans="1:3" ht="15.75" customHeight="1" x14ac:dyDescent="0.2">
      <c r="A1238" s="42">
        <v>1603</v>
      </c>
      <c r="B1238" s="42">
        <v>17326</v>
      </c>
      <c r="C1238" s="34" t="s">
        <v>2293</v>
      </c>
    </row>
    <row r="1239" spans="1:3" ht="15.75" customHeight="1" x14ac:dyDescent="0.2">
      <c r="A1239" s="42">
        <v>1604</v>
      </c>
      <c r="B1239" s="42">
        <v>17326</v>
      </c>
      <c r="C1239" s="34" t="s">
        <v>2294</v>
      </c>
    </row>
    <row r="1240" spans="1:3" ht="15.75" customHeight="1" x14ac:dyDescent="0.2">
      <c r="A1240" s="42">
        <v>1605</v>
      </c>
      <c r="B1240" s="42">
        <v>17326</v>
      </c>
      <c r="C1240" s="34" t="s">
        <v>2295</v>
      </c>
    </row>
    <row r="1241" spans="1:3" ht="15.75" customHeight="1" x14ac:dyDescent="0.2">
      <c r="A1241" s="42">
        <v>1606</v>
      </c>
      <c r="B1241" s="42">
        <v>17326</v>
      </c>
      <c r="C1241" s="34" t="s">
        <v>2296</v>
      </c>
    </row>
    <row r="1242" spans="1:3" ht="15.75" customHeight="1" x14ac:dyDescent="0.2">
      <c r="A1242" s="42">
        <v>1607</v>
      </c>
      <c r="B1242" s="42">
        <v>17326</v>
      </c>
      <c r="C1242" s="34" t="s">
        <v>2297</v>
      </c>
    </row>
    <row r="1243" spans="1:3" ht="15.75" customHeight="1" x14ac:dyDescent="0.2">
      <c r="A1243" s="42">
        <v>1608</v>
      </c>
      <c r="B1243" s="42">
        <v>17326</v>
      </c>
      <c r="C1243" s="34" t="s">
        <v>2298</v>
      </c>
    </row>
    <row r="1244" spans="1:3" ht="15.75" customHeight="1" x14ac:dyDescent="0.2">
      <c r="A1244" s="42">
        <v>1609</v>
      </c>
      <c r="B1244" s="42">
        <v>17326</v>
      </c>
      <c r="C1244" s="34" t="s">
        <v>2299</v>
      </c>
    </row>
    <row r="1245" spans="1:3" ht="15.75" customHeight="1" x14ac:dyDescent="0.2">
      <c r="A1245" s="42">
        <v>1610</v>
      </c>
      <c r="B1245" s="42">
        <v>17326</v>
      </c>
      <c r="C1245" s="34" t="s">
        <v>2300</v>
      </c>
    </row>
    <row r="1246" spans="1:3" ht="15.75" customHeight="1" x14ac:dyDescent="0.2">
      <c r="A1246" s="42">
        <v>1611</v>
      </c>
      <c r="B1246" s="42">
        <v>17326</v>
      </c>
      <c r="C1246" s="34" t="s">
        <v>2301</v>
      </c>
    </row>
    <row r="1247" spans="1:3" ht="15.75" customHeight="1" x14ac:dyDescent="0.2">
      <c r="A1247" s="42">
        <v>1612</v>
      </c>
      <c r="B1247" s="42">
        <v>17326</v>
      </c>
      <c r="C1247" s="34" t="s">
        <v>2302</v>
      </c>
    </row>
    <row r="1248" spans="1:3" ht="15.75" customHeight="1" x14ac:dyDescent="0.2">
      <c r="A1248" s="42">
        <v>1613</v>
      </c>
      <c r="B1248" s="42">
        <v>17326</v>
      </c>
      <c r="C1248" s="34" t="s">
        <v>2303</v>
      </c>
    </row>
    <row r="1249" spans="1:3" ht="15.75" customHeight="1" x14ac:dyDescent="0.2">
      <c r="A1249" s="42">
        <v>1614</v>
      </c>
      <c r="B1249" s="42">
        <v>17326</v>
      </c>
      <c r="C1249" s="34" t="s">
        <v>2304</v>
      </c>
    </row>
    <row r="1250" spans="1:3" ht="15.75" customHeight="1" x14ac:dyDescent="0.2">
      <c r="A1250" s="42">
        <v>1615</v>
      </c>
      <c r="B1250" s="42">
        <v>17326</v>
      </c>
      <c r="C1250" s="34" t="s">
        <v>2305</v>
      </c>
    </row>
    <row r="1251" spans="1:3" ht="15.75" customHeight="1" x14ac:dyDescent="0.2">
      <c r="A1251" s="42">
        <v>1616</v>
      </c>
      <c r="B1251" s="42">
        <v>17326</v>
      </c>
      <c r="C1251" s="34" t="s">
        <v>2306</v>
      </c>
    </row>
    <row r="1252" spans="1:3" ht="15.75" customHeight="1" x14ac:dyDescent="0.2">
      <c r="A1252" s="42">
        <v>1617</v>
      </c>
      <c r="B1252" s="42">
        <v>17326</v>
      </c>
      <c r="C1252" s="34" t="s">
        <v>2307</v>
      </c>
    </row>
    <row r="1253" spans="1:3" ht="15.75" customHeight="1" x14ac:dyDescent="0.2">
      <c r="A1253" s="42">
        <v>1618</v>
      </c>
      <c r="B1253" s="42">
        <v>17326</v>
      </c>
      <c r="C1253" s="34" t="s">
        <v>2308</v>
      </c>
    </row>
    <row r="1254" spans="1:3" ht="15.75" customHeight="1" x14ac:dyDescent="0.2">
      <c r="A1254" s="42">
        <v>1619</v>
      </c>
      <c r="B1254" s="42">
        <v>17326</v>
      </c>
      <c r="C1254" s="34" t="s">
        <v>2309</v>
      </c>
    </row>
    <row r="1255" spans="1:3" ht="15.75" customHeight="1" x14ac:dyDescent="0.2">
      <c r="A1255" s="42">
        <v>1620</v>
      </c>
      <c r="B1255" s="42">
        <v>17326</v>
      </c>
      <c r="C1255" s="34" t="s">
        <v>2310</v>
      </c>
    </row>
    <row r="1256" spans="1:3" ht="15.75" customHeight="1" x14ac:dyDescent="0.2">
      <c r="A1256" s="42">
        <v>1621</v>
      </c>
      <c r="B1256" s="42">
        <v>17326</v>
      </c>
      <c r="C1256" s="34" t="s">
        <v>2311</v>
      </c>
    </row>
    <row r="1257" spans="1:3" ht="15.75" customHeight="1" x14ac:dyDescent="0.2">
      <c r="A1257" s="42">
        <v>1622</v>
      </c>
      <c r="B1257" s="42">
        <v>17326</v>
      </c>
      <c r="C1257" s="34" t="s">
        <v>2312</v>
      </c>
    </row>
    <row r="1258" spans="1:3" ht="15.75" customHeight="1" x14ac:dyDescent="0.2">
      <c r="A1258" s="42">
        <v>1623</v>
      </c>
      <c r="B1258" s="42">
        <v>17326</v>
      </c>
      <c r="C1258" s="34" t="s">
        <v>2313</v>
      </c>
    </row>
    <row r="1259" spans="1:3" ht="15.75" customHeight="1" x14ac:dyDescent="0.2">
      <c r="A1259" s="42">
        <v>1624</v>
      </c>
      <c r="B1259" s="42">
        <v>17326</v>
      </c>
      <c r="C1259" s="34" t="s">
        <v>2314</v>
      </c>
    </row>
    <row r="1260" spans="1:3" ht="15.75" customHeight="1" x14ac:dyDescent="0.2">
      <c r="A1260" s="42">
        <v>1625</v>
      </c>
      <c r="B1260" s="42">
        <v>17326</v>
      </c>
      <c r="C1260" s="34" t="s">
        <v>2315</v>
      </c>
    </row>
    <row r="1261" spans="1:3" ht="15.75" customHeight="1" x14ac:dyDescent="0.2">
      <c r="A1261" s="42">
        <v>1626</v>
      </c>
      <c r="B1261" s="42">
        <v>17326</v>
      </c>
      <c r="C1261" s="34" t="s">
        <v>2316</v>
      </c>
    </row>
    <row r="1262" spans="1:3" ht="15.75" customHeight="1" x14ac:dyDescent="0.2">
      <c r="A1262" s="42">
        <v>1627</v>
      </c>
      <c r="B1262" s="42">
        <v>17326</v>
      </c>
      <c r="C1262" s="34" t="s">
        <v>2317</v>
      </c>
    </row>
    <row r="1263" spans="1:3" ht="15.75" customHeight="1" x14ac:dyDescent="0.2">
      <c r="A1263" s="42">
        <v>1628</v>
      </c>
      <c r="B1263" s="42">
        <v>17326</v>
      </c>
      <c r="C1263" s="34" t="s">
        <v>2318</v>
      </c>
    </row>
    <row r="1264" spans="1:3" ht="15.75" customHeight="1" x14ac:dyDescent="0.2">
      <c r="A1264" s="42">
        <v>1629</v>
      </c>
      <c r="B1264" s="42">
        <v>17326</v>
      </c>
      <c r="C1264" s="34" t="s">
        <v>2319</v>
      </c>
    </row>
    <row r="1265" spans="1:3" ht="15.75" customHeight="1" x14ac:dyDescent="0.2">
      <c r="A1265" s="42">
        <v>1630</v>
      </c>
      <c r="B1265" s="42">
        <v>17326</v>
      </c>
      <c r="C1265" s="34" t="s">
        <v>2320</v>
      </c>
    </row>
    <row r="1266" spans="1:3" ht="15.75" customHeight="1" x14ac:dyDescent="0.2">
      <c r="A1266" s="42">
        <v>1631</v>
      </c>
      <c r="B1266" s="42">
        <v>17326</v>
      </c>
      <c r="C1266" s="34" t="s">
        <v>2321</v>
      </c>
    </row>
    <row r="1267" spans="1:3" ht="15.75" customHeight="1" x14ac:dyDescent="0.2">
      <c r="A1267" s="42">
        <v>1632</v>
      </c>
      <c r="B1267" s="42">
        <v>17326</v>
      </c>
      <c r="C1267" s="34" t="s">
        <v>2322</v>
      </c>
    </row>
    <row r="1268" spans="1:3" ht="15.75" customHeight="1" x14ac:dyDescent="0.2">
      <c r="A1268" s="42">
        <v>1633</v>
      </c>
      <c r="B1268" s="42">
        <v>17326</v>
      </c>
      <c r="C1268" s="34" t="s">
        <v>2323</v>
      </c>
    </row>
    <row r="1269" spans="1:3" ht="15.75" customHeight="1" x14ac:dyDescent="0.2">
      <c r="A1269" s="42">
        <v>1634</v>
      </c>
      <c r="B1269" s="42">
        <v>17326</v>
      </c>
      <c r="C1269" s="34" t="s">
        <v>2324</v>
      </c>
    </row>
    <row r="1270" spans="1:3" ht="15.75" customHeight="1" x14ac:dyDescent="0.2">
      <c r="A1270" s="42">
        <v>1635</v>
      </c>
      <c r="B1270" s="42">
        <v>17326</v>
      </c>
      <c r="C1270" s="34" t="s">
        <v>2325</v>
      </c>
    </row>
    <row r="1271" spans="1:3" ht="15.75" customHeight="1" x14ac:dyDescent="0.2">
      <c r="A1271" s="42">
        <v>1636</v>
      </c>
      <c r="B1271" s="42">
        <v>17326</v>
      </c>
      <c r="C1271" s="34" t="s">
        <v>2326</v>
      </c>
    </row>
    <row r="1272" spans="1:3" ht="15.75" customHeight="1" x14ac:dyDescent="0.2">
      <c r="A1272" s="42">
        <v>1637</v>
      </c>
      <c r="B1272" s="42">
        <v>17326</v>
      </c>
      <c r="C1272" s="34" t="s">
        <v>2327</v>
      </c>
    </row>
    <row r="1273" spans="1:3" ht="15.75" customHeight="1" x14ac:dyDescent="0.2">
      <c r="A1273" s="42">
        <v>1638</v>
      </c>
      <c r="B1273" s="42">
        <v>17326</v>
      </c>
      <c r="C1273" s="34" t="s">
        <v>2328</v>
      </c>
    </row>
    <row r="1274" spans="1:3" ht="15.75" customHeight="1" x14ac:dyDescent="0.2">
      <c r="A1274" s="42">
        <v>1639</v>
      </c>
      <c r="B1274" s="42">
        <v>17326</v>
      </c>
      <c r="C1274" s="34" t="s">
        <v>2329</v>
      </c>
    </row>
    <row r="1275" spans="1:3" ht="15.75" customHeight="1" x14ac:dyDescent="0.2">
      <c r="A1275" s="42">
        <v>1640</v>
      </c>
      <c r="B1275" s="42">
        <v>17326</v>
      </c>
      <c r="C1275" s="34" t="s">
        <v>2330</v>
      </c>
    </row>
    <row r="1276" spans="1:3" ht="15.75" customHeight="1" x14ac:dyDescent="0.2">
      <c r="A1276" s="42">
        <v>1641</v>
      </c>
      <c r="B1276" s="42">
        <v>17326</v>
      </c>
      <c r="C1276" s="34" t="s">
        <v>2331</v>
      </c>
    </row>
    <row r="1277" spans="1:3" ht="15.75" customHeight="1" x14ac:dyDescent="0.2">
      <c r="A1277" s="42">
        <v>1642</v>
      </c>
      <c r="B1277" s="42">
        <v>17326</v>
      </c>
      <c r="C1277" s="34" t="s">
        <v>2332</v>
      </c>
    </row>
    <row r="1278" spans="1:3" ht="15.75" customHeight="1" x14ac:dyDescent="0.2">
      <c r="A1278" s="42">
        <v>1643</v>
      </c>
      <c r="B1278" s="42">
        <v>17326</v>
      </c>
      <c r="C1278" s="34" t="s">
        <v>2333</v>
      </c>
    </row>
    <row r="1279" spans="1:3" ht="15.75" customHeight="1" x14ac:dyDescent="0.2">
      <c r="A1279" s="42">
        <v>1644</v>
      </c>
      <c r="B1279" s="42">
        <v>17326</v>
      </c>
      <c r="C1279" s="34" t="s">
        <v>2334</v>
      </c>
    </row>
    <row r="1280" spans="1:3" ht="15.75" customHeight="1" x14ac:dyDescent="0.2">
      <c r="A1280" s="42">
        <v>1645</v>
      </c>
      <c r="B1280" s="42">
        <v>17326</v>
      </c>
      <c r="C1280" s="34" t="s">
        <v>2335</v>
      </c>
    </row>
    <row r="1281" spans="1:3" ht="15.75" customHeight="1" x14ac:dyDescent="0.2">
      <c r="A1281" s="42">
        <v>1646</v>
      </c>
      <c r="B1281" s="42">
        <v>17326</v>
      </c>
      <c r="C1281" s="34" t="s">
        <v>2336</v>
      </c>
    </row>
    <row r="1282" spans="1:3" ht="15.75" customHeight="1" x14ac:dyDescent="0.2">
      <c r="A1282" s="42">
        <v>1647</v>
      </c>
      <c r="B1282" s="42">
        <v>17326</v>
      </c>
      <c r="C1282" s="34" t="s">
        <v>2337</v>
      </c>
    </row>
    <row r="1283" spans="1:3" ht="15.75" customHeight="1" x14ac:dyDescent="0.2">
      <c r="A1283" s="42">
        <v>1648</v>
      </c>
      <c r="B1283" s="42">
        <v>17326</v>
      </c>
      <c r="C1283" s="34" t="s">
        <v>2338</v>
      </c>
    </row>
    <row r="1284" spans="1:3" ht="15.75" customHeight="1" x14ac:dyDescent="0.2">
      <c r="A1284" s="42">
        <v>1649</v>
      </c>
      <c r="B1284" s="42">
        <v>17326</v>
      </c>
      <c r="C1284" s="34" t="s">
        <v>2339</v>
      </c>
    </row>
    <row r="1285" spans="1:3" ht="15.75" customHeight="1" x14ac:dyDescent="0.2">
      <c r="A1285" s="42">
        <v>1650</v>
      </c>
      <c r="B1285" s="42">
        <v>17326</v>
      </c>
      <c r="C1285" s="34" t="s">
        <v>2340</v>
      </c>
    </row>
    <row r="1286" spans="1:3" ht="15.75" customHeight="1" x14ac:dyDescent="0.2">
      <c r="A1286" s="42">
        <v>1651</v>
      </c>
      <c r="B1286" s="42">
        <v>17326</v>
      </c>
      <c r="C1286" s="34" t="s">
        <v>2341</v>
      </c>
    </row>
    <row r="1287" spans="1:3" ht="15.75" customHeight="1" x14ac:dyDescent="0.2">
      <c r="A1287" s="42">
        <v>1652</v>
      </c>
      <c r="B1287" s="42">
        <v>17326</v>
      </c>
      <c r="C1287" s="34" t="s">
        <v>2342</v>
      </c>
    </row>
    <row r="1288" spans="1:3" ht="15.75" customHeight="1" x14ac:dyDescent="0.2">
      <c r="A1288" s="42">
        <v>1653</v>
      </c>
      <c r="B1288" s="42">
        <v>17326</v>
      </c>
      <c r="C1288" s="34" t="s">
        <v>2343</v>
      </c>
    </row>
    <row r="1289" spans="1:3" ht="15.75" customHeight="1" x14ac:dyDescent="0.2">
      <c r="A1289" s="42">
        <v>1654</v>
      </c>
      <c r="B1289" s="42">
        <v>17326</v>
      </c>
      <c r="C1289" s="34" t="s">
        <v>2344</v>
      </c>
    </row>
    <row r="1290" spans="1:3" ht="15.75" customHeight="1" x14ac:dyDescent="0.2">
      <c r="A1290" s="42">
        <v>1655</v>
      </c>
      <c r="B1290" s="42">
        <v>17326</v>
      </c>
      <c r="C1290" s="34" t="s">
        <v>2345</v>
      </c>
    </row>
    <row r="1291" spans="1:3" ht="15.75" customHeight="1" x14ac:dyDescent="0.2">
      <c r="A1291" s="42">
        <v>1656</v>
      </c>
      <c r="B1291" s="42">
        <v>17326</v>
      </c>
      <c r="C1291" s="34" t="s">
        <v>2346</v>
      </c>
    </row>
    <row r="1292" spans="1:3" ht="15.75" customHeight="1" x14ac:dyDescent="0.2">
      <c r="A1292" s="42">
        <v>1657</v>
      </c>
      <c r="B1292" s="42">
        <v>17326</v>
      </c>
      <c r="C1292" s="34" t="s">
        <v>2347</v>
      </c>
    </row>
    <row r="1293" spans="1:3" ht="15.75" customHeight="1" x14ac:dyDescent="0.2">
      <c r="A1293" s="42">
        <v>1658</v>
      </c>
      <c r="B1293" s="42">
        <v>17326</v>
      </c>
      <c r="C1293" s="34" t="s">
        <v>2348</v>
      </c>
    </row>
    <row r="1294" spans="1:3" ht="15.75" customHeight="1" x14ac:dyDescent="0.2">
      <c r="A1294" s="42">
        <v>1659</v>
      </c>
      <c r="B1294" s="42">
        <v>17326</v>
      </c>
      <c r="C1294" s="34" t="s">
        <v>2349</v>
      </c>
    </row>
    <row r="1295" spans="1:3" ht="15.75" customHeight="1" x14ac:dyDescent="0.2">
      <c r="A1295" s="42">
        <v>1660</v>
      </c>
      <c r="B1295" s="42">
        <v>17326</v>
      </c>
      <c r="C1295" s="34" t="s">
        <v>2350</v>
      </c>
    </row>
    <row r="1296" spans="1:3" ht="15.75" customHeight="1" x14ac:dyDescent="0.2">
      <c r="A1296" s="42">
        <v>1661</v>
      </c>
      <c r="B1296" s="42">
        <v>17326</v>
      </c>
      <c r="C1296" s="34" t="s">
        <v>2351</v>
      </c>
    </row>
    <row r="1297" spans="1:3" ht="15.75" customHeight="1" x14ac:dyDescent="0.2">
      <c r="A1297" s="42">
        <v>1662</v>
      </c>
      <c r="B1297" s="42">
        <v>17326</v>
      </c>
      <c r="C1297" s="34" t="s">
        <v>2352</v>
      </c>
    </row>
    <row r="1298" spans="1:3" ht="15.75" customHeight="1" x14ac:dyDescent="0.2">
      <c r="A1298" s="42">
        <v>1663</v>
      </c>
      <c r="B1298" s="42">
        <v>17326</v>
      </c>
      <c r="C1298" s="34" t="s">
        <v>2353</v>
      </c>
    </row>
    <row r="1299" spans="1:3" ht="15.75" customHeight="1" x14ac:dyDescent="0.2">
      <c r="A1299" s="42">
        <v>1664</v>
      </c>
      <c r="B1299" s="42">
        <v>17326</v>
      </c>
      <c r="C1299" s="34" t="s">
        <v>2354</v>
      </c>
    </row>
    <row r="1300" spans="1:3" ht="15.75" customHeight="1" x14ac:dyDescent="0.2">
      <c r="A1300" s="42">
        <v>1665</v>
      </c>
      <c r="B1300" s="42">
        <v>17326</v>
      </c>
      <c r="C1300" s="34" t="s">
        <v>2355</v>
      </c>
    </row>
    <row r="1301" spans="1:3" ht="15.75" customHeight="1" x14ac:dyDescent="0.2">
      <c r="A1301" s="42">
        <v>1666</v>
      </c>
      <c r="B1301" s="42">
        <v>17326</v>
      </c>
      <c r="C1301" s="34" t="s">
        <v>2356</v>
      </c>
    </row>
    <row r="1302" spans="1:3" ht="15.75" customHeight="1" x14ac:dyDescent="0.2">
      <c r="A1302" s="42">
        <v>1667</v>
      </c>
      <c r="B1302" s="42">
        <v>17326</v>
      </c>
      <c r="C1302" s="34" t="s">
        <v>2357</v>
      </c>
    </row>
    <row r="1303" spans="1:3" ht="15.75" customHeight="1" x14ac:dyDescent="0.2">
      <c r="A1303" s="42">
        <v>1668</v>
      </c>
      <c r="B1303" s="42">
        <v>17326</v>
      </c>
      <c r="C1303" s="34" t="s">
        <v>2358</v>
      </c>
    </row>
    <row r="1304" spans="1:3" ht="15.75" customHeight="1" x14ac:dyDescent="0.2">
      <c r="A1304" s="42">
        <v>1669</v>
      </c>
      <c r="B1304" s="42">
        <v>17326</v>
      </c>
      <c r="C1304" s="34" t="s">
        <v>2359</v>
      </c>
    </row>
    <row r="1305" spans="1:3" ht="15.75" customHeight="1" x14ac:dyDescent="0.2">
      <c r="A1305" s="42">
        <v>1670</v>
      </c>
      <c r="B1305" s="42">
        <v>17326</v>
      </c>
      <c r="C1305" s="34" t="s">
        <v>2360</v>
      </c>
    </row>
    <row r="1306" spans="1:3" ht="15.75" customHeight="1" x14ac:dyDescent="0.2">
      <c r="A1306" s="42">
        <v>1671</v>
      </c>
      <c r="B1306" s="42">
        <v>17326</v>
      </c>
      <c r="C1306" s="34" t="s">
        <v>2361</v>
      </c>
    </row>
    <row r="1307" spans="1:3" ht="15.75" customHeight="1" x14ac:dyDescent="0.2">
      <c r="A1307" s="42">
        <v>1672</v>
      </c>
      <c r="B1307" s="42">
        <v>17326</v>
      </c>
      <c r="C1307" s="34" t="s">
        <v>2362</v>
      </c>
    </row>
    <row r="1308" spans="1:3" ht="15.75" customHeight="1" x14ac:dyDescent="0.2">
      <c r="A1308" s="42">
        <v>1673</v>
      </c>
      <c r="B1308" s="42">
        <v>17326</v>
      </c>
      <c r="C1308" s="34" t="s">
        <v>2363</v>
      </c>
    </row>
    <row r="1309" spans="1:3" ht="15.75" customHeight="1" x14ac:dyDescent="0.2">
      <c r="A1309" s="42">
        <v>1674</v>
      </c>
      <c r="B1309" s="42">
        <v>17326</v>
      </c>
      <c r="C1309" s="34" t="s">
        <v>2364</v>
      </c>
    </row>
    <row r="1310" spans="1:3" ht="15.75" customHeight="1" x14ac:dyDescent="0.2">
      <c r="A1310" s="42">
        <v>1675</v>
      </c>
      <c r="B1310" s="42">
        <v>17326</v>
      </c>
      <c r="C1310" s="34" t="s">
        <v>2365</v>
      </c>
    </row>
    <row r="1311" spans="1:3" ht="15.75" customHeight="1" x14ac:dyDescent="0.2">
      <c r="A1311" s="42">
        <v>1676</v>
      </c>
      <c r="B1311" s="42">
        <v>17326</v>
      </c>
      <c r="C1311" s="34" t="s">
        <v>2366</v>
      </c>
    </row>
    <row r="1312" spans="1:3" ht="15.75" customHeight="1" x14ac:dyDescent="0.2">
      <c r="A1312" s="42">
        <v>1677</v>
      </c>
      <c r="B1312" s="42">
        <v>17326</v>
      </c>
      <c r="C1312" s="34" t="s">
        <v>2367</v>
      </c>
    </row>
    <row r="1313" spans="1:3" ht="15.75" customHeight="1" x14ac:dyDescent="0.2">
      <c r="A1313" s="42">
        <v>1678</v>
      </c>
      <c r="B1313" s="42">
        <v>17326</v>
      </c>
      <c r="C1313" s="34" t="s">
        <v>2368</v>
      </c>
    </row>
    <row r="1314" spans="1:3" ht="15.75" customHeight="1" x14ac:dyDescent="0.2">
      <c r="A1314" s="42">
        <v>1679</v>
      </c>
      <c r="B1314" s="42">
        <v>17326</v>
      </c>
      <c r="C1314" s="34" t="s">
        <v>2369</v>
      </c>
    </row>
    <row r="1315" spans="1:3" ht="15.75" customHeight="1" x14ac:dyDescent="0.2">
      <c r="A1315" s="42">
        <v>1680</v>
      </c>
      <c r="B1315" s="42">
        <v>17326</v>
      </c>
      <c r="C1315" s="34" t="s">
        <v>2370</v>
      </c>
    </row>
    <row r="1316" spans="1:3" ht="15.75" customHeight="1" x14ac:dyDescent="0.2">
      <c r="A1316" s="42">
        <v>1681</v>
      </c>
      <c r="B1316" s="42">
        <v>17326</v>
      </c>
      <c r="C1316" s="34" t="s">
        <v>2371</v>
      </c>
    </row>
    <row r="1317" spans="1:3" ht="15.75" customHeight="1" x14ac:dyDescent="0.2">
      <c r="A1317" s="42">
        <v>1682</v>
      </c>
      <c r="B1317" s="42">
        <v>17326</v>
      </c>
      <c r="C1317" s="34" t="s">
        <v>2372</v>
      </c>
    </row>
    <row r="1318" spans="1:3" ht="15.75" customHeight="1" x14ac:dyDescent="0.2">
      <c r="A1318" s="42">
        <v>1683</v>
      </c>
      <c r="B1318" s="42">
        <v>17326</v>
      </c>
      <c r="C1318" s="34" t="s">
        <v>2373</v>
      </c>
    </row>
    <row r="1319" spans="1:3" ht="15.75" customHeight="1" x14ac:dyDescent="0.2">
      <c r="A1319" s="42">
        <v>1684</v>
      </c>
      <c r="B1319" s="42">
        <v>17326</v>
      </c>
      <c r="C1319" s="34" t="s">
        <v>2374</v>
      </c>
    </row>
    <row r="1320" spans="1:3" ht="15.75" customHeight="1" x14ac:dyDescent="0.2">
      <c r="A1320" s="42">
        <v>1685</v>
      </c>
      <c r="B1320" s="42">
        <v>17326</v>
      </c>
      <c r="C1320" s="34" t="s">
        <v>2375</v>
      </c>
    </row>
    <row r="1321" spans="1:3" ht="15.75" customHeight="1" x14ac:dyDescent="0.2">
      <c r="A1321" s="42">
        <v>1686</v>
      </c>
      <c r="B1321" s="42">
        <v>17326</v>
      </c>
      <c r="C1321" s="34" t="s">
        <v>2376</v>
      </c>
    </row>
    <row r="1322" spans="1:3" ht="15.75" customHeight="1" x14ac:dyDescent="0.2">
      <c r="A1322" s="42">
        <v>1687</v>
      </c>
      <c r="B1322" s="42">
        <v>17327</v>
      </c>
      <c r="C1322" s="34" t="s">
        <v>2377</v>
      </c>
    </row>
    <row r="1323" spans="1:3" ht="15.75" customHeight="1" x14ac:dyDescent="0.2">
      <c r="A1323" s="42">
        <v>1688</v>
      </c>
      <c r="B1323" s="42">
        <v>17327</v>
      </c>
      <c r="C1323" s="34" t="s">
        <v>2378</v>
      </c>
    </row>
    <row r="1324" spans="1:3" ht="15.75" customHeight="1" x14ac:dyDescent="0.2">
      <c r="A1324" s="42">
        <v>1689</v>
      </c>
      <c r="B1324" s="42">
        <v>17327</v>
      </c>
      <c r="C1324" s="34" t="s">
        <v>2379</v>
      </c>
    </row>
    <row r="1325" spans="1:3" ht="15.75" customHeight="1" x14ac:dyDescent="0.2">
      <c r="A1325" s="42">
        <v>1690</v>
      </c>
      <c r="B1325" s="42">
        <v>17327</v>
      </c>
      <c r="C1325" s="34" t="s">
        <v>2380</v>
      </c>
    </row>
    <row r="1326" spans="1:3" ht="15.75" customHeight="1" x14ac:dyDescent="0.2">
      <c r="A1326" s="42">
        <v>1691</v>
      </c>
      <c r="B1326" s="42">
        <v>17327</v>
      </c>
      <c r="C1326" s="34" t="s">
        <v>2381</v>
      </c>
    </row>
    <row r="1327" spans="1:3" ht="15.75" customHeight="1" x14ac:dyDescent="0.2">
      <c r="A1327" s="42">
        <v>1692</v>
      </c>
      <c r="B1327" s="42">
        <v>17327</v>
      </c>
      <c r="C1327" s="34" t="s">
        <v>2382</v>
      </c>
    </row>
    <row r="1328" spans="1:3" ht="15.75" customHeight="1" x14ac:dyDescent="0.2">
      <c r="A1328" s="42">
        <v>1693</v>
      </c>
      <c r="B1328" s="42">
        <v>17327</v>
      </c>
      <c r="C1328" s="34" t="s">
        <v>2383</v>
      </c>
    </row>
    <row r="1329" spans="1:3" ht="15.75" customHeight="1" x14ac:dyDescent="0.2">
      <c r="A1329" s="42">
        <v>1694</v>
      </c>
      <c r="B1329" s="42">
        <v>17327</v>
      </c>
      <c r="C1329" s="34" t="s">
        <v>2384</v>
      </c>
    </row>
    <row r="1330" spans="1:3" ht="15.75" customHeight="1" x14ac:dyDescent="0.2">
      <c r="A1330" s="42">
        <v>1695</v>
      </c>
      <c r="B1330" s="42">
        <v>17327</v>
      </c>
      <c r="C1330" s="34" t="s">
        <v>2385</v>
      </c>
    </row>
    <row r="1331" spans="1:3" ht="15.75" customHeight="1" x14ac:dyDescent="0.2">
      <c r="A1331" s="42">
        <v>1696</v>
      </c>
      <c r="B1331" s="42">
        <v>17327</v>
      </c>
      <c r="C1331" s="34" t="s">
        <v>2386</v>
      </c>
    </row>
    <row r="1332" spans="1:3" ht="15.75" customHeight="1" x14ac:dyDescent="0.2">
      <c r="A1332" s="42">
        <v>1697</v>
      </c>
      <c r="B1332" s="42">
        <v>17327</v>
      </c>
      <c r="C1332" s="34" t="s">
        <v>2387</v>
      </c>
    </row>
    <row r="1333" spans="1:3" ht="15.75" customHeight="1" x14ac:dyDescent="0.2">
      <c r="A1333" s="42">
        <v>1698</v>
      </c>
      <c r="B1333" s="42">
        <v>17327</v>
      </c>
      <c r="C1333" s="34" t="s">
        <v>2388</v>
      </c>
    </row>
    <row r="1334" spans="1:3" ht="15.75" customHeight="1" x14ac:dyDescent="0.2">
      <c r="A1334" s="42">
        <v>1699</v>
      </c>
      <c r="B1334" s="42">
        <v>17327</v>
      </c>
      <c r="C1334" s="34" t="s">
        <v>2389</v>
      </c>
    </row>
    <row r="1335" spans="1:3" ht="15.75" customHeight="1" x14ac:dyDescent="0.2">
      <c r="A1335" s="42">
        <v>1700</v>
      </c>
      <c r="B1335" s="42">
        <v>17327</v>
      </c>
      <c r="C1335" s="34" t="s">
        <v>2390</v>
      </c>
    </row>
    <row r="1336" spans="1:3" ht="15.75" customHeight="1" x14ac:dyDescent="0.2">
      <c r="A1336" s="42">
        <v>1701</v>
      </c>
      <c r="B1336" s="42">
        <v>17327</v>
      </c>
      <c r="C1336" s="34" t="s">
        <v>2391</v>
      </c>
    </row>
    <row r="1337" spans="1:3" ht="15.75" customHeight="1" x14ac:dyDescent="0.2">
      <c r="A1337" s="42">
        <v>1702</v>
      </c>
      <c r="B1337" s="42">
        <v>17327</v>
      </c>
      <c r="C1337" s="34" t="s">
        <v>2392</v>
      </c>
    </row>
    <row r="1338" spans="1:3" ht="15.75" customHeight="1" x14ac:dyDescent="0.2">
      <c r="A1338" s="42">
        <v>1703</v>
      </c>
      <c r="B1338" s="42">
        <v>17327</v>
      </c>
      <c r="C1338" s="34" t="s">
        <v>2393</v>
      </c>
    </row>
    <row r="1339" spans="1:3" ht="15.75" customHeight="1" x14ac:dyDescent="0.2">
      <c r="A1339" s="42">
        <v>1704</v>
      </c>
      <c r="B1339" s="42">
        <v>17327</v>
      </c>
      <c r="C1339" s="34" t="s">
        <v>2394</v>
      </c>
    </row>
    <row r="1340" spans="1:3" ht="15.75" customHeight="1" x14ac:dyDescent="0.2">
      <c r="A1340" s="42">
        <v>1705</v>
      </c>
      <c r="B1340" s="42">
        <v>17327</v>
      </c>
      <c r="C1340" s="34" t="s">
        <v>2395</v>
      </c>
    </row>
    <row r="1341" spans="1:3" ht="15.75" customHeight="1" x14ac:dyDescent="0.2">
      <c r="A1341" s="42">
        <v>1706</v>
      </c>
      <c r="B1341" s="42">
        <v>17327</v>
      </c>
      <c r="C1341" s="34" t="s">
        <v>2396</v>
      </c>
    </row>
    <row r="1342" spans="1:3" ht="15.75" customHeight="1" x14ac:dyDescent="0.2">
      <c r="A1342" s="42">
        <v>1707</v>
      </c>
      <c r="B1342" s="42">
        <v>17327</v>
      </c>
      <c r="C1342" s="34" t="s">
        <v>2397</v>
      </c>
    </row>
    <row r="1343" spans="1:3" ht="15.75" customHeight="1" x14ac:dyDescent="0.2">
      <c r="A1343" s="42">
        <v>1708</v>
      </c>
      <c r="B1343" s="42">
        <v>17327</v>
      </c>
      <c r="C1343" s="34" t="s">
        <v>2398</v>
      </c>
    </row>
    <row r="1344" spans="1:3" ht="15.75" customHeight="1" x14ac:dyDescent="0.2">
      <c r="A1344" s="42">
        <v>1709</v>
      </c>
      <c r="B1344" s="42">
        <v>17327</v>
      </c>
      <c r="C1344" s="34" t="s">
        <v>2399</v>
      </c>
    </row>
    <row r="1345" spans="1:3" ht="15.75" customHeight="1" x14ac:dyDescent="0.2">
      <c r="A1345" s="42">
        <v>1710</v>
      </c>
      <c r="B1345" s="42">
        <v>17327</v>
      </c>
      <c r="C1345" s="34" t="s">
        <v>2400</v>
      </c>
    </row>
    <row r="1346" spans="1:3" ht="15.75" customHeight="1" x14ac:dyDescent="0.2">
      <c r="A1346" s="42">
        <v>1711</v>
      </c>
      <c r="B1346" s="42">
        <v>17327</v>
      </c>
      <c r="C1346" s="34" t="s">
        <v>2401</v>
      </c>
    </row>
    <row r="1347" spans="1:3" ht="15.75" customHeight="1" x14ac:dyDescent="0.2">
      <c r="A1347" s="42">
        <v>1712</v>
      </c>
      <c r="B1347" s="42">
        <v>17327</v>
      </c>
      <c r="C1347" s="34" t="s">
        <v>2402</v>
      </c>
    </row>
    <row r="1348" spans="1:3" ht="15.75" customHeight="1" x14ac:dyDescent="0.2">
      <c r="A1348" s="42">
        <v>1713</v>
      </c>
      <c r="B1348" s="42">
        <v>17327</v>
      </c>
      <c r="C1348" s="34" t="s">
        <v>2403</v>
      </c>
    </row>
    <row r="1349" spans="1:3" ht="15.75" customHeight="1" x14ac:dyDescent="0.2">
      <c r="A1349" s="42">
        <v>1714</v>
      </c>
      <c r="B1349" s="42">
        <v>17327</v>
      </c>
      <c r="C1349" s="34" t="s">
        <v>2404</v>
      </c>
    </row>
    <row r="1350" spans="1:3" ht="15.75" customHeight="1" x14ac:dyDescent="0.2">
      <c r="A1350" s="42">
        <v>1715</v>
      </c>
      <c r="B1350" s="42">
        <v>17327</v>
      </c>
      <c r="C1350" s="34" t="s">
        <v>2405</v>
      </c>
    </row>
    <row r="1351" spans="1:3" ht="15.75" customHeight="1" x14ac:dyDescent="0.2">
      <c r="A1351" s="42">
        <v>1716</v>
      </c>
      <c r="B1351" s="42">
        <v>17327</v>
      </c>
      <c r="C1351" s="34" t="s">
        <v>2406</v>
      </c>
    </row>
    <row r="1352" spans="1:3" ht="15.75" customHeight="1" x14ac:dyDescent="0.2">
      <c r="A1352" s="42">
        <v>1717</v>
      </c>
      <c r="B1352" s="42">
        <v>17327</v>
      </c>
      <c r="C1352" s="34" t="s">
        <v>2381</v>
      </c>
    </row>
    <row r="1353" spans="1:3" ht="15.75" customHeight="1" x14ac:dyDescent="0.2">
      <c r="A1353" s="42">
        <v>1718</v>
      </c>
      <c r="B1353" s="42">
        <v>17327</v>
      </c>
      <c r="C1353" s="34" t="s">
        <v>2407</v>
      </c>
    </row>
    <row r="1354" spans="1:3" ht="15.75" customHeight="1" x14ac:dyDescent="0.2">
      <c r="A1354" s="42">
        <v>1719</v>
      </c>
      <c r="B1354" s="42">
        <v>17327</v>
      </c>
      <c r="C1354" s="34" t="s">
        <v>2408</v>
      </c>
    </row>
    <row r="1355" spans="1:3" ht="15.75" customHeight="1" x14ac:dyDescent="0.2">
      <c r="A1355" s="42">
        <v>1720</v>
      </c>
      <c r="B1355" s="42">
        <v>17327</v>
      </c>
      <c r="C1355" s="34" t="s">
        <v>2409</v>
      </c>
    </row>
    <row r="1356" spans="1:3" ht="15.75" customHeight="1" x14ac:dyDescent="0.2">
      <c r="A1356" s="42">
        <v>1721</v>
      </c>
      <c r="B1356" s="42">
        <v>17327</v>
      </c>
      <c r="C1356" s="34" t="s">
        <v>2410</v>
      </c>
    </row>
    <row r="1357" spans="1:3" ht="15.75" customHeight="1" x14ac:dyDescent="0.2">
      <c r="A1357" s="42">
        <v>1722</v>
      </c>
      <c r="B1357" s="42">
        <v>17327</v>
      </c>
      <c r="C1357" s="34" t="s">
        <v>2411</v>
      </c>
    </row>
    <row r="1358" spans="1:3" ht="15.75" customHeight="1" x14ac:dyDescent="0.2">
      <c r="A1358" s="42">
        <v>1723</v>
      </c>
      <c r="B1358" s="42">
        <v>17327</v>
      </c>
      <c r="C1358" s="34" t="s">
        <v>2412</v>
      </c>
    </row>
    <row r="1359" spans="1:3" ht="15.75" customHeight="1" x14ac:dyDescent="0.2">
      <c r="A1359" s="42">
        <v>1724</v>
      </c>
      <c r="B1359" s="42">
        <v>17327</v>
      </c>
      <c r="C1359" s="34" t="s">
        <v>2413</v>
      </c>
    </row>
    <row r="1360" spans="1:3" ht="15.75" customHeight="1" x14ac:dyDescent="0.2">
      <c r="A1360" s="42">
        <v>1725</v>
      </c>
      <c r="B1360" s="42">
        <v>17327</v>
      </c>
      <c r="C1360" s="34" t="s">
        <v>2414</v>
      </c>
    </row>
    <row r="1361" spans="1:3" ht="15.75" customHeight="1" x14ac:dyDescent="0.2">
      <c r="A1361" s="42">
        <v>1726</v>
      </c>
      <c r="B1361" s="42">
        <v>17327</v>
      </c>
      <c r="C1361" s="34" t="s">
        <v>2415</v>
      </c>
    </row>
    <row r="1362" spans="1:3" ht="15.75" customHeight="1" x14ac:dyDescent="0.2">
      <c r="A1362" s="42">
        <v>1727</v>
      </c>
      <c r="B1362" s="42">
        <v>17327</v>
      </c>
      <c r="C1362" s="34" t="s">
        <v>2416</v>
      </c>
    </row>
    <row r="1363" spans="1:3" ht="15.75" customHeight="1" x14ac:dyDescent="0.2">
      <c r="A1363" s="42">
        <v>1728</v>
      </c>
      <c r="B1363" s="42">
        <v>17327</v>
      </c>
      <c r="C1363" s="34" t="s">
        <v>2417</v>
      </c>
    </row>
    <row r="1364" spans="1:3" ht="15.75" customHeight="1" x14ac:dyDescent="0.2">
      <c r="A1364" s="42">
        <v>1729</v>
      </c>
      <c r="B1364" s="42">
        <v>17327</v>
      </c>
      <c r="C1364" s="34" t="s">
        <v>2418</v>
      </c>
    </row>
    <row r="1365" spans="1:3" ht="15.75" customHeight="1" x14ac:dyDescent="0.2">
      <c r="A1365" s="42">
        <v>1730</v>
      </c>
      <c r="B1365" s="42">
        <v>17327</v>
      </c>
      <c r="C1365" s="34" t="s">
        <v>2419</v>
      </c>
    </row>
    <row r="1366" spans="1:3" ht="15.75" customHeight="1" x14ac:dyDescent="0.2">
      <c r="A1366" s="42">
        <v>1731</v>
      </c>
      <c r="B1366" s="42">
        <v>17327</v>
      </c>
      <c r="C1366" s="34" t="s">
        <v>2420</v>
      </c>
    </row>
    <row r="1367" spans="1:3" ht="15.75" customHeight="1" x14ac:dyDescent="0.2">
      <c r="A1367" s="42">
        <v>1732</v>
      </c>
      <c r="B1367" s="42">
        <v>17327</v>
      </c>
      <c r="C1367" s="34" t="s">
        <v>2421</v>
      </c>
    </row>
    <row r="1368" spans="1:3" ht="15.75" customHeight="1" x14ac:dyDescent="0.2">
      <c r="A1368" s="42">
        <v>1733</v>
      </c>
      <c r="B1368" s="42">
        <v>17327</v>
      </c>
      <c r="C1368" s="34" t="s">
        <v>2422</v>
      </c>
    </row>
    <row r="1369" spans="1:3" ht="15.75" customHeight="1" x14ac:dyDescent="0.2">
      <c r="A1369" s="42">
        <v>1734</v>
      </c>
      <c r="B1369" s="42">
        <v>17327</v>
      </c>
      <c r="C1369" s="34" t="s">
        <v>2423</v>
      </c>
    </row>
    <row r="1370" spans="1:3" ht="15.75" customHeight="1" x14ac:dyDescent="0.2">
      <c r="A1370" s="42">
        <v>1735</v>
      </c>
      <c r="B1370" s="42">
        <v>17327</v>
      </c>
      <c r="C1370" s="34" t="s">
        <v>2424</v>
      </c>
    </row>
    <row r="1371" spans="1:3" ht="15.75" customHeight="1" x14ac:dyDescent="0.2">
      <c r="A1371" s="42">
        <v>1736</v>
      </c>
      <c r="B1371" s="42">
        <v>17327</v>
      </c>
      <c r="C1371" s="34" t="s">
        <v>2425</v>
      </c>
    </row>
    <row r="1372" spans="1:3" ht="15.75" customHeight="1" x14ac:dyDescent="0.2">
      <c r="A1372" s="42">
        <v>1737</v>
      </c>
      <c r="B1372" s="42">
        <v>17327</v>
      </c>
      <c r="C1372" s="34" t="s">
        <v>2426</v>
      </c>
    </row>
    <row r="1373" spans="1:3" ht="15.75" customHeight="1" x14ac:dyDescent="0.2">
      <c r="A1373" s="42">
        <v>1738</v>
      </c>
      <c r="B1373" s="42">
        <v>17327</v>
      </c>
      <c r="C1373" s="34" t="s">
        <v>2427</v>
      </c>
    </row>
    <row r="1374" spans="1:3" ht="15.75" customHeight="1" x14ac:dyDescent="0.2">
      <c r="A1374" s="42">
        <v>1739</v>
      </c>
      <c r="B1374" s="42">
        <v>17327</v>
      </c>
      <c r="C1374" s="34" t="s">
        <v>2428</v>
      </c>
    </row>
    <row r="1375" spans="1:3" ht="15.75" customHeight="1" x14ac:dyDescent="0.2">
      <c r="A1375" s="42">
        <v>1740</v>
      </c>
      <c r="B1375" s="42">
        <v>17327</v>
      </c>
      <c r="C1375" s="34" t="s">
        <v>2429</v>
      </c>
    </row>
    <row r="1376" spans="1:3" ht="15.75" customHeight="1" x14ac:dyDescent="0.2">
      <c r="A1376" s="42">
        <v>1741</v>
      </c>
      <c r="B1376" s="42">
        <v>17327</v>
      </c>
      <c r="C1376" s="34" t="s">
        <v>2430</v>
      </c>
    </row>
    <row r="1377" spans="1:3" ht="15.75" customHeight="1" x14ac:dyDescent="0.2">
      <c r="A1377" s="42">
        <v>1742</v>
      </c>
      <c r="B1377" s="42">
        <v>17327</v>
      </c>
      <c r="C1377" s="34" t="s">
        <v>2431</v>
      </c>
    </row>
    <row r="1378" spans="1:3" ht="15.75" customHeight="1" x14ac:dyDescent="0.2">
      <c r="A1378" s="42">
        <v>1743</v>
      </c>
      <c r="B1378" s="42">
        <v>17327</v>
      </c>
      <c r="C1378" s="34" t="s">
        <v>2432</v>
      </c>
    </row>
    <row r="1379" spans="1:3" ht="15.75" customHeight="1" x14ac:dyDescent="0.2">
      <c r="A1379" s="42">
        <v>1744</v>
      </c>
      <c r="B1379" s="42">
        <v>17327</v>
      </c>
      <c r="C1379" s="34" t="s">
        <v>2433</v>
      </c>
    </row>
    <row r="1380" spans="1:3" ht="15.75" customHeight="1" x14ac:dyDescent="0.2">
      <c r="A1380" s="42">
        <v>1745</v>
      </c>
      <c r="B1380" s="42">
        <v>17327</v>
      </c>
      <c r="C1380" s="34" t="s">
        <v>2382</v>
      </c>
    </row>
    <row r="1381" spans="1:3" ht="15.75" customHeight="1" x14ac:dyDescent="0.2">
      <c r="A1381" s="42">
        <v>1746</v>
      </c>
      <c r="B1381" s="42">
        <v>17327</v>
      </c>
      <c r="C1381" s="34" t="s">
        <v>2434</v>
      </c>
    </row>
    <row r="1382" spans="1:3" ht="15.75" customHeight="1" x14ac:dyDescent="0.2">
      <c r="A1382" s="42">
        <v>1747</v>
      </c>
      <c r="B1382" s="42">
        <v>17327</v>
      </c>
      <c r="C1382" s="34" t="s">
        <v>2435</v>
      </c>
    </row>
    <row r="1383" spans="1:3" ht="15.75" customHeight="1" x14ac:dyDescent="0.2">
      <c r="A1383" s="42">
        <v>1748</v>
      </c>
      <c r="B1383" s="42">
        <v>17327</v>
      </c>
      <c r="C1383" s="34" t="s">
        <v>2436</v>
      </c>
    </row>
    <row r="1384" spans="1:3" ht="15.75" customHeight="1" x14ac:dyDescent="0.2">
      <c r="A1384" s="42">
        <v>1749</v>
      </c>
      <c r="B1384" s="42">
        <v>17327</v>
      </c>
      <c r="C1384" s="34" t="s">
        <v>2437</v>
      </c>
    </row>
    <row r="1385" spans="1:3" ht="15.75" customHeight="1" x14ac:dyDescent="0.2">
      <c r="A1385" s="42">
        <v>1750</v>
      </c>
      <c r="B1385" s="42">
        <v>17327</v>
      </c>
      <c r="C1385" s="34" t="s">
        <v>2438</v>
      </c>
    </row>
    <row r="1386" spans="1:3" ht="15.75" customHeight="1" x14ac:dyDescent="0.2">
      <c r="A1386" s="42">
        <v>1751</v>
      </c>
      <c r="B1386" s="42">
        <v>17327</v>
      </c>
      <c r="C1386" s="34" t="s">
        <v>2439</v>
      </c>
    </row>
    <row r="1387" spans="1:3" ht="15.75" customHeight="1" x14ac:dyDescent="0.2">
      <c r="A1387" s="42">
        <v>1752</v>
      </c>
      <c r="B1387" s="42">
        <v>17327</v>
      </c>
      <c r="C1387" s="34" t="s">
        <v>2440</v>
      </c>
    </row>
    <row r="1388" spans="1:3" ht="15.75" customHeight="1" x14ac:dyDescent="0.2">
      <c r="A1388" s="42">
        <v>1753</v>
      </c>
      <c r="B1388" s="42">
        <v>17327</v>
      </c>
      <c r="C1388" s="34" t="s">
        <v>2441</v>
      </c>
    </row>
    <row r="1389" spans="1:3" ht="15.75" customHeight="1" x14ac:dyDescent="0.2">
      <c r="A1389" s="42">
        <v>1754</v>
      </c>
      <c r="B1389" s="42">
        <v>17327</v>
      </c>
      <c r="C1389" s="34" t="s">
        <v>2442</v>
      </c>
    </row>
    <row r="1390" spans="1:3" ht="15.75" customHeight="1" x14ac:dyDescent="0.2">
      <c r="A1390" s="42">
        <v>1755</v>
      </c>
      <c r="B1390" s="42">
        <v>17327</v>
      </c>
      <c r="C1390" s="34" t="s">
        <v>2443</v>
      </c>
    </row>
    <row r="1391" spans="1:3" ht="15.75" customHeight="1" x14ac:dyDescent="0.2">
      <c r="A1391" s="42">
        <v>1756</v>
      </c>
      <c r="B1391" s="42">
        <v>17327</v>
      </c>
      <c r="C1391" s="34" t="s">
        <v>2444</v>
      </c>
    </row>
    <row r="1392" spans="1:3" ht="15.75" customHeight="1" x14ac:dyDescent="0.2">
      <c r="A1392" s="42">
        <v>1757</v>
      </c>
      <c r="B1392" s="42">
        <v>17327</v>
      </c>
      <c r="C1392" s="34" t="s">
        <v>2445</v>
      </c>
    </row>
    <row r="1393" spans="1:3" ht="15.75" customHeight="1" x14ac:dyDescent="0.2">
      <c r="A1393" s="42">
        <v>1758</v>
      </c>
      <c r="B1393" s="42">
        <v>17327</v>
      </c>
      <c r="C1393" s="34" t="s">
        <v>2446</v>
      </c>
    </row>
    <row r="1394" spans="1:3" ht="15.75" customHeight="1" x14ac:dyDescent="0.2">
      <c r="A1394" s="42">
        <v>1759</v>
      </c>
      <c r="B1394" s="42">
        <v>17327</v>
      </c>
      <c r="C1394" s="34" t="s">
        <v>2447</v>
      </c>
    </row>
    <row r="1395" spans="1:3" ht="15.75" customHeight="1" x14ac:dyDescent="0.2">
      <c r="A1395" s="42">
        <v>1760</v>
      </c>
      <c r="B1395" s="42">
        <v>17327</v>
      </c>
      <c r="C1395" s="34" t="s">
        <v>2448</v>
      </c>
    </row>
    <row r="1396" spans="1:3" ht="15.75" customHeight="1" x14ac:dyDescent="0.2">
      <c r="A1396" s="42">
        <v>1761</v>
      </c>
      <c r="B1396" s="42">
        <v>17327</v>
      </c>
      <c r="C1396" s="34" t="s">
        <v>2449</v>
      </c>
    </row>
    <row r="1397" spans="1:3" ht="15.75" customHeight="1" x14ac:dyDescent="0.2">
      <c r="A1397" s="42">
        <v>1762</v>
      </c>
      <c r="B1397" s="42">
        <v>17327</v>
      </c>
      <c r="C1397" s="34" t="s">
        <v>2450</v>
      </c>
    </row>
    <row r="1398" spans="1:3" ht="15.75" customHeight="1" x14ac:dyDescent="0.2">
      <c r="A1398" s="42">
        <v>1763</v>
      </c>
      <c r="B1398" s="42">
        <v>17327</v>
      </c>
      <c r="C1398" s="34" t="s">
        <v>2451</v>
      </c>
    </row>
    <row r="1399" spans="1:3" ht="15.75" customHeight="1" x14ac:dyDescent="0.2">
      <c r="A1399" s="42">
        <v>1764</v>
      </c>
      <c r="B1399" s="42">
        <v>17327</v>
      </c>
      <c r="C1399" s="34" t="s">
        <v>2452</v>
      </c>
    </row>
    <row r="1400" spans="1:3" ht="15.75" customHeight="1" x14ac:dyDescent="0.2">
      <c r="A1400" s="42">
        <v>1765</v>
      </c>
      <c r="B1400" s="42">
        <v>17327</v>
      </c>
      <c r="C1400" s="34" t="s">
        <v>2453</v>
      </c>
    </row>
    <row r="1401" spans="1:3" ht="15.75" customHeight="1" x14ac:dyDescent="0.2">
      <c r="A1401" s="42">
        <v>1766</v>
      </c>
      <c r="B1401" s="42">
        <v>17327</v>
      </c>
      <c r="C1401" s="34" t="s">
        <v>2454</v>
      </c>
    </row>
    <row r="1402" spans="1:3" ht="15.75" customHeight="1" x14ac:dyDescent="0.2">
      <c r="A1402" s="42">
        <v>1767</v>
      </c>
      <c r="B1402" s="42">
        <v>17327</v>
      </c>
      <c r="C1402" s="34" t="s">
        <v>2455</v>
      </c>
    </row>
    <row r="1403" spans="1:3" ht="15.75" customHeight="1" x14ac:dyDescent="0.2">
      <c r="A1403" s="42">
        <v>1768</v>
      </c>
      <c r="B1403" s="42">
        <v>17327</v>
      </c>
      <c r="C1403" s="34" t="s">
        <v>2456</v>
      </c>
    </row>
    <row r="1404" spans="1:3" ht="15.75" customHeight="1" x14ac:dyDescent="0.2">
      <c r="A1404" s="42">
        <v>1769</v>
      </c>
      <c r="B1404" s="42">
        <v>17327</v>
      </c>
      <c r="C1404" s="34" t="s">
        <v>2457</v>
      </c>
    </row>
    <row r="1405" spans="1:3" ht="15.75" customHeight="1" x14ac:dyDescent="0.2">
      <c r="A1405" s="42">
        <v>1770</v>
      </c>
      <c r="B1405" s="42">
        <v>17327</v>
      </c>
      <c r="C1405" s="34" t="s">
        <v>2458</v>
      </c>
    </row>
    <row r="1406" spans="1:3" ht="15.75" customHeight="1" x14ac:dyDescent="0.2">
      <c r="A1406" s="42">
        <v>1771</v>
      </c>
      <c r="B1406" s="42">
        <v>17327</v>
      </c>
      <c r="C1406" s="34" t="s">
        <v>2459</v>
      </c>
    </row>
    <row r="1407" spans="1:3" ht="15.75" customHeight="1" x14ac:dyDescent="0.2">
      <c r="A1407" s="42">
        <v>1772</v>
      </c>
      <c r="B1407" s="42">
        <v>17327</v>
      </c>
      <c r="C1407" s="34" t="s">
        <v>2460</v>
      </c>
    </row>
    <row r="1408" spans="1:3" ht="15.75" customHeight="1" x14ac:dyDescent="0.2">
      <c r="A1408" s="42">
        <v>1773</v>
      </c>
      <c r="B1408" s="42">
        <v>17327</v>
      </c>
      <c r="C1408" s="34" t="s">
        <v>2461</v>
      </c>
    </row>
    <row r="1409" spans="1:3" ht="15.75" customHeight="1" x14ac:dyDescent="0.2">
      <c r="A1409" s="42">
        <v>1774</v>
      </c>
      <c r="B1409" s="42">
        <v>17327</v>
      </c>
      <c r="C1409" s="34" t="s">
        <v>2462</v>
      </c>
    </row>
    <row r="1410" spans="1:3" ht="15.75" customHeight="1" x14ac:dyDescent="0.2">
      <c r="A1410" s="42">
        <v>1775</v>
      </c>
      <c r="B1410" s="42">
        <v>17327</v>
      </c>
      <c r="C1410" s="34" t="s">
        <v>2463</v>
      </c>
    </row>
    <row r="1411" spans="1:3" ht="15.75" customHeight="1" x14ac:dyDescent="0.2">
      <c r="A1411" s="42">
        <v>1776</v>
      </c>
      <c r="B1411" s="42">
        <v>17327</v>
      </c>
      <c r="C1411" s="34" t="s">
        <v>2464</v>
      </c>
    </row>
    <row r="1412" spans="1:3" ht="15.75" customHeight="1" x14ac:dyDescent="0.2">
      <c r="A1412" s="42">
        <v>1777</v>
      </c>
      <c r="B1412" s="42">
        <v>17327</v>
      </c>
      <c r="C1412" s="34" t="s">
        <v>2465</v>
      </c>
    </row>
    <row r="1413" spans="1:3" ht="15.75" customHeight="1" x14ac:dyDescent="0.2">
      <c r="A1413" s="42">
        <v>1778</v>
      </c>
      <c r="B1413" s="42">
        <v>17327</v>
      </c>
      <c r="C1413" s="34" t="s">
        <v>2466</v>
      </c>
    </row>
    <row r="1414" spans="1:3" ht="15.75" customHeight="1" x14ac:dyDescent="0.2">
      <c r="A1414" s="42">
        <v>1779</v>
      </c>
      <c r="B1414" s="42">
        <v>17327</v>
      </c>
      <c r="C1414" s="34" t="s">
        <v>2467</v>
      </c>
    </row>
    <row r="1415" spans="1:3" ht="15.75" customHeight="1" x14ac:dyDescent="0.2">
      <c r="A1415" s="42">
        <v>1780</v>
      </c>
      <c r="B1415" s="42">
        <v>17327</v>
      </c>
      <c r="C1415" s="34" t="s">
        <v>2468</v>
      </c>
    </row>
    <row r="1416" spans="1:3" ht="15.75" customHeight="1" x14ac:dyDescent="0.2">
      <c r="A1416" s="42">
        <v>1781</v>
      </c>
      <c r="B1416" s="42">
        <v>17328</v>
      </c>
      <c r="C1416" s="34" t="s">
        <v>2469</v>
      </c>
    </row>
    <row r="1417" spans="1:3" ht="15.75" customHeight="1" x14ac:dyDescent="0.2">
      <c r="A1417" s="42">
        <v>1782</v>
      </c>
      <c r="B1417" s="42">
        <v>17328</v>
      </c>
      <c r="C1417" s="34" t="s">
        <v>2470</v>
      </c>
    </row>
    <row r="1418" spans="1:3" ht="15.75" customHeight="1" x14ac:dyDescent="0.2">
      <c r="A1418" s="42">
        <v>1783</v>
      </c>
      <c r="B1418" s="42">
        <v>17328</v>
      </c>
      <c r="C1418" s="34" t="s">
        <v>2471</v>
      </c>
    </row>
    <row r="1419" spans="1:3" ht="15.75" customHeight="1" x14ac:dyDescent="0.2">
      <c r="A1419" s="42">
        <v>1784</v>
      </c>
      <c r="B1419" s="42">
        <v>17328</v>
      </c>
      <c r="C1419" s="34" t="s">
        <v>2472</v>
      </c>
    </row>
    <row r="1420" spans="1:3" ht="15.75" customHeight="1" x14ac:dyDescent="0.2">
      <c r="A1420" s="42">
        <v>1785</v>
      </c>
      <c r="B1420" s="42">
        <v>17328</v>
      </c>
      <c r="C1420" s="34" t="s">
        <v>2473</v>
      </c>
    </row>
    <row r="1421" spans="1:3" ht="15.75" customHeight="1" x14ac:dyDescent="0.2">
      <c r="A1421" s="42">
        <v>1786</v>
      </c>
      <c r="B1421" s="42">
        <v>17328</v>
      </c>
      <c r="C1421" s="34" t="s">
        <v>2474</v>
      </c>
    </row>
    <row r="1422" spans="1:3" ht="15.75" customHeight="1" x14ac:dyDescent="0.2">
      <c r="A1422" s="42">
        <v>1787</v>
      </c>
      <c r="B1422" s="42">
        <v>17328</v>
      </c>
      <c r="C1422" s="34" t="s">
        <v>2475</v>
      </c>
    </row>
    <row r="1423" spans="1:3" ht="15.75" customHeight="1" x14ac:dyDescent="0.2">
      <c r="A1423" s="42">
        <v>1788</v>
      </c>
      <c r="B1423" s="42">
        <v>17328</v>
      </c>
      <c r="C1423" s="34" t="s">
        <v>2469</v>
      </c>
    </row>
    <row r="1424" spans="1:3" ht="15.75" customHeight="1" x14ac:dyDescent="0.2">
      <c r="A1424" s="42">
        <v>1789</v>
      </c>
      <c r="B1424" s="42">
        <v>17328</v>
      </c>
      <c r="C1424" s="34" t="s">
        <v>2476</v>
      </c>
    </row>
    <row r="1425" spans="1:3" ht="15.75" customHeight="1" x14ac:dyDescent="0.2">
      <c r="A1425" s="42">
        <v>1790</v>
      </c>
      <c r="B1425" s="42">
        <v>17328</v>
      </c>
      <c r="C1425" s="34" t="s">
        <v>2470</v>
      </c>
    </row>
    <row r="1426" spans="1:3" ht="15.75" customHeight="1" x14ac:dyDescent="0.2">
      <c r="A1426" s="42">
        <v>1791</v>
      </c>
      <c r="B1426" s="42">
        <v>17328</v>
      </c>
      <c r="C1426" s="34" t="s">
        <v>2469</v>
      </c>
    </row>
    <row r="1427" spans="1:3" ht="15.75" customHeight="1" x14ac:dyDescent="0.2">
      <c r="A1427" s="42">
        <v>1792</v>
      </c>
      <c r="B1427" s="42">
        <v>17328</v>
      </c>
      <c r="C1427" s="34" t="s">
        <v>2477</v>
      </c>
    </row>
    <row r="1428" spans="1:3" ht="15.75" customHeight="1" x14ac:dyDescent="0.2">
      <c r="A1428" s="42">
        <v>1793</v>
      </c>
      <c r="B1428" s="42">
        <v>17328</v>
      </c>
      <c r="C1428" s="34" t="s">
        <v>2478</v>
      </c>
    </row>
    <row r="1429" spans="1:3" ht="15.75" customHeight="1" x14ac:dyDescent="0.2">
      <c r="A1429" s="42">
        <v>1794</v>
      </c>
      <c r="B1429" s="42">
        <v>17328</v>
      </c>
      <c r="C1429" s="34" t="s">
        <v>2475</v>
      </c>
    </row>
    <row r="1430" spans="1:3" ht="15.75" customHeight="1" x14ac:dyDescent="0.2">
      <c r="A1430" s="42">
        <v>1795</v>
      </c>
      <c r="B1430" s="42">
        <v>17328</v>
      </c>
      <c r="C1430" s="34" t="s">
        <v>2479</v>
      </c>
    </row>
    <row r="1431" spans="1:3" ht="15.75" customHeight="1" x14ac:dyDescent="0.2">
      <c r="A1431" s="42">
        <v>1796</v>
      </c>
      <c r="B1431" s="42">
        <v>17328</v>
      </c>
      <c r="C1431" s="34" t="s">
        <v>2469</v>
      </c>
    </row>
    <row r="1432" spans="1:3" ht="15.75" customHeight="1" x14ac:dyDescent="0.2">
      <c r="A1432" s="42">
        <v>1797</v>
      </c>
      <c r="B1432" s="42">
        <v>17328</v>
      </c>
      <c r="C1432" s="34" t="s">
        <v>2480</v>
      </c>
    </row>
    <row r="1433" spans="1:3" ht="15.75" customHeight="1" x14ac:dyDescent="0.2">
      <c r="A1433" s="42">
        <v>1798</v>
      </c>
      <c r="B1433" s="42">
        <v>17328</v>
      </c>
      <c r="C1433" s="34" t="s">
        <v>2481</v>
      </c>
    </row>
    <row r="1434" spans="1:3" ht="15.75" customHeight="1" x14ac:dyDescent="0.2">
      <c r="A1434" s="42">
        <v>1799</v>
      </c>
      <c r="B1434" s="42">
        <v>17328</v>
      </c>
      <c r="C1434" s="34" t="s">
        <v>2482</v>
      </c>
    </row>
    <row r="1435" spans="1:3" ht="15.75" customHeight="1" x14ac:dyDescent="0.2">
      <c r="A1435" s="42">
        <v>1800</v>
      </c>
      <c r="B1435" s="42">
        <v>17328</v>
      </c>
      <c r="C1435" s="34" t="s">
        <v>2471</v>
      </c>
    </row>
    <row r="1436" spans="1:3" ht="15.75" customHeight="1" x14ac:dyDescent="0.2">
      <c r="A1436" s="42">
        <v>1801</v>
      </c>
      <c r="B1436" s="42">
        <v>17328</v>
      </c>
      <c r="C1436" s="34" t="s">
        <v>2469</v>
      </c>
    </row>
    <row r="1437" spans="1:3" ht="15.75" customHeight="1" x14ac:dyDescent="0.2">
      <c r="A1437" s="42">
        <v>1802</v>
      </c>
      <c r="B1437" s="42">
        <v>17328</v>
      </c>
      <c r="C1437" s="34" t="s">
        <v>2483</v>
      </c>
    </row>
    <row r="1438" spans="1:3" ht="15.75" customHeight="1" x14ac:dyDescent="0.2">
      <c r="A1438" s="42">
        <v>1803</v>
      </c>
      <c r="B1438" s="42">
        <v>17328</v>
      </c>
      <c r="C1438" s="34" t="s">
        <v>2471</v>
      </c>
    </row>
    <row r="1439" spans="1:3" ht="15.75" customHeight="1" x14ac:dyDescent="0.2">
      <c r="A1439" s="42">
        <v>1804</v>
      </c>
      <c r="B1439" s="42">
        <v>17328</v>
      </c>
      <c r="C1439" s="34" t="s">
        <v>2484</v>
      </c>
    </row>
    <row r="1440" spans="1:3" ht="15.75" customHeight="1" x14ac:dyDescent="0.2">
      <c r="A1440" s="42">
        <v>1805</v>
      </c>
      <c r="B1440" s="42">
        <v>17328</v>
      </c>
      <c r="C1440" s="34" t="s">
        <v>2470</v>
      </c>
    </row>
    <row r="1441" spans="1:3" ht="15.75" customHeight="1" x14ac:dyDescent="0.2">
      <c r="A1441" s="42">
        <v>1806</v>
      </c>
      <c r="B1441" s="42">
        <v>17328</v>
      </c>
      <c r="C1441" s="34" t="s">
        <v>2485</v>
      </c>
    </row>
    <row r="1442" spans="1:3" ht="15.75" customHeight="1" x14ac:dyDescent="0.2">
      <c r="A1442" s="42">
        <v>1807</v>
      </c>
      <c r="B1442" s="42">
        <v>17328</v>
      </c>
      <c r="C1442" s="34" t="s">
        <v>2469</v>
      </c>
    </row>
    <row r="1443" spans="1:3" ht="15.75" customHeight="1" x14ac:dyDescent="0.2">
      <c r="A1443" s="42">
        <v>1808</v>
      </c>
      <c r="B1443" s="42">
        <v>17328</v>
      </c>
      <c r="C1443" s="34" t="s">
        <v>2471</v>
      </c>
    </row>
    <row r="1444" spans="1:3" ht="15.75" customHeight="1" x14ac:dyDescent="0.2">
      <c r="A1444" s="42">
        <v>1809</v>
      </c>
      <c r="B1444" s="42">
        <v>17328</v>
      </c>
      <c r="C1444" s="34" t="s">
        <v>2478</v>
      </c>
    </row>
    <row r="1445" spans="1:3" ht="15.75" customHeight="1" x14ac:dyDescent="0.2">
      <c r="A1445" s="42">
        <v>1810</v>
      </c>
      <c r="B1445" s="42">
        <v>17328</v>
      </c>
      <c r="C1445" s="34" t="s">
        <v>2486</v>
      </c>
    </row>
    <row r="1446" spans="1:3" ht="15.75" customHeight="1" x14ac:dyDescent="0.2">
      <c r="A1446" s="42">
        <v>1811</v>
      </c>
      <c r="B1446" s="42">
        <v>17328</v>
      </c>
      <c r="C1446" s="34" t="s">
        <v>2487</v>
      </c>
    </row>
    <row r="1447" spans="1:3" ht="15.75" customHeight="1" x14ac:dyDescent="0.2">
      <c r="A1447" s="42">
        <v>1812</v>
      </c>
      <c r="B1447" s="42">
        <v>17328</v>
      </c>
      <c r="C1447" s="34" t="s">
        <v>2488</v>
      </c>
    </row>
    <row r="1448" spans="1:3" ht="15.75" customHeight="1" x14ac:dyDescent="0.2">
      <c r="A1448" s="42">
        <v>1813</v>
      </c>
      <c r="B1448" s="42">
        <v>17328</v>
      </c>
      <c r="C1448" s="34" t="s">
        <v>2471</v>
      </c>
    </row>
    <row r="1449" spans="1:3" ht="15.75" customHeight="1" x14ac:dyDescent="0.2">
      <c r="A1449" s="42">
        <v>1814</v>
      </c>
      <c r="B1449" s="42">
        <v>17328</v>
      </c>
      <c r="C1449" s="34" t="s">
        <v>2471</v>
      </c>
    </row>
    <row r="1450" spans="1:3" ht="15.75" customHeight="1" x14ac:dyDescent="0.2">
      <c r="A1450" s="42">
        <v>1815</v>
      </c>
      <c r="B1450" s="42">
        <v>17328</v>
      </c>
      <c r="C1450" s="34" t="s">
        <v>2481</v>
      </c>
    </row>
    <row r="1451" spans="1:3" ht="15.75" customHeight="1" x14ac:dyDescent="0.2">
      <c r="A1451" s="42">
        <v>1816</v>
      </c>
      <c r="B1451" s="42">
        <v>17328</v>
      </c>
      <c r="C1451" s="34" t="s">
        <v>2469</v>
      </c>
    </row>
    <row r="1452" spans="1:3" ht="15.75" customHeight="1" x14ac:dyDescent="0.2">
      <c r="A1452" s="42">
        <v>1817</v>
      </c>
      <c r="B1452" s="42">
        <v>17328</v>
      </c>
      <c r="C1452" s="34" t="s">
        <v>2489</v>
      </c>
    </row>
    <row r="1453" spans="1:3" ht="15.75" customHeight="1" x14ac:dyDescent="0.2">
      <c r="A1453" s="42">
        <v>1818</v>
      </c>
      <c r="B1453" s="42">
        <v>17328</v>
      </c>
      <c r="C1453" s="34" t="s">
        <v>2490</v>
      </c>
    </row>
    <row r="1454" spans="1:3" ht="15.75" customHeight="1" x14ac:dyDescent="0.2">
      <c r="A1454" s="42">
        <v>1819</v>
      </c>
      <c r="B1454" s="42">
        <v>17328</v>
      </c>
      <c r="C1454" s="34" t="s">
        <v>2469</v>
      </c>
    </row>
    <row r="1455" spans="1:3" ht="15.75" customHeight="1" x14ac:dyDescent="0.2">
      <c r="A1455" s="42">
        <v>1820</v>
      </c>
      <c r="B1455" s="42">
        <v>17328</v>
      </c>
      <c r="C1455" s="34" t="s">
        <v>2469</v>
      </c>
    </row>
    <row r="1456" spans="1:3" ht="15.75" customHeight="1" x14ac:dyDescent="0.2">
      <c r="A1456" s="42">
        <v>1821</v>
      </c>
      <c r="B1456" s="42">
        <v>17328</v>
      </c>
      <c r="C1456" s="34" t="s">
        <v>2491</v>
      </c>
    </row>
    <row r="1457" spans="1:3" ht="15.75" customHeight="1" x14ac:dyDescent="0.2">
      <c r="A1457" s="42">
        <v>1822</v>
      </c>
      <c r="B1457" s="42">
        <v>17328</v>
      </c>
      <c r="C1457" s="34" t="s">
        <v>2492</v>
      </c>
    </row>
    <row r="1458" spans="1:3" ht="15.75" customHeight="1" x14ac:dyDescent="0.2">
      <c r="A1458" s="42">
        <v>1823</v>
      </c>
      <c r="B1458" s="42">
        <v>17328</v>
      </c>
      <c r="C1458" s="34" t="s">
        <v>2475</v>
      </c>
    </row>
    <row r="1459" spans="1:3" ht="15.75" customHeight="1" x14ac:dyDescent="0.2">
      <c r="A1459" s="42">
        <v>1824</v>
      </c>
      <c r="B1459" s="42">
        <v>17328</v>
      </c>
      <c r="C1459" s="34" t="s">
        <v>2469</v>
      </c>
    </row>
    <row r="1460" spans="1:3" ht="15.75" customHeight="1" x14ac:dyDescent="0.2">
      <c r="A1460" s="42">
        <v>1825</v>
      </c>
      <c r="B1460" s="42">
        <v>17328</v>
      </c>
      <c r="C1460" s="34" t="s">
        <v>2469</v>
      </c>
    </row>
    <row r="1461" spans="1:3" ht="15.75" customHeight="1" x14ac:dyDescent="0.2">
      <c r="A1461" s="42">
        <v>1826</v>
      </c>
      <c r="B1461" s="42">
        <v>17328</v>
      </c>
      <c r="C1461" s="34" t="s">
        <v>2493</v>
      </c>
    </row>
    <row r="1462" spans="1:3" ht="15.75" customHeight="1" x14ac:dyDescent="0.2">
      <c r="A1462" s="42">
        <v>1827</v>
      </c>
      <c r="B1462" s="42">
        <v>17328</v>
      </c>
      <c r="C1462" s="34" t="s">
        <v>2469</v>
      </c>
    </row>
    <row r="1463" spans="1:3" ht="15.75" customHeight="1" x14ac:dyDescent="0.2">
      <c r="A1463" s="42">
        <v>1828</v>
      </c>
      <c r="B1463" s="42">
        <v>17328</v>
      </c>
      <c r="C1463" s="34" t="s">
        <v>2494</v>
      </c>
    </row>
    <row r="1464" spans="1:3" ht="15.75" customHeight="1" x14ac:dyDescent="0.2">
      <c r="A1464" s="42">
        <v>1829</v>
      </c>
      <c r="B1464" s="42">
        <v>17328</v>
      </c>
      <c r="C1464" s="34" t="s">
        <v>2495</v>
      </c>
    </row>
    <row r="1465" spans="1:3" ht="15.75" customHeight="1" x14ac:dyDescent="0.2">
      <c r="A1465" s="42">
        <v>1830</v>
      </c>
      <c r="B1465" s="42">
        <v>17328</v>
      </c>
      <c r="C1465" s="34" t="s">
        <v>2471</v>
      </c>
    </row>
    <row r="1466" spans="1:3" ht="15.75" customHeight="1" x14ac:dyDescent="0.2">
      <c r="A1466" s="42">
        <v>1831</v>
      </c>
      <c r="B1466" s="42">
        <v>17328</v>
      </c>
      <c r="C1466" s="34" t="s">
        <v>2469</v>
      </c>
    </row>
    <row r="1467" spans="1:3" ht="15.75" customHeight="1" x14ac:dyDescent="0.2">
      <c r="A1467" s="42">
        <v>1832</v>
      </c>
      <c r="B1467" s="42">
        <v>17328</v>
      </c>
      <c r="C1467" s="34" t="s">
        <v>2479</v>
      </c>
    </row>
    <row r="1468" spans="1:3" ht="15.75" customHeight="1" x14ac:dyDescent="0.2">
      <c r="A1468" s="42">
        <v>1833</v>
      </c>
      <c r="B1468" s="42">
        <v>17328</v>
      </c>
      <c r="C1468" s="34" t="s">
        <v>2471</v>
      </c>
    </row>
    <row r="1469" spans="1:3" ht="15.75" customHeight="1" x14ac:dyDescent="0.2">
      <c r="A1469" s="42">
        <v>1834</v>
      </c>
      <c r="B1469" s="42">
        <v>17328</v>
      </c>
      <c r="C1469" s="34" t="s">
        <v>2475</v>
      </c>
    </row>
    <row r="1470" spans="1:3" ht="15.75" customHeight="1" x14ac:dyDescent="0.2">
      <c r="A1470" s="42">
        <v>1835</v>
      </c>
      <c r="B1470" s="42">
        <v>17328</v>
      </c>
      <c r="C1470" s="34" t="s">
        <v>2473</v>
      </c>
    </row>
    <row r="1471" spans="1:3" ht="15.75" customHeight="1" x14ac:dyDescent="0.2">
      <c r="A1471" s="42">
        <v>1836</v>
      </c>
      <c r="B1471" s="42">
        <v>17328</v>
      </c>
      <c r="C1471" s="34" t="s">
        <v>2481</v>
      </c>
    </row>
    <row r="1472" spans="1:3" ht="15.75" customHeight="1" x14ac:dyDescent="0.2">
      <c r="A1472" s="42">
        <v>1837</v>
      </c>
      <c r="B1472" s="42">
        <v>17328</v>
      </c>
      <c r="C1472" s="34" t="s">
        <v>2496</v>
      </c>
    </row>
    <row r="1473" spans="1:3" ht="15.75" customHeight="1" x14ac:dyDescent="0.2">
      <c r="A1473" s="42">
        <v>1838</v>
      </c>
      <c r="B1473" s="42">
        <v>17328</v>
      </c>
      <c r="C1473" s="34" t="s">
        <v>2481</v>
      </c>
    </row>
    <row r="1474" spans="1:3" ht="15.75" customHeight="1" x14ac:dyDescent="0.2">
      <c r="A1474" s="42">
        <v>1839</v>
      </c>
      <c r="B1474" s="42">
        <v>17328</v>
      </c>
      <c r="C1474" s="34" t="s">
        <v>2475</v>
      </c>
    </row>
    <row r="1475" spans="1:3" ht="15.75" customHeight="1" x14ac:dyDescent="0.2">
      <c r="A1475" s="42">
        <v>1840</v>
      </c>
      <c r="B1475" s="42">
        <v>17328</v>
      </c>
      <c r="C1475" s="34" t="s">
        <v>2470</v>
      </c>
    </row>
    <row r="1476" spans="1:3" ht="15.75" customHeight="1" x14ac:dyDescent="0.2">
      <c r="A1476" s="42">
        <v>1841</v>
      </c>
      <c r="B1476" s="42">
        <v>17328</v>
      </c>
      <c r="C1476" s="34" t="s">
        <v>2489</v>
      </c>
    </row>
    <row r="1477" spans="1:3" ht="15.75" customHeight="1" x14ac:dyDescent="0.2">
      <c r="A1477" s="42">
        <v>1842</v>
      </c>
      <c r="B1477" s="42">
        <v>17328</v>
      </c>
      <c r="C1477" s="34" t="s">
        <v>2485</v>
      </c>
    </row>
    <row r="1478" spans="1:3" ht="15.75" customHeight="1" x14ac:dyDescent="0.2">
      <c r="A1478" s="42">
        <v>1843</v>
      </c>
      <c r="B1478" s="42">
        <v>17328</v>
      </c>
      <c r="C1478" s="34" t="s">
        <v>2497</v>
      </c>
    </row>
    <row r="1479" spans="1:3" ht="15.75" customHeight="1" x14ac:dyDescent="0.2">
      <c r="A1479" s="42">
        <v>1844</v>
      </c>
      <c r="B1479" s="42">
        <v>17328</v>
      </c>
      <c r="C1479" s="34" t="s">
        <v>2488</v>
      </c>
    </row>
    <row r="1480" spans="1:3" ht="15.75" customHeight="1" x14ac:dyDescent="0.2">
      <c r="A1480" s="42">
        <v>1845</v>
      </c>
      <c r="B1480" s="42">
        <v>17328</v>
      </c>
      <c r="C1480" s="34" t="s">
        <v>2478</v>
      </c>
    </row>
    <row r="1481" spans="1:3" ht="15.75" customHeight="1" x14ac:dyDescent="0.2">
      <c r="A1481" s="42">
        <v>1846</v>
      </c>
      <c r="B1481" s="42">
        <v>17328</v>
      </c>
      <c r="C1481" s="34" t="s">
        <v>2498</v>
      </c>
    </row>
    <row r="1482" spans="1:3" ht="15.75" customHeight="1" x14ac:dyDescent="0.2">
      <c r="A1482" s="42">
        <v>1847</v>
      </c>
      <c r="B1482" s="42">
        <v>17328</v>
      </c>
      <c r="C1482" s="34" t="s">
        <v>2483</v>
      </c>
    </row>
    <row r="1483" spans="1:3" ht="15.75" customHeight="1" x14ac:dyDescent="0.2">
      <c r="A1483" s="42">
        <v>1848</v>
      </c>
      <c r="B1483" s="42">
        <v>17328</v>
      </c>
      <c r="C1483" s="34" t="s">
        <v>2499</v>
      </c>
    </row>
    <row r="1484" spans="1:3" ht="15.75" customHeight="1" x14ac:dyDescent="0.2">
      <c r="A1484" s="42">
        <v>1849</v>
      </c>
      <c r="B1484" s="42">
        <v>17328</v>
      </c>
      <c r="C1484" s="34" t="s">
        <v>2471</v>
      </c>
    </row>
    <row r="1485" spans="1:3" ht="15.75" customHeight="1" x14ac:dyDescent="0.2">
      <c r="A1485" s="42">
        <v>1850</v>
      </c>
      <c r="B1485" s="42">
        <v>17328</v>
      </c>
      <c r="C1485" s="34" t="s">
        <v>2470</v>
      </c>
    </row>
    <row r="1486" spans="1:3" ht="15.75" customHeight="1" x14ac:dyDescent="0.2">
      <c r="A1486" s="42">
        <v>1851</v>
      </c>
      <c r="B1486" s="42">
        <v>17328</v>
      </c>
      <c r="C1486" s="34" t="s">
        <v>2475</v>
      </c>
    </row>
    <row r="1487" spans="1:3" ht="15.75" customHeight="1" x14ac:dyDescent="0.2">
      <c r="A1487" s="42">
        <v>1852</v>
      </c>
      <c r="B1487" s="42">
        <v>17328</v>
      </c>
      <c r="C1487" s="34" t="s">
        <v>2478</v>
      </c>
    </row>
    <row r="1488" spans="1:3" ht="15.75" customHeight="1" x14ac:dyDescent="0.2">
      <c r="A1488" s="42">
        <v>1853</v>
      </c>
      <c r="B1488" s="42">
        <v>17328</v>
      </c>
      <c r="C1488" s="34" t="s">
        <v>2500</v>
      </c>
    </row>
    <row r="1489" spans="1:3" ht="15.75" customHeight="1" x14ac:dyDescent="0.2">
      <c r="A1489" s="42">
        <v>1854</v>
      </c>
      <c r="B1489" s="42">
        <v>17328</v>
      </c>
      <c r="C1489" s="34" t="s">
        <v>2489</v>
      </c>
    </row>
    <row r="1490" spans="1:3" ht="15.75" customHeight="1" x14ac:dyDescent="0.2">
      <c r="A1490" s="42">
        <v>1855</v>
      </c>
      <c r="B1490" s="42">
        <v>17328</v>
      </c>
      <c r="C1490" s="34" t="s">
        <v>2501</v>
      </c>
    </row>
    <row r="1491" spans="1:3" ht="15.75" customHeight="1" x14ac:dyDescent="0.2">
      <c r="A1491" s="42">
        <v>1856</v>
      </c>
      <c r="B1491" s="42">
        <v>17328</v>
      </c>
      <c r="C1491" s="34" t="s">
        <v>2502</v>
      </c>
    </row>
    <row r="1492" spans="1:3" ht="15.75" customHeight="1" x14ac:dyDescent="0.2">
      <c r="A1492" s="42">
        <v>1857</v>
      </c>
      <c r="B1492" s="42">
        <v>17328</v>
      </c>
      <c r="C1492" s="34" t="s">
        <v>2503</v>
      </c>
    </row>
    <row r="1493" spans="1:3" ht="15.75" customHeight="1" x14ac:dyDescent="0.2">
      <c r="A1493" s="42">
        <v>1858</v>
      </c>
      <c r="B1493" s="42">
        <v>17328</v>
      </c>
      <c r="C1493" s="34" t="s">
        <v>2476</v>
      </c>
    </row>
    <row r="1494" spans="1:3" ht="15.75" customHeight="1" x14ac:dyDescent="0.2">
      <c r="A1494" s="42">
        <v>1859</v>
      </c>
      <c r="B1494" s="42">
        <v>17328</v>
      </c>
      <c r="C1494" s="34" t="s">
        <v>2504</v>
      </c>
    </row>
    <row r="1495" spans="1:3" ht="15.75" customHeight="1" x14ac:dyDescent="0.2">
      <c r="A1495" s="42">
        <v>1860</v>
      </c>
      <c r="B1495" s="42">
        <v>17328</v>
      </c>
      <c r="C1495" s="34" t="s">
        <v>2505</v>
      </c>
    </row>
    <row r="1496" spans="1:3" ht="15.75" customHeight="1" x14ac:dyDescent="0.2">
      <c r="A1496" s="42">
        <v>1861</v>
      </c>
      <c r="B1496" s="42">
        <v>17328</v>
      </c>
      <c r="C1496" s="34" t="s">
        <v>2475</v>
      </c>
    </row>
    <row r="1497" spans="1:3" ht="15.75" customHeight="1" x14ac:dyDescent="0.2">
      <c r="A1497" s="42">
        <v>1862</v>
      </c>
      <c r="B1497" s="42">
        <v>17328</v>
      </c>
      <c r="C1497" s="34" t="s">
        <v>2506</v>
      </c>
    </row>
    <row r="1498" spans="1:3" ht="15.75" customHeight="1" x14ac:dyDescent="0.2">
      <c r="A1498" s="42">
        <v>1863</v>
      </c>
      <c r="B1498" s="42">
        <v>17328</v>
      </c>
      <c r="C1498" s="34" t="s">
        <v>2475</v>
      </c>
    </row>
    <row r="1499" spans="1:3" ht="15.75" customHeight="1" x14ac:dyDescent="0.2">
      <c r="A1499" s="42">
        <v>1864</v>
      </c>
      <c r="B1499" s="42">
        <v>17328</v>
      </c>
      <c r="C1499" s="34" t="s">
        <v>2475</v>
      </c>
    </row>
    <row r="1500" spans="1:3" ht="15.75" customHeight="1" x14ac:dyDescent="0.2">
      <c r="A1500" s="42">
        <v>1865</v>
      </c>
      <c r="B1500" s="42">
        <v>17328</v>
      </c>
      <c r="C1500" s="34" t="s">
        <v>2470</v>
      </c>
    </row>
    <row r="1501" spans="1:3" ht="15.75" customHeight="1" x14ac:dyDescent="0.2">
      <c r="A1501" s="42">
        <v>1866</v>
      </c>
      <c r="B1501" s="42">
        <v>17328</v>
      </c>
      <c r="C1501" s="34" t="s">
        <v>2471</v>
      </c>
    </row>
    <row r="1502" spans="1:3" ht="15.75" customHeight="1" x14ac:dyDescent="0.2">
      <c r="A1502" s="42">
        <v>1867</v>
      </c>
      <c r="B1502" s="42">
        <v>17328</v>
      </c>
      <c r="C1502" s="34" t="s">
        <v>2507</v>
      </c>
    </row>
    <row r="1503" spans="1:3" ht="15.75" customHeight="1" x14ac:dyDescent="0.2">
      <c r="A1503" s="42">
        <v>1868</v>
      </c>
      <c r="B1503" s="42">
        <v>17328</v>
      </c>
      <c r="C1503" s="34" t="s">
        <v>2475</v>
      </c>
    </row>
    <row r="1504" spans="1:3" ht="15.75" customHeight="1" x14ac:dyDescent="0.2">
      <c r="A1504" s="42">
        <v>1869</v>
      </c>
      <c r="B1504" s="42">
        <v>17328</v>
      </c>
      <c r="C1504" s="34" t="s">
        <v>2470</v>
      </c>
    </row>
    <row r="1505" spans="1:3" ht="15.75" customHeight="1" x14ac:dyDescent="0.2">
      <c r="A1505" s="42">
        <v>1870</v>
      </c>
      <c r="B1505" s="42">
        <v>17328</v>
      </c>
      <c r="C1505" s="34" t="s">
        <v>2508</v>
      </c>
    </row>
    <row r="1506" spans="1:3" ht="15.75" customHeight="1" x14ac:dyDescent="0.2">
      <c r="A1506" s="42">
        <v>1871</v>
      </c>
      <c r="B1506" s="42">
        <v>17328</v>
      </c>
      <c r="C1506" s="34" t="s">
        <v>2469</v>
      </c>
    </row>
    <row r="1507" spans="1:3" ht="15.75" customHeight="1" x14ac:dyDescent="0.2">
      <c r="A1507" s="42">
        <v>1872</v>
      </c>
      <c r="B1507" s="42">
        <v>17329</v>
      </c>
      <c r="C1507" s="34" t="s">
        <v>2509</v>
      </c>
    </row>
    <row r="1508" spans="1:3" ht="15.75" customHeight="1" x14ac:dyDescent="0.2">
      <c r="A1508" s="42">
        <v>1873</v>
      </c>
      <c r="B1508" s="42">
        <v>17329</v>
      </c>
      <c r="C1508" s="34" t="s">
        <v>2510</v>
      </c>
    </row>
    <row r="1509" spans="1:3" ht="15.75" customHeight="1" x14ac:dyDescent="0.2">
      <c r="A1509" s="42">
        <v>1874</v>
      </c>
      <c r="B1509" s="42">
        <v>17329</v>
      </c>
      <c r="C1509" s="34" t="s">
        <v>2511</v>
      </c>
    </row>
    <row r="1510" spans="1:3" ht="15.75" customHeight="1" x14ac:dyDescent="0.2">
      <c r="A1510" s="42">
        <v>1875</v>
      </c>
      <c r="B1510" s="42">
        <v>17329</v>
      </c>
      <c r="C1510" s="34" t="s">
        <v>2512</v>
      </c>
    </row>
    <row r="1511" spans="1:3" ht="15.75" customHeight="1" x14ac:dyDescent="0.2">
      <c r="A1511" s="42">
        <v>1876</v>
      </c>
      <c r="B1511" s="42">
        <v>17329</v>
      </c>
      <c r="C1511" s="34" t="s">
        <v>2513</v>
      </c>
    </row>
    <row r="1512" spans="1:3" ht="15.75" customHeight="1" x14ac:dyDescent="0.2">
      <c r="A1512" s="42">
        <v>1877</v>
      </c>
      <c r="B1512" s="42">
        <v>17329</v>
      </c>
      <c r="C1512" s="34" t="s">
        <v>2514</v>
      </c>
    </row>
    <row r="1513" spans="1:3" ht="15.75" customHeight="1" x14ac:dyDescent="0.2">
      <c r="A1513" s="42">
        <v>1878</v>
      </c>
      <c r="B1513" s="42">
        <v>17329</v>
      </c>
      <c r="C1513" s="34" t="s">
        <v>2515</v>
      </c>
    </row>
    <row r="1514" spans="1:3" ht="15.75" customHeight="1" x14ac:dyDescent="0.2">
      <c r="A1514" s="42">
        <v>1879</v>
      </c>
      <c r="B1514" s="42">
        <v>17329</v>
      </c>
      <c r="C1514" s="34" t="s">
        <v>2516</v>
      </c>
    </row>
    <row r="1515" spans="1:3" ht="15.75" customHeight="1" x14ac:dyDescent="0.2">
      <c r="A1515" s="42">
        <v>1880</v>
      </c>
      <c r="B1515" s="42">
        <v>17329</v>
      </c>
      <c r="C1515" s="34" t="s">
        <v>2517</v>
      </c>
    </row>
    <row r="1516" spans="1:3" ht="15.75" customHeight="1" x14ac:dyDescent="0.2">
      <c r="A1516" s="42">
        <v>1881</v>
      </c>
      <c r="B1516" s="42">
        <v>17329</v>
      </c>
      <c r="C1516" s="34" t="s">
        <v>2518</v>
      </c>
    </row>
    <row r="1517" spans="1:3" ht="15.75" customHeight="1" x14ac:dyDescent="0.2">
      <c r="A1517" s="42">
        <v>1882</v>
      </c>
      <c r="B1517" s="42">
        <v>17329</v>
      </c>
      <c r="C1517" s="34" t="s">
        <v>2519</v>
      </c>
    </row>
    <row r="1518" spans="1:3" ht="15.75" customHeight="1" x14ac:dyDescent="0.2">
      <c r="A1518" s="42">
        <v>1883</v>
      </c>
      <c r="B1518" s="42">
        <v>17329</v>
      </c>
      <c r="C1518" s="34" t="s">
        <v>2520</v>
      </c>
    </row>
    <row r="1519" spans="1:3" ht="15.75" customHeight="1" x14ac:dyDescent="0.2">
      <c r="A1519" s="42">
        <v>1884</v>
      </c>
      <c r="B1519" s="42">
        <v>17329</v>
      </c>
      <c r="C1519" s="34" t="s">
        <v>2521</v>
      </c>
    </row>
    <row r="1520" spans="1:3" ht="15.75" customHeight="1" x14ac:dyDescent="0.2">
      <c r="A1520" s="42">
        <v>1885</v>
      </c>
      <c r="B1520" s="42">
        <v>17329</v>
      </c>
      <c r="C1520" s="34" t="s">
        <v>2522</v>
      </c>
    </row>
    <row r="1521" spans="1:3" ht="15.75" customHeight="1" x14ac:dyDescent="0.2">
      <c r="A1521" s="42">
        <v>1886</v>
      </c>
      <c r="B1521" s="42">
        <v>17329</v>
      </c>
      <c r="C1521" s="34" t="s">
        <v>2523</v>
      </c>
    </row>
    <row r="1522" spans="1:3" ht="15.75" customHeight="1" x14ac:dyDescent="0.2">
      <c r="A1522" s="42">
        <v>1887</v>
      </c>
      <c r="B1522" s="42">
        <v>17329</v>
      </c>
      <c r="C1522" s="34" t="s">
        <v>2524</v>
      </c>
    </row>
    <row r="1523" spans="1:3" ht="15.75" customHeight="1" x14ac:dyDescent="0.2">
      <c r="A1523" s="42">
        <v>1888</v>
      </c>
      <c r="B1523" s="42">
        <v>17329</v>
      </c>
      <c r="C1523" s="34" t="s">
        <v>2525</v>
      </c>
    </row>
    <row r="1524" spans="1:3" ht="15.75" customHeight="1" x14ac:dyDescent="0.2">
      <c r="A1524" s="42">
        <v>1889</v>
      </c>
      <c r="B1524" s="42">
        <v>17329</v>
      </c>
      <c r="C1524" s="34" t="s">
        <v>2526</v>
      </c>
    </row>
    <row r="1525" spans="1:3" ht="15.75" customHeight="1" x14ac:dyDescent="0.2">
      <c r="A1525" s="42">
        <v>1890</v>
      </c>
      <c r="B1525" s="42">
        <v>17329</v>
      </c>
      <c r="C1525" s="34" t="s">
        <v>2527</v>
      </c>
    </row>
    <row r="1526" spans="1:3" ht="15.75" customHeight="1" x14ac:dyDescent="0.2">
      <c r="A1526" s="42">
        <v>1891</v>
      </c>
      <c r="B1526" s="42">
        <v>17329</v>
      </c>
      <c r="C1526" s="34" t="s">
        <v>2528</v>
      </c>
    </row>
    <row r="1527" spans="1:3" ht="15.75" customHeight="1" x14ac:dyDescent="0.2">
      <c r="A1527" s="42">
        <v>1892</v>
      </c>
      <c r="B1527" s="42">
        <v>17329</v>
      </c>
      <c r="C1527" s="34" t="s">
        <v>2529</v>
      </c>
    </row>
    <row r="1528" spans="1:3" ht="15.75" customHeight="1" x14ac:dyDescent="0.2">
      <c r="A1528" s="42">
        <v>1893</v>
      </c>
      <c r="B1528" s="42">
        <v>17329</v>
      </c>
      <c r="C1528" s="34" t="s">
        <v>2530</v>
      </c>
    </row>
    <row r="1529" spans="1:3" ht="15.75" customHeight="1" x14ac:dyDescent="0.2">
      <c r="A1529" s="42">
        <v>1894</v>
      </c>
      <c r="B1529" s="42">
        <v>17329</v>
      </c>
      <c r="C1529" s="34" t="s">
        <v>2531</v>
      </c>
    </row>
    <row r="1530" spans="1:3" ht="15.75" customHeight="1" x14ac:dyDescent="0.2">
      <c r="A1530" s="42">
        <v>1895</v>
      </c>
      <c r="B1530" s="42">
        <v>17329</v>
      </c>
      <c r="C1530" s="34" t="s">
        <v>2532</v>
      </c>
    </row>
    <row r="1531" spans="1:3" ht="15.75" customHeight="1" x14ac:dyDescent="0.2">
      <c r="A1531" s="42">
        <v>1896</v>
      </c>
      <c r="B1531" s="42">
        <v>17329</v>
      </c>
      <c r="C1531" s="34" t="s">
        <v>2533</v>
      </c>
    </row>
    <row r="1532" spans="1:3" ht="15.75" customHeight="1" x14ac:dyDescent="0.2">
      <c r="A1532" s="42">
        <v>1897</v>
      </c>
      <c r="B1532" s="42">
        <v>17329</v>
      </c>
      <c r="C1532" s="34" t="s">
        <v>2534</v>
      </c>
    </row>
    <row r="1533" spans="1:3" ht="15.75" customHeight="1" x14ac:dyDescent="0.2">
      <c r="A1533" s="42">
        <v>1898</v>
      </c>
      <c r="B1533" s="42">
        <v>17329</v>
      </c>
      <c r="C1533" s="34" t="s">
        <v>2535</v>
      </c>
    </row>
    <row r="1534" spans="1:3" ht="15.75" customHeight="1" x14ac:dyDescent="0.2">
      <c r="A1534" s="42">
        <v>1899</v>
      </c>
      <c r="B1534" s="42">
        <v>17329</v>
      </c>
      <c r="C1534" s="34" t="s">
        <v>2536</v>
      </c>
    </row>
    <row r="1535" spans="1:3" ht="15.75" customHeight="1" x14ac:dyDescent="0.2">
      <c r="A1535" s="42">
        <v>1900</v>
      </c>
      <c r="B1535" s="42">
        <v>17329</v>
      </c>
      <c r="C1535" s="34" t="s">
        <v>2537</v>
      </c>
    </row>
    <row r="1536" spans="1:3" ht="15.75" customHeight="1" x14ac:dyDescent="0.2">
      <c r="A1536" s="42">
        <v>1901</v>
      </c>
      <c r="B1536" s="42">
        <v>17329</v>
      </c>
      <c r="C1536" s="34" t="s">
        <v>2538</v>
      </c>
    </row>
    <row r="1537" spans="1:3" ht="15.75" customHeight="1" x14ac:dyDescent="0.2">
      <c r="A1537" s="42">
        <v>1902</v>
      </c>
      <c r="B1537" s="42">
        <v>17329</v>
      </c>
      <c r="C1537" s="34" t="s">
        <v>2514</v>
      </c>
    </row>
    <row r="1538" spans="1:3" ht="15.75" customHeight="1" x14ac:dyDescent="0.2">
      <c r="A1538" s="42">
        <v>1903</v>
      </c>
      <c r="B1538" s="42">
        <v>17329</v>
      </c>
      <c r="C1538" s="34" t="s">
        <v>2539</v>
      </c>
    </row>
    <row r="1539" spans="1:3" ht="15.75" customHeight="1" x14ac:dyDescent="0.2">
      <c r="A1539" s="42">
        <v>1904</v>
      </c>
      <c r="B1539" s="42">
        <v>17329</v>
      </c>
      <c r="C1539" s="34" t="s">
        <v>2540</v>
      </c>
    </row>
    <row r="1540" spans="1:3" ht="15.75" customHeight="1" x14ac:dyDescent="0.2">
      <c r="A1540" s="42">
        <v>1905</v>
      </c>
      <c r="B1540" s="42">
        <v>17329</v>
      </c>
      <c r="C1540" s="34" t="s">
        <v>2541</v>
      </c>
    </row>
    <row r="1541" spans="1:3" ht="15.75" customHeight="1" x14ac:dyDescent="0.2">
      <c r="A1541" s="42">
        <v>1906</v>
      </c>
      <c r="B1541" s="42">
        <v>17329</v>
      </c>
      <c r="C1541" s="34" t="s">
        <v>2542</v>
      </c>
    </row>
    <row r="1542" spans="1:3" ht="15.75" customHeight="1" x14ac:dyDescent="0.2">
      <c r="A1542" s="42">
        <v>1907</v>
      </c>
      <c r="B1542" s="42">
        <v>17329</v>
      </c>
      <c r="C1542" s="34" t="s">
        <v>2543</v>
      </c>
    </row>
    <row r="1543" spans="1:3" ht="15.75" customHeight="1" x14ac:dyDescent="0.2">
      <c r="A1543" s="42">
        <v>1908</v>
      </c>
      <c r="B1543" s="42">
        <v>17329</v>
      </c>
      <c r="C1543" s="34" t="s">
        <v>2544</v>
      </c>
    </row>
    <row r="1544" spans="1:3" ht="15.75" customHeight="1" x14ac:dyDescent="0.2">
      <c r="A1544" s="42">
        <v>1909</v>
      </c>
      <c r="B1544" s="42">
        <v>17329</v>
      </c>
      <c r="C1544" s="34" t="s">
        <v>2545</v>
      </c>
    </row>
    <row r="1545" spans="1:3" ht="15.75" customHeight="1" x14ac:dyDescent="0.2">
      <c r="A1545" s="42">
        <v>1910</v>
      </c>
      <c r="B1545" s="42">
        <v>17329</v>
      </c>
      <c r="C1545" s="34" t="s">
        <v>2546</v>
      </c>
    </row>
    <row r="1546" spans="1:3" ht="15.75" customHeight="1" x14ac:dyDescent="0.2">
      <c r="A1546" s="42">
        <v>1911</v>
      </c>
      <c r="B1546" s="42">
        <v>17329</v>
      </c>
      <c r="C1546" s="34" t="s">
        <v>2547</v>
      </c>
    </row>
    <row r="1547" spans="1:3" ht="15.75" customHeight="1" x14ac:dyDescent="0.2">
      <c r="A1547" s="42">
        <v>1912</v>
      </c>
      <c r="B1547" s="42">
        <v>17329</v>
      </c>
      <c r="C1547" s="34" t="s">
        <v>2548</v>
      </c>
    </row>
    <row r="1548" spans="1:3" ht="15.75" customHeight="1" x14ac:dyDescent="0.2">
      <c r="A1548" s="42">
        <v>1913</v>
      </c>
      <c r="B1548" s="42">
        <v>17329</v>
      </c>
      <c r="C1548" s="34" t="s">
        <v>2549</v>
      </c>
    </row>
    <row r="1549" spans="1:3" ht="15.75" customHeight="1" x14ac:dyDescent="0.2">
      <c r="A1549" s="42">
        <v>1914</v>
      </c>
      <c r="B1549" s="42">
        <v>17329</v>
      </c>
      <c r="C1549" s="34" t="s">
        <v>2550</v>
      </c>
    </row>
    <row r="1550" spans="1:3" ht="15.75" customHeight="1" x14ac:dyDescent="0.2">
      <c r="A1550" s="42">
        <v>1915</v>
      </c>
      <c r="B1550" s="42">
        <v>17329</v>
      </c>
      <c r="C1550" s="34" t="s">
        <v>2551</v>
      </c>
    </row>
    <row r="1551" spans="1:3" ht="15.75" customHeight="1" x14ac:dyDescent="0.2">
      <c r="A1551" s="42">
        <v>1916</v>
      </c>
      <c r="B1551" s="42">
        <v>17329</v>
      </c>
      <c r="C1551" s="34" t="s">
        <v>2552</v>
      </c>
    </row>
    <row r="1552" spans="1:3" ht="15.75" customHeight="1" x14ac:dyDescent="0.2">
      <c r="A1552" s="42">
        <v>1917</v>
      </c>
      <c r="B1552" s="42">
        <v>17329</v>
      </c>
      <c r="C1552" s="34" t="s">
        <v>2553</v>
      </c>
    </row>
    <row r="1553" spans="1:3" ht="15.75" customHeight="1" x14ac:dyDescent="0.2">
      <c r="A1553" s="42">
        <v>1918</v>
      </c>
      <c r="B1553" s="42">
        <v>17329</v>
      </c>
      <c r="C1553" s="34" t="s">
        <v>2554</v>
      </c>
    </row>
    <row r="1554" spans="1:3" ht="15.75" customHeight="1" x14ac:dyDescent="0.2">
      <c r="A1554" s="42">
        <v>1919</v>
      </c>
      <c r="B1554" s="42">
        <v>17329</v>
      </c>
      <c r="C1554" s="34" t="s">
        <v>2555</v>
      </c>
    </row>
    <row r="1555" spans="1:3" ht="15.75" customHeight="1" x14ac:dyDescent="0.2">
      <c r="A1555" s="42">
        <v>1920</v>
      </c>
      <c r="B1555" s="42">
        <v>17329</v>
      </c>
      <c r="C1555" s="34" t="s">
        <v>2556</v>
      </c>
    </row>
    <row r="1556" spans="1:3" ht="15.75" customHeight="1" x14ac:dyDescent="0.2">
      <c r="A1556" s="42">
        <v>1921</v>
      </c>
      <c r="B1556" s="42">
        <v>17329</v>
      </c>
      <c r="C1556" s="34" t="s">
        <v>2557</v>
      </c>
    </row>
    <row r="1557" spans="1:3" ht="15.75" customHeight="1" x14ac:dyDescent="0.2">
      <c r="A1557" s="42">
        <v>1922</v>
      </c>
      <c r="B1557" s="42">
        <v>17329</v>
      </c>
      <c r="C1557" s="34" t="s">
        <v>2558</v>
      </c>
    </row>
    <row r="1558" spans="1:3" ht="15.75" customHeight="1" x14ac:dyDescent="0.2">
      <c r="A1558" s="42">
        <v>1923</v>
      </c>
      <c r="B1558" s="42">
        <v>17329</v>
      </c>
      <c r="C1558" s="34" t="s">
        <v>2559</v>
      </c>
    </row>
    <row r="1559" spans="1:3" ht="15.75" customHeight="1" x14ac:dyDescent="0.2">
      <c r="A1559" s="42">
        <v>1924</v>
      </c>
      <c r="B1559" s="42">
        <v>17329</v>
      </c>
      <c r="C1559" s="34" t="s">
        <v>2560</v>
      </c>
    </row>
    <row r="1560" spans="1:3" ht="15.75" customHeight="1" x14ac:dyDescent="0.2">
      <c r="A1560" s="42">
        <v>1925</v>
      </c>
      <c r="B1560" s="42">
        <v>17329</v>
      </c>
      <c r="C1560" s="34" t="s">
        <v>2561</v>
      </c>
    </row>
    <row r="1561" spans="1:3" ht="15.75" customHeight="1" x14ac:dyDescent="0.2">
      <c r="A1561" s="42">
        <v>1926</v>
      </c>
      <c r="B1561" s="42">
        <v>17329</v>
      </c>
      <c r="C1561" s="34" t="s">
        <v>2562</v>
      </c>
    </row>
    <row r="1562" spans="1:3" ht="15.75" customHeight="1" x14ac:dyDescent="0.2">
      <c r="A1562" s="42">
        <v>1927</v>
      </c>
      <c r="B1562" s="42">
        <v>17329</v>
      </c>
      <c r="C1562" s="34" t="s">
        <v>2563</v>
      </c>
    </row>
    <row r="1563" spans="1:3" ht="15.75" customHeight="1" x14ac:dyDescent="0.2">
      <c r="A1563" s="42">
        <v>1928</v>
      </c>
      <c r="B1563" s="42">
        <v>17329</v>
      </c>
      <c r="C1563" s="34" t="s">
        <v>2564</v>
      </c>
    </row>
    <row r="1564" spans="1:3" ht="15.75" customHeight="1" x14ac:dyDescent="0.2">
      <c r="A1564" s="42">
        <v>1929</v>
      </c>
      <c r="B1564" s="42">
        <v>17329</v>
      </c>
      <c r="C1564" s="34" t="s">
        <v>2565</v>
      </c>
    </row>
    <row r="1565" spans="1:3" ht="15.75" customHeight="1" x14ac:dyDescent="0.2">
      <c r="A1565" s="42">
        <v>1930</v>
      </c>
      <c r="B1565" s="42">
        <v>17329</v>
      </c>
      <c r="C1565" s="34" t="s">
        <v>2566</v>
      </c>
    </row>
    <row r="1566" spans="1:3" ht="15.75" customHeight="1" x14ac:dyDescent="0.2">
      <c r="A1566" s="42">
        <v>1931</v>
      </c>
      <c r="B1566" s="42">
        <v>17329</v>
      </c>
      <c r="C1566" s="34" t="s">
        <v>2567</v>
      </c>
    </row>
    <row r="1567" spans="1:3" ht="15.75" customHeight="1" x14ac:dyDescent="0.2">
      <c r="A1567" s="42">
        <v>1932</v>
      </c>
      <c r="B1567" s="42">
        <v>17329</v>
      </c>
      <c r="C1567" s="34" t="s">
        <v>2568</v>
      </c>
    </row>
    <row r="1568" spans="1:3" ht="15.75" customHeight="1" x14ac:dyDescent="0.2">
      <c r="A1568" s="42">
        <v>1933</v>
      </c>
      <c r="B1568" s="42">
        <v>17329</v>
      </c>
      <c r="C1568" s="34" t="s">
        <v>2569</v>
      </c>
    </row>
    <row r="1569" spans="1:3" ht="15.75" customHeight="1" x14ac:dyDescent="0.2">
      <c r="A1569" s="42">
        <v>1934</v>
      </c>
      <c r="B1569" s="42">
        <v>17329</v>
      </c>
      <c r="C1569" s="34" t="s">
        <v>2570</v>
      </c>
    </row>
    <row r="1570" spans="1:3" ht="15.75" customHeight="1" x14ac:dyDescent="0.2">
      <c r="A1570" s="42">
        <v>1935</v>
      </c>
      <c r="B1570" s="42">
        <v>17329</v>
      </c>
      <c r="C1570" s="34" t="s">
        <v>2571</v>
      </c>
    </row>
    <row r="1571" spans="1:3" ht="15.75" customHeight="1" x14ac:dyDescent="0.2">
      <c r="A1571" s="42">
        <v>1936</v>
      </c>
      <c r="B1571" s="42">
        <v>17329</v>
      </c>
      <c r="C1571" s="34" t="s">
        <v>2572</v>
      </c>
    </row>
    <row r="1572" spans="1:3" ht="15.75" customHeight="1" x14ac:dyDescent="0.2">
      <c r="A1572" s="42">
        <v>1937</v>
      </c>
      <c r="B1572" s="42">
        <v>17329</v>
      </c>
      <c r="C1572" s="34" t="s">
        <v>2573</v>
      </c>
    </row>
    <row r="1573" spans="1:3" ht="15.75" customHeight="1" x14ac:dyDescent="0.2">
      <c r="A1573" s="42">
        <v>1938</v>
      </c>
      <c r="B1573" s="42">
        <v>17329</v>
      </c>
      <c r="C1573" s="34" t="s">
        <v>2574</v>
      </c>
    </row>
    <row r="1574" spans="1:3" ht="15.75" customHeight="1" x14ac:dyDescent="0.2">
      <c r="A1574" s="42">
        <v>1939</v>
      </c>
      <c r="B1574" s="42">
        <v>17329</v>
      </c>
      <c r="C1574" s="34" t="s">
        <v>2575</v>
      </c>
    </row>
    <row r="1575" spans="1:3" ht="15.75" customHeight="1" x14ac:dyDescent="0.2">
      <c r="A1575" s="42">
        <v>1940</v>
      </c>
      <c r="B1575" s="42">
        <v>17329</v>
      </c>
      <c r="C1575" s="34" t="s">
        <v>2576</v>
      </c>
    </row>
    <row r="1576" spans="1:3" ht="15.75" customHeight="1" x14ac:dyDescent="0.2">
      <c r="A1576" s="42">
        <v>1941</v>
      </c>
      <c r="B1576" s="42">
        <v>17329</v>
      </c>
      <c r="C1576" s="34" t="s">
        <v>2577</v>
      </c>
    </row>
    <row r="1577" spans="1:3" ht="15.75" customHeight="1" x14ac:dyDescent="0.2">
      <c r="A1577" s="42">
        <v>1942</v>
      </c>
      <c r="B1577" s="42">
        <v>17329</v>
      </c>
      <c r="C1577" s="34" t="s">
        <v>2578</v>
      </c>
    </row>
    <row r="1578" spans="1:3" ht="15.75" customHeight="1" x14ac:dyDescent="0.2">
      <c r="A1578" s="42">
        <v>1943</v>
      </c>
      <c r="B1578" s="42">
        <v>17329</v>
      </c>
      <c r="C1578" s="34" t="s">
        <v>2579</v>
      </c>
    </row>
    <row r="1579" spans="1:3" ht="15.75" customHeight="1" x14ac:dyDescent="0.2">
      <c r="A1579" s="42">
        <v>1944</v>
      </c>
      <c r="B1579" s="42">
        <v>17329</v>
      </c>
      <c r="C1579" s="34" t="s">
        <v>2580</v>
      </c>
    </row>
    <row r="1580" spans="1:3" ht="15.75" customHeight="1" x14ac:dyDescent="0.2">
      <c r="A1580" s="42">
        <v>1945</v>
      </c>
      <c r="B1580" s="42">
        <v>17329</v>
      </c>
      <c r="C1580" s="34" t="s">
        <v>2581</v>
      </c>
    </row>
    <row r="1581" spans="1:3" ht="15.75" customHeight="1" x14ac:dyDescent="0.2">
      <c r="A1581" s="42">
        <v>1946</v>
      </c>
      <c r="B1581" s="42">
        <v>17329</v>
      </c>
      <c r="C1581" s="34" t="s">
        <v>2582</v>
      </c>
    </row>
    <row r="1582" spans="1:3" ht="15.75" customHeight="1" x14ac:dyDescent="0.2">
      <c r="A1582" s="42">
        <v>1947</v>
      </c>
      <c r="B1582" s="42">
        <v>17329</v>
      </c>
      <c r="C1582" s="34" t="s">
        <v>2583</v>
      </c>
    </row>
    <row r="1583" spans="1:3" ht="15.75" customHeight="1" x14ac:dyDescent="0.2">
      <c r="A1583" s="42">
        <v>1948</v>
      </c>
      <c r="B1583" s="42">
        <v>17329</v>
      </c>
      <c r="C1583" s="34" t="s">
        <v>2584</v>
      </c>
    </row>
    <row r="1584" spans="1:3" ht="15.75" customHeight="1" x14ac:dyDescent="0.2">
      <c r="A1584" s="42">
        <v>1949</v>
      </c>
      <c r="B1584" s="42">
        <v>17329</v>
      </c>
      <c r="C1584" s="34" t="s">
        <v>2585</v>
      </c>
    </row>
    <row r="1585" spans="1:3" ht="15.75" customHeight="1" x14ac:dyDescent="0.2">
      <c r="A1585" s="42">
        <v>1950</v>
      </c>
      <c r="B1585" s="42">
        <v>17329</v>
      </c>
      <c r="C1585" s="34" t="s">
        <v>2586</v>
      </c>
    </row>
    <row r="1586" spans="1:3" ht="15.75" customHeight="1" x14ac:dyDescent="0.2">
      <c r="A1586" s="42">
        <v>1951</v>
      </c>
      <c r="B1586" s="42">
        <v>17329</v>
      </c>
      <c r="C1586" s="34" t="s">
        <v>2586</v>
      </c>
    </row>
    <row r="1587" spans="1:3" ht="15.75" customHeight="1" x14ac:dyDescent="0.2">
      <c r="A1587" s="42">
        <v>1952</v>
      </c>
      <c r="B1587" s="42">
        <v>17329</v>
      </c>
      <c r="C1587" s="34" t="s">
        <v>2587</v>
      </c>
    </row>
    <row r="1588" spans="1:3" ht="15.75" customHeight="1" x14ac:dyDescent="0.2">
      <c r="A1588" s="42">
        <v>1953</v>
      </c>
      <c r="B1588" s="42">
        <v>17329</v>
      </c>
      <c r="C1588" s="34" t="s">
        <v>2588</v>
      </c>
    </row>
    <row r="1589" spans="1:3" ht="15.75" customHeight="1" x14ac:dyDescent="0.2">
      <c r="A1589" s="42">
        <v>1954</v>
      </c>
      <c r="B1589" s="42">
        <v>17329</v>
      </c>
      <c r="C1589" s="34" t="s">
        <v>2589</v>
      </c>
    </row>
    <row r="1590" spans="1:3" ht="15.75" customHeight="1" x14ac:dyDescent="0.2">
      <c r="A1590" s="42">
        <v>1955</v>
      </c>
      <c r="B1590" s="42">
        <v>17329</v>
      </c>
      <c r="C1590" s="34" t="s">
        <v>2590</v>
      </c>
    </row>
    <row r="1591" spans="1:3" ht="15.75" customHeight="1" x14ac:dyDescent="0.2">
      <c r="A1591" s="42">
        <v>1956</v>
      </c>
      <c r="B1591" s="42">
        <v>17329</v>
      </c>
      <c r="C1591" s="34" t="s">
        <v>2591</v>
      </c>
    </row>
    <row r="1592" spans="1:3" ht="15.75" customHeight="1" x14ac:dyDescent="0.2">
      <c r="A1592" s="42">
        <v>1957</v>
      </c>
      <c r="B1592" s="42">
        <v>17329</v>
      </c>
      <c r="C1592" s="34" t="s">
        <v>2592</v>
      </c>
    </row>
    <row r="1593" spans="1:3" ht="15.75" customHeight="1" x14ac:dyDescent="0.2">
      <c r="A1593" s="42">
        <v>1958</v>
      </c>
      <c r="B1593" s="42">
        <v>17329</v>
      </c>
      <c r="C1593" s="34" t="s">
        <v>2593</v>
      </c>
    </row>
    <row r="1594" spans="1:3" ht="15.75" customHeight="1" x14ac:dyDescent="0.2">
      <c r="A1594" s="42">
        <v>1959</v>
      </c>
      <c r="B1594" s="42">
        <v>17330</v>
      </c>
      <c r="C1594" s="34" t="s">
        <v>2594</v>
      </c>
    </row>
    <row r="1595" spans="1:3" ht="15.75" customHeight="1" x14ac:dyDescent="0.2">
      <c r="A1595" s="42">
        <v>1960</v>
      </c>
      <c r="B1595" s="42">
        <v>17330</v>
      </c>
      <c r="C1595" s="34" t="s">
        <v>2595</v>
      </c>
    </row>
    <row r="1596" spans="1:3" ht="15.75" customHeight="1" x14ac:dyDescent="0.2">
      <c r="A1596" s="42">
        <v>1961</v>
      </c>
      <c r="B1596" s="42">
        <v>17330</v>
      </c>
      <c r="C1596" s="34" t="s">
        <v>2596</v>
      </c>
    </row>
    <row r="1597" spans="1:3" ht="15.75" customHeight="1" x14ac:dyDescent="0.2">
      <c r="A1597" s="42">
        <v>1962</v>
      </c>
      <c r="B1597" s="42">
        <v>17330</v>
      </c>
      <c r="C1597" s="34" t="s">
        <v>2597</v>
      </c>
    </row>
    <row r="1598" spans="1:3" ht="15.75" customHeight="1" x14ac:dyDescent="0.2">
      <c r="A1598" s="42">
        <v>1963</v>
      </c>
      <c r="B1598" s="42">
        <v>17330</v>
      </c>
      <c r="C1598" s="34" t="s">
        <v>2598</v>
      </c>
    </row>
    <row r="1599" spans="1:3" ht="15.75" customHeight="1" x14ac:dyDescent="0.2">
      <c r="A1599" s="42">
        <v>1964</v>
      </c>
      <c r="B1599" s="42">
        <v>17330</v>
      </c>
      <c r="C1599" s="34" t="s">
        <v>2599</v>
      </c>
    </row>
    <row r="1600" spans="1:3" ht="15.75" customHeight="1" x14ac:dyDescent="0.2">
      <c r="A1600" s="42">
        <v>1965</v>
      </c>
      <c r="B1600" s="42">
        <v>17330</v>
      </c>
      <c r="C1600" s="34" t="s">
        <v>2600</v>
      </c>
    </row>
    <row r="1601" spans="1:3" ht="15.75" customHeight="1" x14ac:dyDescent="0.2">
      <c r="A1601" s="42">
        <v>1966</v>
      </c>
      <c r="B1601" s="42">
        <v>17330</v>
      </c>
      <c r="C1601" s="34" t="s">
        <v>2601</v>
      </c>
    </row>
    <row r="1602" spans="1:3" ht="15.75" customHeight="1" x14ac:dyDescent="0.2">
      <c r="A1602" s="42">
        <v>1967</v>
      </c>
      <c r="B1602" s="42">
        <v>17330</v>
      </c>
      <c r="C1602" s="34" t="s">
        <v>2602</v>
      </c>
    </row>
    <row r="1603" spans="1:3" ht="15.75" customHeight="1" x14ac:dyDescent="0.2">
      <c r="A1603" s="42">
        <v>1968</v>
      </c>
      <c r="B1603" s="42">
        <v>17330</v>
      </c>
      <c r="C1603" s="34" t="s">
        <v>2603</v>
      </c>
    </row>
    <row r="1604" spans="1:3" ht="15.75" customHeight="1" x14ac:dyDescent="0.2">
      <c r="A1604" s="42">
        <v>1969</v>
      </c>
      <c r="B1604" s="42">
        <v>17330</v>
      </c>
      <c r="C1604" s="34" t="s">
        <v>2604</v>
      </c>
    </row>
    <row r="1605" spans="1:3" ht="15.75" customHeight="1" x14ac:dyDescent="0.2">
      <c r="A1605" s="42">
        <v>1970</v>
      </c>
      <c r="B1605" s="42">
        <v>17330</v>
      </c>
      <c r="C1605" s="34" t="s">
        <v>2605</v>
      </c>
    </row>
    <row r="1606" spans="1:3" ht="15.75" customHeight="1" x14ac:dyDescent="0.2">
      <c r="A1606" s="42">
        <v>1971</v>
      </c>
      <c r="B1606" s="42">
        <v>17330</v>
      </c>
      <c r="C1606" s="34" t="s">
        <v>2606</v>
      </c>
    </row>
    <row r="1607" spans="1:3" ht="15.75" customHeight="1" x14ac:dyDescent="0.2">
      <c r="A1607" s="42">
        <v>1972</v>
      </c>
      <c r="B1607" s="42">
        <v>17330</v>
      </c>
      <c r="C1607" s="34" t="s">
        <v>2607</v>
      </c>
    </row>
    <row r="1608" spans="1:3" ht="15.75" customHeight="1" x14ac:dyDescent="0.2">
      <c r="A1608" s="42">
        <v>1973</v>
      </c>
      <c r="B1608" s="42">
        <v>17330</v>
      </c>
      <c r="C1608" s="34" t="s">
        <v>2608</v>
      </c>
    </row>
    <row r="1609" spans="1:3" ht="15.75" customHeight="1" x14ac:dyDescent="0.2">
      <c r="A1609" s="42">
        <v>1974</v>
      </c>
      <c r="B1609" s="42">
        <v>17330</v>
      </c>
      <c r="C1609" s="34" t="s">
        <v>2609</v>
      </c>
    </row>
    <row r="1610" spans="1:3" ht="15.75" customHeight="1" x14ac:dyDescent="0.2">
      <c r="A1610" s="42">
        <v>1975</v>
      </c>
      <c r="B1610" s="42">
        <v>17330</v>
      </c>
      <c r="C1610" s="34" t="s">
        <v>2610</v>
      </c>
    </row>
    <row r="1611" spans="1:3" ht="15.75" customHeight="1" x14ac:dyDescent="0.2">
      <c r="A1611" s="42">
        <v>1976</v>
      </c>
      <c r="B1611" s="42">
        <v>17330</v>
      </c>
      <c r="C1611" s="34" t="s">
        <v>2611</v>
      </c>
    </row>
    <row r="1612" spans="1:3" ht="15.75" customHeight="1" x14ac:dyDescent="0.2">
      <c r="A1612" s="42">
        <v>1977</v>
      </c>
      <c r="B1612" s="42">
        <v>17330</v>
      </c>
      <c r="C1612" s="34" t="s">
        <v>2612</v>
      </c>
    </row>
    <row r="1613" spans="1:3" ht="15.75" customHeight="1" x14ac:dyDescent="0.2">
      <c r="A1613" s="42">
        <v>1978</v>
      </c>
      <c r="B1613" s="42">
        <v>17330</v>
      </c>
      <c r="C1613" s="34" t="s">
        <v>2613</v>
      </c>
    </row>
    <row r="1614" spans="1:3" ht="15.75" customHeight="1" x14ac:dyDescent="0.2">
      <c r="A1614" s="42">
        <v>1979</v>
      </c>
      <c r="B1614" s="42">
        <v>17330</v>
      </c>
      <c r="C1614" s="34" t="s">
        <v>2614</v>
      </c>
    </row>
    <row r="1615" spans="1:3" ht="15.75" customHeight="1" x14ac:dyDescent="0.2">
      <c r="A1615" s="42">
        <v>1980</v>
      </c>
      <c r="B1615" s="42">
        <v>17330</v>
      </c>
      <c r="C1615" s="34" t="s">
        <v>2615</v>
      </c>
    </row>
    <row r="1616" spans="1:3" ht="15.75" customHeight="1" x14ac:dyDescent="0.2">
      <c r="A1616" s="42">
        <v>1981</v>
      </c>
      <c r="B1616" s="42">
        <v>17330</v>
      </c>
      <c r="C1616" s="34" t="s">
        <v>2616</v>
      </c>
    </row>
    <row r="1617" spans="1:3" ht="15.75" customHeight="1" x14ac:dyDescent="0.2">
      <c r="A1617" s="42">
        <v>1982</v>
      </c>
      <c r="B1617" s="42">
        <v>17330</v>
      </c>
      <c r="C1617" s="34" t="s">
        <v>2617</v>
      </c>
    </row>
    <row r="1618" spans="1:3" ht="15.75" customHeight="1" x14ac:dyDescent="0.2">
      <c r="A1618" s="42">
        <v>1983</v>
      </c>
      <c r="B1618" s="42">
        <v>17330</v>
      </c>
      <c r="C1618" s="34" t="s">
        <v>2618</v>
      </c>
    </row>
    <row r="1619" spans="1:3" ht="15.75" customHeight="1" x14ac:dyDescent="0.2">
      <c r="A1619" s="42">
        <v>1984</v>
      </c>
      <c r="B1619" s="42">
        <v>17330</v>
      </c>
      <c r="C1619" s="34" t="s">
        <v>2619</v>
      </c>
    </row>
    <row r="1620" spans="1:3" ht="15.75" customHeight="1" x14ac:dyDescent="0.2">
      <c r="A1620" s="42">
        <v>1985</v>
      </c>
      <c r="B1620" s="42">
        <v>17330</v>
      </c>
      <c r="C1620" s="34" t="s">
        <v>2620</v>
      </c>
    </row>
    <row r="1621" spans="1:3" ht="15.75" customHeight="1" x14ac:dyDescent="0.2">
      <c r="A1621" s="42">
        <v>1986</v>
      </c>
      <c r="B1621" s="42">
        <v>17330</v>
      </c>
      <c r="C1621" s="34" t="s">
        <v>2605</v>
      </c>
    </row>
    <row r="1622" spans="1:3" ht="15.75" customHeight="1" x14ac:dyDescent="0.2">
      <c r="A1622" s="42">
        <v>1987</v>
      </c>
      <c r="B1622" s="42">
        <v>17330</v>
      </c>
      <c r="C1622" s="34" t="s">
        <v>2621</v>
      </c>
    </row>
    <row r="1623" spans="1:3" ht="15.75" customHeight="1" x14ac:dyDescent="0.2">
      <c r="A1623" s="42">
        <v>1988</v>
      </c>
      <c r="B1623" s="42">
        <v>17330</v>
      </c>
      <c r="C1623" s="34" t="s">
        <v>2622</v>
      </c>
    </row>
    <row r="1624" spans="1:3" ht="15.75" customHeight="1" x14ac:dyDescent="0.2">
      <c r="A1624" s="42">
        <v>1989</v>
      </c>
      <c r="B1624" s="42">
        <v>17330</v>
      </c>
      <c r="C1624" s="34" t="s">
        <v>2623</v>
      </c>
    </row>
    <row r="1625" spans="1:3" ht="15.75" customHeight="1" x14ac:dyDescent="0.2">
      <c r="A1625" s="42">
        <v>1990</v>
      </c>
      <c r="B1625" s="42">
        <v>17330</v>
      </c>
      <c r="C1625" s="34" t="s">
        <v>2624</v>
      </c>
    </row>
    <row r="1626" spans="1:3" ht="15.75" customHeight="1" x14ac:dyDescent="0.2">
      <c r="A1626" s="42">
        <v>1991</v>
      </c>
      <c r="B1626" s="42">
        <v>17330</v>
      </c>
      <c r="C1626" s="34" t="s">
        <v>2625</v>
      </c>
    </row>
    <row r="1627" spans="1:3" ht="15.75" customHeight="1" x14ac:dyDescent="0.2">
      <c r="A1627" s="42">
        <v>1992</v>
      </c>
      <c r="B1627" s="42">
        <v>17330</v>
      </c>
      <c r="C1627" s="34" t="s">
        <v>2600</v>
      </c>
    </row>
    <row r="1628" spans="1:3" ht="15.75" customHeight="1" x14ac:dyDescent="0.2">
      <c r="A1628" s="42">
        <v>1993</v>
      </c>
      <c r="B1628" s="42">
        <v>17330</v>
      </c>
      <c r="C1628" s="34" t="s">
        <v>2626</v>
      </c>
    </row>
    <row r="1629" spans="1:3" ht="15.75" customHeight="1" x14ac:dyDescent="0.2">
      <c r="A1629" s="42">
        <v>1994</v>
      </c>
      <c r="B1629" s="42">
        <v>17330</v>
      </c>
      <c r="C1629" s="34" t="s">
        <v>2627</v>
      </c>
    </row>
    <row r="1630" spans="1:3" ht="15.75" customHeight="1" x14ac:dyDescent="0.2">
      <c r="A1630" s="42">
        <v>1995</v>
      </c>
      <c r="B1630" s="42">
        <v>17330</v>
      </c>
      <c r="C1630" s="34" t="s">
        <v>2628</v>
      </c>
    </row>
    <row r="1631" spans="1:3" ht="15.75" customHeight="1" x14ac:dyDescent="0.2">
      <c r="A1631" s="42">
        <v>1996</v>
      </c>
      <c r="B1631" s="42">
        <v>17331</v>
      </c>
      <c r="C1631" s="34" t="s">
        <v>2629</v>
      </c>
    </row>
    <row r="1632" spans="1:3" ht="15.75" customHeight="1" x14ac:dyDescent="0.2">
      <c r="A1632" s="42">
        <v>1997</v>
      </c>
      <c r="B1632" s="42">
        <v>17331</v>
      </c>
      <c r="C1632" s="34" t="s">
        <v>2630</v>
      </c>
    </row>
    <row r="1633" spans="1:3" ht="15.75" customHeight="1" x14ac:dyDescent="0.2">
      <c r="A1633" s="42">
        <v>1998</v>
      </c>
      <c r="B1633" s="42">
        <v>17331</v>
      </c>
      <c r="C1633" s="34" t="s">
        <v>2631</v>
      </c>
    </row>
    <row r="1634" spans="1:3" ht="15.75" customHeight="1" x14ac:dyDescent="0.2">
      <c r="A1634" s="42">
        <v>1999</v>
      </c>
      <c r="B1634" s="42">
        <v>17331</v>
      </c>
      <c r="C1634" s="34" t="s">
        <v>2632</v>
      </c>
    </row>
    <row r="1635" spans="1:3" ht="15.75" customHeight="1" x14ac:dyDescent="0.2">
      <c r="A1635" s="42">
        <v>2000</v>
      </c>
      <c r="B1635" s="42">
        <v>17331</v>
      </c>
      <c r="C1635" s="34" t="s">
        <v>2633</v>
      </c>
    </row>
    <row r="1636" spans="1:3" ht="15.75" customHeight="1" x14ac:dyDescent="0.2">
      <c r="A1636" s="42">
        <v>2001</v>
      </c>
      <c r="B1636" s="42">
        <v>17331</v>
      </c>
      <c r="C1636" s="34" t="s">
        <v>2634</v>
      </c>
    </row>
    <row r="1637" spans="1:3" ht="15.75" customHeight="1" x14ac:dyDescent="0.2">
      <c r="A1637" s="42">
        <v>2002</v>
      </c>
      <c r="B1637" s="42">
        <v>17331</v>
      </c>
      <c r="C1637" s="34" t="s">
        <v>2635</v>
      </c>
    </row>
    <row r="1638" spans="1:3" ht="15.75" customHeight="1" x14ac:dyDescent="0.2">
      <c r="A1638" s="42">
        <v>2003</v>
      </c>
      <c r="B1638" s="42">
        <v>17331</v>
      </c>
      <c r="C1638" s="34" t="s">
        <v>2636</v>
      </c>
    </row>
    <row r="1639" spans="1:3" ht="15.75" customHeight="1" x14ac:dyDescent="0.2">
      <c r="A1639" s="42">
        <v>2004</v>
      </c>
      <c r="B1639" s="42">
        <v>17331</v>
      </c>
      <c r="C1639" s="34" t="s">
        <v>2637</v>
      </c>
    </row>
    <row r="1640" spans="1:3" ht="15.75" customHeight="1" x14ac:dyDescent="0.2">
      <c r="A1640" s="42">
        <v>2005</v>
      </c>
      <c r="B1640" s="42">
        <v>17331</v>
      </c>
      <c r="C1640" s="34" t="s">
        <v>2638</v>
      </c>
    </row>
    <row r="1641" spans="1:3" ht="15.75" customHeight="1" x14ac:dyDescent="0.2">
      <c r="A1641" s="42">
        <v>2006</v>
      </c>
      <c r="B1641" s="42">
        <v>17331</v>
      </c>
      <c r="C1641" s="34" t="s">
        <v>2639</v>
      </c>
    </row>
    <row r="1642" spans="1:3" ht="15.75" customHeight="1" x14ac:dyDescent="0.2">
      <c r="A1642" s="42">
        <v>2007</v>
      </c>
      <c r="B1642" s="42">
        <v>17331</v>
      </c>
      <c r="C1642" s="34" t="s">
        <v>2640</v>
      </c>
    </row>
    <row r="1643" spans="1:3" ht="15.75" customHeight="1" x14ac:dyDescent="0.2">
      <c r="A1643" s="42">
        <v>2008</v>
      </c>
      <c r="B1643" s="42">
        <v>17331</v>
      </c>
      <c r="C1643" s="34" t="s">
        <v>2641</v>
      </c>
    </row>
    <row r="1644" spans="1:3" ht="15.75" customHeight="1" x14ac:dyDescent="0.2">
      <c r="A1644" s="42">
        <v>2009</v>
      </c>
      <c r="B1644" s="42">
        <v>17331</v>
      </c>
      <c r="C1644" s="34" t="s">
        <v>2642</v>
      </c>
    </row>
    <row r="1645" spans="1:3" ht="15.75" customHeight="1" x14ac:dyDescent="0.2">
      <c r="A1645" s="42">
        <v>2010</v>
      </c>
      <c r="B1645" s="42">
        <v>17331</v>
      </c>
      <c r="C1645" s="34" t="s">
        <v>2643</v>
      </c>
    </row>
    <row r="1646" spans="1:3" ht="15.75" customHeight="1" x14ac:dyDescent="0.2">
      <c r="A1646" s="42">
        <v>2011</v>
      </c>
      <c r="B1646" s="42">
        <v>17331</v>
      </c>
      <c r="C1646" s="34" t="s">
        <v>2644</v>
      </c>
    </row>
    <row r="1647" spans="1:3" ht="15.75" customHeight="1" x14ac:dyDescent="0.2">
      <c r="A1647" s="42">
        <v>2012</v>
      </c>
      <c r="B1647" s="42">
        <v>17331</v>
      </c>
      <c r="C1647" s="34" t="s">
        <v>2645</v>
      </c>
    </row>
    <row r="1648" spans="1:3" ht="15.75" customHeight="1" x14ac:dyDescent="0.2">
      <c r="A1648" s="42">
        <v>2013</v>
      </c>
      <c r="B1648" s="42">
        <v>17331</v>
      </c>
      <c r="C1648" s="34" t="s">
        <v>2646</v>
      </c>
    </row>
    <row r="1649" spans="1:3" ht="15.75" customHeight="1" x14ac:dyDescent="0.2">
      <c r="A1649" s="42">
        <v>2014</v>
      </c>
      <c r="B1649" s="42">
        <v>17331</v>
      </c>
      <c r="C1649" s="34" t="s">
        <v>2647</v>
      </c>
    </row>
    <row r="1650" spans="1:3" ht="15.75" customHeight="1" x14ac:dyDescent="0.2">
      <c r="A1650" s="42">
        <v>2015</v>
      </c>
      <c r="B1650" s="42">
        <v>17331</v>
      </c>
      <c r="C1650" s="34" t="s">
        <v>2648</v>
      </c>
    </row>
    <row r="1651" spans="1:3" ht="15.75" customHeight="1" x14ac:dyDescent="0.2">
      <c r="A1651" s="42">
        <v>2016</v>
      </c>
      <c r="B1651" s="42">
        <v>17331</v>
      </c>
      <c r="C1651" s="34" t="s">
        <v>2649</v>
      </c>
    </row>
    <row r="1652" spans="1:3" ht="15.75" customHeight="1" x14ac:dyDescent="0.2">
      <c r="A1652" s="42">
        <v>2017</v>
      </c>
      <c r="B1652" s="42">
        <v>17331</v>
      </c>
      <c r="C1652" s="34" t="s">
        <v>2650</v>
      </c>
    </row>
    <row r="1653" spans="1:3" ht="15.75" customHeight="1" x14ac:dyDescent="0.2">
      <c r="A1653" s="42">
        <v>2018</v>
      </c>
      <c r="B1653" s="42">
        <v>17331</v>
      </c>
      <c r="C1653" s="34" t="s">
        <v>2651</v>
      </c>
    </row>
    <row r="1654" spans="1:3" ht="15.75" customHeight="1" x14ac:dyDescent="0.2">
      <c r="A1654" s="42">
        <v>2019</v>
      </c>
      <c r="B1654" s="42">
        <v>17331</v>
      </c>
      <c r="C1654" s="34" t="s">
        <v>2652</v>
      </c>
    </row>
    <row r="1655" spans="1:3" ht="15.75" customHeight="1" x14ac:dyDescent="0.2">
      <c r="A1655" s="42">
        <v>2020</v>
      </c>
      <c r="B1655" s="42">
        <v>17331</v>
      </c>
      <c r="C1655" s="34" t="s">
        <v>2653</v>
      </c>
    </row>
    <row r="1656" spans="1:3" ht="15.75" customHeight="1" x14ac:dyDescent="0.2">
      <c r="A1656" s="42">
        <v>2021</v>
      </c>
      <c r="B1656" s="42">
        <v>17331</v>
      </c>
      <c r="C1656" s="34" t="s">
        <v>2654</v>
      </c>
    </row>
    <row r="1657" spans="1:3" ht="15.75" customHeight="1" x14ac:dyDescent="0.2">
      <c r="A1657" s="42">
        <v>2022</v>
      </c>
      <c r="B1657" s="42">
        <v>17331</v>
      </c>
      <c r="C1657" s="34" t="s">
        <v>2655</v>
      </c>
    </row>
    <row r="1658" spans="1:3" ht="15.75" customHeight="1" x14ac:dyDescent="0.2">
      <c r="A1658" s="42">
        <v>2023</v>
      </c>
      <c r="B1658" s="42">
        <v>17331</v>
      </c>
      <c r="C1658" s="34" t="s">
        <v>2632</v>
      </c>
    </row>
    <row r="1659" spans="1:3" ht="15.75" customHeight="1" x14ac:dyDescent="0.2">
      <c r="A1659" s="42">
        <v>2024</v>
      </c>
      <c r="B1659" s="42">
        <v>17331</v>
      </c>
      <c r="C1659" s="34" t="s">
        <v>2656</v>
      </c>
    </row>
    <row r="1660" spans="1:3" ht="15.75" customHeight="1" x14ac:dyDescent="0.2">
      <c r="A1660" s="42">
        <v>2025</v>
      </c>
      <c r="B1660" s="42">
        <v>17331</v>
      </c>
      <c r="C1660" s="34" t="s">
        <v>2657</v>
      </c>
    </row>
    <row r="1661" spans="1:3" ht="15.75" customHeight="1" x14ac:dyDescent="0.2">
      <c r="A1661" s="42">
        <v>2026</v>
      </c>
      <c r="B1661" s="42">
        <v>17331</v>
      </c>
      <c r="C1661" s="34" t="s">
        <v>2658</v>
      </c>
    </row>
    <row r="1662" spans="1:3" ht="15.75" customHeight="1" x14ac:dyDescent="0.2">
      <c r="A1662" s="42">
        <v>2027</v>
      </c>
      <c r="B1662" s="42">
        <v>17331</v>
      </c>
      <c r="C1662" s="34" t="s">
        <v>2659</v>
      </c>
    </row>
    <row r="1663" spans="1:3" ht="15.75" customHeight="1" x14ac:dyDescent="0.2">
      <c r="A1663" s="42">
        <v>2028</v>
      </c>
      <c r="B1663" s="42">
        <v>17331</v>
      </c>
      <c r="C1663" s="34" t="s">
        <v>2660</v>
      </c>
    </row>
    <row r="1664" spans="1:3" ht="15.75" customHeight="1" x14ac:dyDescent="0.2">
      <c r="A1664" s="42">
        <v>2029</v>
      </c>
      <c r="B1664" s="42">
        <v>17331</v>
      </c>
      <c r="C1664" s="34" t="s">
        <v>2661</v>
      </c>
    </row>
    <row r="1665" spans="1:3" ht="15.75" customHeight="1" x14ac:dyDescent="0.2">
      <c r="A1665" s="42">
        <v>2030</v>
      </c>
      <c r="B1665" s="42">
        <v>17331</v>
      </c>
      <c r="C1665" s="34" t="s">
        <v>2662</v>
      </c>
    </row>
    <row r="1666" spans="1:3" ht="15.75" customHeight="1" x14ac:dyDescent="0.2">
      <c r="A1666" s="42">
        <v>2031</v>
      </c>
      <c r="B1666" s="42">
        <v>17331</v>
      </c>
      <c r="C1666" s="34" t="s">
        <v>2663</v>
      </c>
    </row>
    <row r="1667" spans="1:3" ht="15.75" customHeight="1" x14ac:dyDescent="0.2">
      <c r="A1667" s="42">
        <v>2032</v>
      </c>
      <c r="B1667" s="42">
        <v>17331</v>
      </c>
      <c r="C1667" s="34" t="s">
        <v>2664</v>
      </c>
    </row>
    <row r="1668" spans="1:3" ht="15.75" customHeight="1" x14ac:dyDescent="0.2">
      <c r="A1668" s="42">
        <v>2033</v>
      </c>
      <c r="B1668" s="42">
        <v>17331</v>
      </c>
      <c r="C1668" s="34" t="s">
        <v>2665</v>
      </c>
    </row>
    <row r="1669" spans="1:3" ht="15.75" customHeight="1" x14ac:dyDescent="0.2">
      <c r="A1669" s="42">
        <v>2034</v>
      </c>
      <c r="B1669" s="42">
        <v>17331</v>
      </c>
      <c r="C1669" s="34" t="s">
        <v>2666</v>
      </c>
    </row>
    <row r="1670" spans="1:3" ht="15.75" customHeight="1" x14ac:dyDescent="0.2">
      <c r="A1670" s="42">
        <v>2035</v>
      </c>
      <c r="B1670" s="42">
        <v>17331</v>
      </c>
      <c r="C1670" s="34" t="s">
        <v>2667</v>
      </c>
    </row>
    <row r="1671" spans="1:3" ht="15.75" customHeight="1" x14ac:dyDescent="0.2">
      <c r="A1671" s="42">
        <v>2036</v>
      </c>
      <c r="B1671" s="42">
        <v>17331</v>
      </c>
      <c r="C1671" s="34" t="s">
        <v>2668</v>
      </c>
    </row>
    <row r="1672" spans="1:3" ht="15.75" customHeight="1" x14ac:dyDescent="0.2">
      <c r="A1672" s="42">
        <v>2037</v>
      </c>
      <c r="B1672" s="42">
        <v>17331</v>
      </c>
      <c r="C1672" s="34" t="s">
        <v>2669</v>
      </c>
    </row>
    <row r="1673" spans="1:3" ht="15.75" customHeight="1" x14ac:dyDescent="0.2">
      <c r="A1673" s="42">
        <v>2038</v>
      </c>
      <c r="B1673" s="42">
        <v>17331</v>
      </c>
      <c r="C1673" s="34" t="s">
        <v>2670</v>
      </c>
    </row>
    <row r="1674" spans="1:3" ht="15.75" customHeight="1" x14ac:dyDescent="0.2">
      <c r="A1674" s="42">
        <v>2039</v>
      </c>
      <c r="B1674" s="42">
        <v>17331</v>
      </c>
      <c r="C1674" s="34" t="s">
        <v>2671</v>
      </c>
    </row>
    <row r="1675" spans="1:3" ht="15.75" customHeight="1" x14ac:dyDescent="0.2">
      <c r="A1675" s="42">
        <v>2040</v>
      </c>
      <c r="B1675" s="42">
        <v>17331</v>
      </c>
      <c r="C1675" s="34" t="s">
        <v>2672</v>
      </c>
    </row>
    <row r="1676" spans="1:3" ht="15.75" customHeight="1" x14ac:dyDescent="0.2">
      <c r="A1676" s="42">
        <v>2041</v>
      </c>
      <c r="B1676" s="42">
        <v>17331</v>
      </c>
      <c r="C1676" s="34" t="s">
        <v>2673</v>
      </c>
    </row>
    <row r="1677" spans="1:3" ht="15.75" customHeight="1" x14ac:dyDescent="0.2">
      <c r="A1677" s="42">
        <v>2042</v>
      </c>
      <c r="B1677" s="42">
        <v>17331</v>
      </c>
      <c r="C1677" s="34" t="s">
        <v>2674</v>
      </c>
    </row>
    <row r="1678" spans="1:3" ht="15.75" customHeight="1" x14ac:dyDescent="0.2">
      <c r="A1678" s="42">
        <v>2043</v>
      </c>
      <c r="B1678" s="42">
        <v>17331</v>
      </c>
      <c r="C1678" s="34" t="s">
        <v>2672</v>
      </c>
    </row>
    <row r="1679" spans="1:3" ht="15.75" customHeight="1" x14ac:dyDescent="0.2">
      <c r="A1679" s="42">
        <v>2044</v>
      </c>
      <c r="B1679" s="42">
        <v>17331</v>
      </c>
      <c r="C1679" s="34" t="s">
        <v>2675</v>
      </c>
    </row>
    <row r="1680" spans="1:3" ht="15.75" customHeight="1" x14ac:dyDescent="0.2">
      <c r="A1680" s="42">
        <v>2045</v>
      </c>
      <c r="B1680" s="42">
        <v>17331</v>
      </c>
      <c r="C1680" s="34" t="s">
        <v>2676</v>
      </c>
    </row>
    <row r="1681" spans="1:3" ht="15.75" customHeight="1" x14ac:dyDescent="0.2">
      <c r="A1681" s="42">
        <v>2046</v>
      </c>
      <c r="B1681" s="42">
        <v>17331</v>
      </c>
      <c r="C1681" s="34" t="s">
        <v>2672</v>
      </c>
    </row>
    <row r="1682" spans="1:3" ht="15.75" customHeight="1" x14ac:dyDescent="0.2">
      <c r="A1682" s="42">
        <v>2047</v>
      </c>
      <c r="B1682" s="42">
        <v>17331</v>
      </c>
      <c r="C1682" s="34" t="s">
        <v>2677</v>
      </c>
    </row>
    <row r="1683" spans="1:3" ht="15.75" customHeight="1" x14ac:dyDescent="0.2">
      <c r="A1683" s="42">
        <v>2048</v>
      </c>
      <c r="B1683" s="42">
        <v>17331</v>
      </c>
      <c r="C1683" s="34" t="s">
        <v>2678</v>
      </c>
    </row>
    <row r="1684" spans="1:3" ht="15.75" customHeight="1" x14ac:dyDescent="0.2">
      <c r="A1684" s="42">
        <v>2049</v>
      </c>
      <c r="B1684" s="42">
        <v>17331</v>
      </c>
      <c r="C1684" s="34" t="s">
        <v>2679</v>
      </c>
    </row>
    <row r="1685" spans="1:3" ht="15.75" customHeight="1" x14ac:dyDescent="0.2">
      <c r="A1685" s="42">
        <v>2050</v>
      </c>
      <c r="B1685" s="42">
        <v>17331</v>
      </c>
      <c r="C1685" s="34" t="s">
        <v>2680</v>
      </c>
    </row>
    <row r="1686" spans="1:3" ht="15.75" customHeight="1" x14ac:dyDescent="0.2">
      <c r="A1686" s="42">
        <v>2051</v>
      </c>
      <c r="B1686" s="42">
        <v>17331</v>
      </c>
      <c r="C1686" s="34" t="s">
        <v>2661</v>
      </c>
    </row>
    <row r="1687" spans="1:3" ht="15.75" customHeight="1" x14ac:dyDescent="0.2">
      <c r="A1687" s="42">
        <v>2052</v>
      </c>
      <c r="B1687" s="42">
        <v>17331</v>
      </c>
      <c r="C1687" s="34" t="s">
        <v>2681</v>
      </c>
    </row>
    <row r="1688" spans="1:3" ht="15.75" customHeight="1" x14ac:dyDescent="0.2">
      <c r="A1688" s="42">
        <v>2053</v>
      </c>
      <c r="B1688" s="42">
        <v>17331</v>
      </c>
      <c r="C1688" s="34" t="s">
        <v>2682</v>
      </c>
    </row>
    <row r="1689" spans="1:3" ht="15.75" customHeight="1" x14ac:dyDescent="0.2">
      <c r="A1689" s="42">
        <v>2054</v>
      </c>
      <c r="B1689" s="42">
        <v>17331</v>
      </c>
      <c r="C1689" s="34" t="s">
        <v>2683</v>
      </c>
    </row>
    <row r="1690" spans="1:3" ht="15.75" customHeight="1" x14ac:dyDescent="0.2">
      <c r="A1690" s="42">
        <v>2055</v>
      </c>
      <c r="B1690" s="42">
        <v>17331</v>
      </c>
      <c r="C1690" s="34" t="s">
        <v>2684</v>
      </c>
    </row>
    <row r="1691" spans="1:3" ht="15.75" customHeight="1" x14ac:dyDescent="0.2">
      <c r="A1691" s="42">
        <v>2056</v>
      </c>
      <c r="B1691" s="42">
        <v>17331</v>
      </c>
      <c r="C1691" s="34" t="s">
        <v>2685</v>
      </c>
    </row>
    <row r="1692" spans="1:3" ht="15.75" customHeight="1" x14ac:dyDescent="0.2">
      <c r="A1692" s="42">
        <v>2057</v>
      </c>
      <c r="B1692" s="42">
        <v>17331</v>
      </c>
      <c r="C1692" s="34" t="s">
        <v>2686</v>
      </c>
    </row>
    <row r="1693" spans="1:3" ht="15.75" customHeight="1" x14ac:dyDescent="0.2">
      <c r="A1693" s="42">
        <v>2058</v>
      </c>
      <c r="B1693" s="42">
        <v>17331</v>
      </c>
      <c r="C1693" s="34" t="s">
        <v>2687</v>
      </c>
    </row>
    <row r="1694" spans="1:3" ht="15.75" customHeight="1" x14ac:dyDescent="0.2">
      <c r="A1694" s="42">
        <v>2059</v>
      </c>
      <c r="B1694" s="42">
        <v>17331</v>
      </c>
      <c r="C1694" s="34" t="s">
        <v>2688</v>
      </c>
    </row>
    <row r="1695" spans="1:3" ht="15.75" customHeight="1" x14ac:dyDescent="0.2">
      <c r="A1695" s="42">
        <v>2060</v>
      </c>
      <c r="B1695" s="42">
        <v>17331</v>
      </c>
      <c r="C1695" s="34" t="s">
        <v>2689</v>
      </c>
    </row>
    <row r="1696" spans="1:3" ht="15.75" customHeight="1" x14ac:dyDescent="0.2">
      <c r="A1696" s="42">
        <v>2061</v>
      </c>
      <c r="B1696" s="42">
        <v>17331</v>
      </c>
      <c r="C1696" s="34" t="s">
        <v>2690</v>
      </c>
    </row>
    <row r="1697" spans="1:3" ht="15.75" customHeight="1" x14ac:dyDescent="0.2">
      <c r="A1697" s="42">
        <v>2062</v>
      </c>
      <c r="B1697" s="42">
        <v>17331</v>
      </c>
      <c r="C1697" s="34" t="s">
        <v>2691</v>
      </c>
    </row>
    <row r="1698" spans="1:3" ht="15.75" customHeight="1" x14ac:dyDescent="0.2">
      <c r="A1698" s="42">
        <v>2063</v>
      </c>
      <c r="B1698" s="42">
        <v>17331</v>
      </c>
      <c r="C1698" s="34" t="s">
        <v>2692</v>
      </c>
    </row>
    <row r="1699" spans="1:3" ht="15.75" customHeight="1" x14ac:dyDescent="0.2">
      <c r="A1699" s="42">
        <v>2064</v>
      </c>
      <c r="B1699" s="42">
        <v>17331</v>
      </c>
      <c r="C1699" s="34" t="s">
        <v>2693</v>
      </c>
    </row>
    <row r="1700" spans="1:3" ht="15.75" customHeight="1" x14ac:dyDescent="0.2">
      <c r="A1700" s="42">
        <v>2065</v>
      </c>
      <c r="B1700" s="42">
        <v>17331</v>
      </c>
      <c r="C1700" s="34" t="s">
        <v>2694</v>
      </c>
    </row>
    <row r="1701" spans="1:3" ht="15.75" customHeight="1" x14ac:dyDescent="0.2">
      <c r="A1701" s="42">
        <v>2066</v>
      </c>
      <c r="B1701" s="42">
        <v>17331</v>
      </c>
      <c r="C1701" s="34" t="s">
        <v>2695</v>
      </c>
    </row>
    <row r="1702" spans="1:3" ht="15.75" customHeight="1" x14ac:dyDescent="0.2">
      <c r="A1702" s="42">
        <v>2067</v>
      </c>
      <c r="B1702" s="42">
        <v>17331</v>
      </c>
      <c r="C1702" s="34" t="s">
        <v>2696</v>
      </c>
    </row>
    <row r="1703" spans="1:3" ht="15.75" customHeight="1" x14ac:dyDescent="0.2">
      <c r="A1703" s="42">
        <v>2068</v>
      </c>
      <c r="B1703" s="42">
        <v>17331</v>
      </c>
      <c r="C1703" s="34" t="s">
        <v>2697</v>
      </c>
    </row>
    <row r="1704" spans="1:3" ht="15.75" customHeight="1" x14ac:dyDescent="0.2">
      <c r="A1704" s="42">
        <v>2069</v>
      </c>
      <c r="B1704" s="42">
        <v>17331</v>
      </c>
      <c r="C1704" s="34" t="s">
        <v>2698</v>
      </c>
    </row>
    <row r="1705" spans="1:3" ht="15.75" customHeight="1" x14ac:dyDescent="0.2">
      <c r="A1705" s="42">
        <v>2070</v>
      </c>
      <c r="B1705" s="42">
        <v>17331</v>
      </c>
      <c r="C1705" s="34" t="s">
        <v>2699</v>
      </c>
    </row>
    <row r="1706" spans="1:3" ht="15.75" customHeight="1" x14ac:dyDescent="0.2">
      <c r="A1706" s="42">
        <v>2071</v>
      </c>
      <c r="B1706" s="42">
        <v>17331</v>
      </c>
      <c r="C1706" s="34" t="s">
        <v>2700</v>
      </c>
    </row>
    <row r="1707" spans="1:3" ht="15.75" customHeight="1" x14ac:dyDescent="0.2">
      <c r="A1707" s="42">
        <v>2072</v>
      </c>
      <c r="B1707" s="42">
        <v>17331</v>
      </c>
      <c r="C1707" s="34" t="s">
        <v>2701</v>
      </c>
    </row>
    <row r="1708" spans="1:3" ht="15.75" customHeight="1" x14ac:dyDescent="0.2">
      <c r="A1708" s="42">
        <v>2073</v>
      </c>
      <c r="B1708" s="42">
        <v>17331</v>
      </c>
      <c r="C1708" s="34" t="s">
        <v>2702</v>
      </c>
    </row>
    <row r="1709" spans="1:3" ht="15.75" customHeight="1" x14ac:dyDescent="0.2">
      <c r="A1709" s="42">
        <v>2074</v>
      </c>
      <c r="B1709" s="42">
        <v>17331</v>
      </c>
      <c r="C1709" s="34" t="s">
        <v>2703</v>
      </c>
    </row>
    <row r="1710" spans="1:3" ht="15.75" customHeight="1" x14ac:dyDescent="0.2">
      <c r="A1710" s="42">
        <v>2075</v>
      </c>
      <c r="B1710" s="42">
        <v>17331</v>
      </c>
      <c r="C1710" s="34" t="s">
        <v>2704</v>
      </c>
    </row>
    <row r="1711" spans="1:3" ht="15.75" customHeight="1" x14ac:dyDescent="0.2">
      <c r="A1711" s="42">
        <v>2076</v>
      </c>
      <c r="B1711" s="42">
        <v>17331</v>
      </c>
      <c r="C1711" s="34" t="s">
        <v>2705</v>
      </c>
    </row>
    <row r="1712" spans="1:3" ht="15.75" customHeight="1" x14ac:dyDescent="0.2">
      <c r="A1712" s="42">
        <v>2077</v>
      </c>
      <c r="B1712" s="42">
        <v>17331</v>
      </c>
      <c r="C1712" s="34" t="s">
        <v>2706</v>
      </c>
    </row>
    <row r="1713" spans="1:3" ht="15.75" customHeight="1" x14ac:dyDescent="0.2">
      <c r="A1713" s="42">
        <v>2078</v>
      </c>
      <c r="B1713" s="42">
        <v>17331</v>
      </c>
      <c r="C1713" s="34" t="s">
        <v>2707</v>
      </c>
    </row>
    <row r="1714" spans="1:3" ht="15.75" customHeight="1" x14ac:dyDescent="0.2">
      <c r="A1714" s="42">
        <v>2079</v>
      </c>
      <c r="B1714" s="42">
        <v>17331</v>
      </c>
      <c r="C1714" s="34" t="s">
        <v>2708</v>
      </c>
    </row>
    <row r="1715" spans="1:3" ht="15.75" customHeight="1" x14ac:dyDescent="0.2">
      <c r="A1715" s="42">
        <v>2080</v>
      </c>
      <c r="B1715" s="42">
        <v>17331</v>
      </c>
      <c r="C1715" s="34" t="s">
        <v>2709</v>
      </c>
    </row>
    <row r="1716" spans="1:3" ht="15.75" customHeight="1" x14ac:dyDescent="0.2">
      <c r="A1716" s="42">
        <v>2081</v>
      </c>
      <c r="B1716" s="42">
        <v>17331</v>
      </c>
      <c r="C1716" s="34" t="s">
        <v>2710</v>
      </c>
    </row>
    <row r="1717" spans="1:3" ht="15.75" customHeight="1" x14ac:dyDescent="0.2">
      <c r="A1717" s="42">
        <v>2082</v>
      </c>
      <c r="B1717" s="42">
        <v>17332</v>
      </c>
      <c r="C1717" s="34" t="s">
        <v>2711</v>
      </c>
    </row>
    <row r="1718" spans="1:3" ht="15.75" customHeight="1" x14ac:dyDescent="0.2">
      <c r="A1718" s="42">
        <v>2083</v>
      </c>
      <c r="B1718" s="42">
        <v>17332</v>
      </c>
      <c r="C1718" s="34" t="s">
        <v>2712</v>
      </c>
    </row>
    <row r="1719" spans="1:3" ht="15.75" customHeight="1" x14ac:dyDescent="0.2">
      <c r="A1719" s="42">
        <v>2084</v>
      </c>
      <c r="B1719" s="42">
        <v>17332</v>
      </c>
      <c r="C1719" s="34" t="s">
        <v>2713</v>
      </c>
    </row>
    <row r="1720" spans="1:3" ht="15.75" customHeight="1" x14ac:dyDescent="0.2">
      <c r="A1720" s="42">
        <v>2085</v>
      </c>
      <c r="B1720" s="42">
        <v>17332</v>
      </c>
      <c r="C1720" s="34" t="s">
        <v>2714</v>
      </c>
    </row>
    <row r="1721" spans="1:3" ht="15.75" customHeight="1" x14ac:dyDescent="0.2">
      <c r="A1721" s="42">
        <v>2086</v>
      </c>
      <c r="B1721" s="42">
        <v>17332</v>
      </c>
      <c r="C1721" s="34" t="s">
        <v>2715</v>
      </c>
    </row>
    <row r="1722" spans="1:3" ht="15.75" customHeight="1" x14ac:dyDescent="0.2">
      <c r="A1722" s="42">
        <v>2087</v>
      </c>
      <c r="B1722" s="42">
        <v>17332</v>
      </c>
      <c r="C1722" s="34" t="s">
        <v>2716</v>
      </c>
    </row>
    <row r="1723" spans="1:3" ht="15.75" customHeight="1" x14ac:dyDescent="0.2">
      <c r="A1723" s="42">
        <v>2088</v>
      </c>
      <c r="B1723" s="42">
        <v>17332</v>
      </c>
      <c r="C1723" s="34" t="s">
        <v>2717</v>
      </c>
    </row>
    <row r="1724" spans="1:3" ht="15.75" customHeight="1" x14ac:dyDescent="0.2">
      <c r="A1724" s="42">
        <v>2089</v>
      </c>
      <c r="B1724" s="42">
        <v>17332</v>
      </c>
      <c r="C1724" s="34" t="s">
        <v>2718</v>
      </c>
    </row>
    <row r="1725" spans="1:3" ht="15.75" customHeight="1" x14ac:dyDescent="0.2">
      <c r="A1725" s="42">
        <v>2090</v>
      </c>
      <c r="B1725" s="42">
        <v>17332</v>
      </c>
      <c r="C1725" s="34" t="s">
        <v>2719</v>
      </c>
    </row>
    <row r="1726" spans="1:3" ht="15.75" customHeight="1" x14ac:dyDescent="0.2">
      <c r="A1726" s="42">
        <v>2091</v>
      </c>
      <c r="B1726" s="42">
        <v>17332</v>
      </c>
      <c r="C1726" s="34" t="s">
        <v>2720</v>
      </c>
    </row>
    <row r="1727" spans="1:3" ht="15.75" customHeight="1" x14ac:dyDescent="0.2">
      <c r="A1727" s="42">
        <v>2092</v>
      </c>
      <c r="B1727" s="42">
        <v>17332</v>
      </c>
      <c r="C1727" s="34" t="s">
        <v>2721</v>
      </c>
    </row>
    <row r="1728" spans="1:3" ht="15.75" customHeight="1" x14ac:dyDescent="0.2">
      <c r="A1728" s="42">
        <v>2093</v>
      </c>
      <c r="B1728" s="42">
        <v>17332</v>
      </c>
      <c r="C1728" s="34" t="s">
        <v>2722</v>
      </c>
    </row>
    <row r="1729" spans="1:3" ht="15.75" customHeight="1" x14ac:dyDescent="0.2">
      <c r="A1729" s="42">
        <v>2094</v>
      </c>
      <c r="B1729" s="42">
        <v>17332</v>
      </c>
      <c r="C1729" s="34" t="s">
        <v>2723</v>
      </c>
    </row>
    <row r="1730" spans="1:3" ht="15.75" customHeight="1" x14ac:dyDescent="0.2">
      <c r="A1730" s="42">
        <v>2095</v>
      </c>
      <c r="B1730" s="42">
        <v>17332</v>
      </c>
      <c r="C1730" s="34" t="s">
        <v>2724</v>
      </c>
    </row>
    <row r="1731" spans="1:3" ht="15.75" customHeight="1" x14ac:dyDescent="0.2">
      <c r="A1731" s="42">
        <v>2096</v>
      </c>
      <c r="B1731" s="42">
        <v>17332</v>
      </c>
      <c r="C1731" s="34" t="s">
        <v>2725</v>
      </c>
    </row>
    <row r="1732" spans="1:3" ht="15.75" customHeight="1" x14ac:dyDescent="0.2">
      <c r="A1732" s="42">
        <v>2097</v>
      </c>
      <c r="B1732" s="42">
        <v>17332</v>
      </c>
      <c r="C1732" s="34" t="s">
        <v>2726</v>
      </c>
    </row>
    <row r="1733" spans="1:3" ht="15.75" customHeight="1" x14ac:dyDescent="0.2">
      <c r="A1733" s="42">
        <v>2098</v>
      </c>
      <c r="B1733" s="42">
        <v>17332</v>
      </c>
      <c r="C1733" s="34" t="s">
        <v>2727</v>
      </c>
    </row>
    <row r="1734" spans="1:3" ht="15.75" customHeight="1" x14ac:dyDescent="0.2">
      <c r="A1734" s="42">
        <v>2099</v>
      </c>
      <c r="B1734" s="42">
        <v>17332</v>
      </c>
      <c r="C1734" s="34" t="s">
        <v>2728</v>
      </c>
    </row>
    <row r="1735" spans="1:3" ht="15.75" customHeight="1" x14ac:dyDescent="0.2">
      <c r="A1735" s="42">
        <v>2100</v>
      </c>
      <c r="B1735" s="42">
        <v>17332</v>
      </c>
      <c r="C1735" s="34" t="s">
        <v>2729</v>
      </c>
    </row>
    <row r="1736" spans="1:3" ht="15.75" customHeight="1" x14ac:dyDescent="0.2">
      <c r="A1736" s="42">
        <v>2101</v>
      </c>
      <c r="B1736" s="42">
        <v>17332</v>
      </c>
      <c r="C1736" s="34" t="s">
        <v>2730</v>
      </c>
    </row>
    <row r="1737" spans="1:3" ht="15.75" customHeight="1" x14ac:dyDescent="0.2">
      <c r="A1737" s="42">
        <v>2102</v>
      </c>
      <c r="B1737" s="42">
        <v>17332</v>
      </c>
      <c r="C1737" s="34" t="s">
        <v>2731</v>
      </c>
    </row>
    <row r="1738" spans="1:3" ht="15.75" customHeight="1" x14ac:dyDescent="0.2">
      <c r="A1738" s="42">
        <v>2103</v>
      </c>
      <c r="B1738" s="42">
        <v>17332</v>
      </c>
      <c r="C1738" s="34" t="s">
        <v>2732</v>
      </c>
    </row>
    <row r="1739" spans="1:3" ht="15.75" customHeight="1" x14ac:dyDescent="0.2">
      <c r="A1739" s="42">
        <v>2104</v>
      </c>
      <c r="B1739" s="42">
        <v>17332</v>
      </c>
      <c r="C1739" s="34" t="s">
        <v>2733</v>
      </c>
    </row>
    <row r="1740" spans="1:3" ht="15.75" customHeight="1" x14ac:dyDescent="0.2">
      <c r="A1740" s="42">
        <v>2105</v>
      </c>
      <c r="B1740" s="42">
        <v>17332</v>
      </c>
      <c r="C1740" s="34" t="s">
        <v>2734</v>
      </c>
    </row>
    <row r="1741" spans="1:3" ht="15.75" customHeight="1" x14ac:dyDescent="0.2">
      <c r="A1741" s="42">
        <v>2106</v>
      </c>
      <c r="B1741" s="42">
        <v>17332</v>
      </c>
      <c r="C1741" s="34" t="s">
        <v>2735</v>
      </c>
    </row>
    <row r="1742" spans="1:3" ht="15.75" customHeight="1" x14ac:dyDescent="0.2">
      <c r="A1742" s="42">
        <v>2107</v>
      </c>
      <c r="B1742" s="42">
        <v>17332</v>
      </c>
      <c r="C1742" s="34" t="s">
        <v>2726</v>
      </c>
    </row>
    <row r="1743" spans="1:3" ht="15.75" customHeight="1" x14ac:dyDescent="0.2">
      <c r="A1743" s="42">
        <v>2108</v>
      </c>
      <c r="B1743" s="42">
        <v>17332</v>
      </c>
      <c r="C1743" s="34" t="s">
        <v>2736</v>
      </c>
    </row>
    <row r="1744" spans="1:3" ht="15.75" customHeight="1" x14ac:dyDescent="0.2">
      <c r="A1744" s="42">
        <v>2109</v>
      </c>
      <c r="B1744" s="42">
        <v>17332</v>
      </c>
      <c r="C1744" s="34" t="s">
        <v>2737</v>
      </c>
    </row>
    <row r="1745" spans="1:3" ht="15.75" customHeight="1" x14ac:dyDescent="0.2">
      <c r="A1745" s="42">
        <v>2110</v>
      </c>
      <c r="B1745" s="42">
        <v>17332</v>
      </c>
      <c r="C1745" s="34" t="s">
        <v>2738</v>
      </c>
    </row>
    <row r="1746" spans="1:3" ht="15.75" customHeight="1" x14ac:dyDescent="0.2">
      <c r="A1746" s="42">
        <v>2111</v>
      </c>
      <c r="B1746" s="42">
        <v>17332</v>
      </c>
      <c r="C1746" s="34" t="s">
        <v>2739</v>
      </c>
    </row>
    <row r="1747" spans="1:3" ht="15.75" customHeight="1" x14ac:dyDescent="0.2">
      <c r="A1747" s="42">
        <v>2112</v>
      </c>
      <c r="B1747" s="42">
        <v>17332</v>
      </c>
      <c r="C1747" s="34" t="s">
        <v>2740</v>
      </c>
    </row>
    <row r="1748" spans="1:3" ht="15.75" customHeight="1" x14ac:dyDescent="0.2">
      <c r="A1748" s="42">
        <v>2113</v>
      </c>
      <c r="B1748" s="42">
        <v>17332</v>
      </c>
      <c r="C1748" s="34" t="s">
        <v>2741</v>
      </c>
    </row>
    <row r="1749" spans="1:3" ht="15.75" customHeight="1" x14ac:dyDescent="0.2">
      <c r="A1749" s="42">
        <v>2114</v>
      </c>
      <c r="B1749" s="42">
        <v>17332</v>
      </c>
      <c r="C1749" s="34" t="s">
        <v>2742</v>
      </c>
    </row>
    <row r="1750" spans="1:3" ht="15.75" customHeight="1" x14ac:dyDescent="0.2">
      <c r="A1750" s="42">
        <v>2115</v>
      </c>
      <c r="B1750" s="42">
        <v>17332</v>
      </c>
      <c r="C1750" s="34" t="s">
        <v>2743</v>
      </c>
    </row>
    <row r="1751" spans="1:3" ht="15.75" customHeight="1" x14ac:dyDescent="0.2">
      <c r="A1751" s="42">
        <v>2116</v>
      </c>
      <c r="B1751" s="42">
        <v>17332</v>
      </c>
      <c r="C1751" s="34" t="s">
        <v>2744</v>
      </c>
    </row>
    <row r="1752" spans="1:3" ht="15.75" customHeight="1" x14ac:dyDescent="0.2">
      <c r="A1752" s="42">
        <v>2117</v>
      </c>
      <c r="B1752" s="42">
        <v>17332</v>
      </c>
      <c r="C1752" s="34" t="s">
        <v>2745</v>
      </c>
    </row>
    <row r="1753" spans="1:3" ht="15.75" customHeight="1" x14ac:dyDescent="0.2">
      <c r="A1753" s="42">
        <v>2118</v>
      </c>
      <c r="B1753" s="42">
        <v>17332</v>
      </c>
      <c r="C1753" s="34" t="s">
        <v>2746</v>
      </c>
    </row>
    <row r="1754" spans="1:3" ht="15.75" customHeight="1" x14ac:dyDescent="0.2">
      <c r="A1754" s="42">
        <v>2119</v>
      </c>
      <c r="B1754" s="42">
        <v>17332</v>
      </c>
      <c r="C1754" s="34" t="s">
        <v>2747</v>
      </c>
    </row>
    <row r="1755" spans="1:3" ht="15.75" customHeight="1" x14ac:dyDescent="0.2">
      <c r="A1755" s="42">
        <v>2120</v>
      </c>
      <c r="B1755" s="42">
        <v>17332</v>
      </c>
      <c r="C1755" s="34" t="s">
        <v>2748</v>
      </c>
    </row>
    <row r="1756" spans="1:3" ht="15.75" customHeight="1" x14ac:dyDescent="0.2">
      <c r="A1756" s="42">
        <v>2121</v>
      </c>
      <c r="B1756" s="42">
        <v>17332</v>
      </c>
      <c r="C1756" s="34" t="s">
        <v>2749</v>
      </c>
    </row>
    <row r="1757" spans="1:3" ht="15.75" customHeight="1" x14ac:dyDescent="0.2">
      <c r="A1757" s="42">
        <v>2122</v>
      </c>
      <c r="B1757" s="42">
        <v>17332</v>
      </c>
      <c r="C1757" s="34" t="s">
        <v>2750</v>
      </c>
    </row>
    <row r="1758" spans="1:3" ht="15.75" customHeight="1" x14ac:dyDescent="0.2">
      <c r="A1758" s="42">
        <v>2123</v>
      </c>
      <c r="B1758" s="42">
        <v>17332</v>
      </c>
      <c r="C1758" s="34" t="s">
        <v>2751</v>
      </c>
    </row>
    <row r="1759" spans="1:3" ht="15.75" customHeight="1" x14ac:dyDescent="0.2">
      <c r="A1759" s="42">
        <v>2124</v>
      </c>
      <c r="B1759" s="42">
        <v>17332</v>
      </c>
      <c r="C1759" s="34" t="s">
        <v>2752</v>
      </c>
    </row>
    <row r="1760" spans="1:3" ht="15.75" customHeight="1" x14ac:dyDescent="0.2">
      <c r="A1760" s="42">
        <v>2125</v>
      </c>
      <c r="B1760" s="42">
        <v>17332</v>
      </c>
      <c r="C1760" s="34" t="s">
        <v>2753</v>
      </c>
    </row>
    <row r="1761" spans="1:3" ht="15.75" customHeight="1" x14ac:dyDescent="0.2">
      <c r="A1761" s="42">
        <v>2126</v>
      </c>
      <c r="B1761" s="42">
        <v>17332</v>
      </c>
      <c r="C1761" s="34" t="s">
        <v>2754</v>
      </c>
    </row>
    <row r="1762" spans="1:3" ht="15.75" customHeight="1" x14ac:dyDescent="0.2">
      <c r="A1762" s="42">
        <v>2127</v>
      </c>
      <c r="B1762" s="42">
        <v>17332</v>
      </c>
      <c r="C1762" s="34" t="s">
        <v>2755</v>
      </c>
    </row>
    <row r="1763" spans="1:3" ht="15.75" customHeight="1" x14ac:dyDescent="0.2">
      <c r="A1763" s="42">
        <v>2128</v>
      </c>
      <c r="B1763" s="42">
        <v>17332</v>
      </c>
      <c r="C1763" s="34" t="s">
        <v>2756</v>
      </c>
    </row>
    <row r="1764" spans="1:3" ht="15.75" customHeight="1" x14ac:dyDescent="0.2">
      <c r="A1764" s="42">
        <v>2129</v>
      </c>
      <c r="B1764" s="42">
        <v>17332</v>
      </c>
      <c r="C1764" s="34" t="s">
        <v>2757</v>
      </c>
    </row>
    <row r="1765" spans="1:3" ht="15.75" customHeight="1" x14ac:dyDescent="0.2">
      <c r="A1765" s="42">
        <v>2130</v>
      </c>
      <c r="B1765" s="42">
        <v>17332</v>
      </c>
      <c r="C1765" s="34" t="s">
        <v>2758</v>
      </c>
    </row>
    <row r="1766" spans="1:3" ht="15.75" customHeight="1" x14ac:dyDescent="0.2">
      <c r="A1766" s="42">
        <v>2131</v>
      </c>
      <c r="B1766" s="42">
        <v>17332</v>
      </c>
      <c r="C1766" s="34" t="s">
        <v>2728</v>
      </c>
    </row>
    <row r="1767" spans="1:3" ht="15.75" customHeight="1" x14ac:dyDescent="0.2">
      <c r="A1767" s="42">
        <v>2132</v>
      </c>
      <c r="B1767" s="42">
        <v>17332</v>
      </c>
      <c r="C1767" s="34" t="s">
        <v>2759</v>
      </c>
    </row>
    <row r="1768" spans="1:3" ht="15.75" customHeight="1" x14ac:dyDescent="0.2">
      <c r="A1768" s="42">
        <v>2133</v>
      </c>
      <c r="B1768" s="42">
        <v>17332</v>
      </c>
      <c r="C1768" s="34" t="s">
        <v>2760</v>
      </c>
    </row>
    <row r="1769" spans="1:3" ht="15.75" customHeight="1" x14ac:dyDescent="0.2">
      <c r="A1769" s="42">
        <v>2134</v>
      </c>
      <c r="B1769" s="42">
        <v>17332</v>
      </c>
      <c r="C1769" s="34" t="s">
        <v>2761</v>
      </c>
    </row>
    <row r="1770" spans="1:3" ht="15.75" customHeight="1" x14ac:dyDescent="0.2">
      <c r="A1770" s="42">
        <v>2135</v>
      </c>
      <c r="B1770" s="42">
        <v>17332</v>
      </c>
      <c r="C1770" s="34" t="s">
        <v>2762</v>
      </c>
    </row>
    <row r="1771" spans="1:3" ht="15.75" customHeight="1" x14ac:dyDescent="0.2">
      <c r="A1771" s="42">
        <v>2136</v>
      </c>
      <c r="B1771" s="42">
        <v>17332</v>
      </c>
      <c r="C1771" s="34" t="s">
        <v>2763</v>
      </c>
    </row>
    <row r="1772" spans="1:3" ht="15.75" customHeight="1" x14ac:dyDescent="0.2">
      <c r="A1772" s="42">
        <v>2137</v>
      </c>
      <c r="B1772" s="42">
        <v>17332</v>
      </c>
      <c r="C1772" s="34" t="s">
        <v>2764</v>
      </c>
    </row>
    <row r="1773" spans="1:3" ht="15.75" customHeight="1" x14ac:dyDescent="0.2">
      <c r="A1773" s="42">
        <v>2138</v>
      </c>
      <c r="B1773" s="42">
        <v>17332</v>
      </c>
      <c r="C1773" s="34" t="s">
        <v>2765</v>
      </c>
    </row>
    <row r="1774" spans="1:3" ht="15.75" customHeight="1" x14ac:dyDescent="0.2">
      <c r="A1774" s="42">
        <v>2139</v>
      </c>
      <c r="B1774" s="42">
        <v>17332</v>
      </c>
      <c r="C1774" s="34" t="s">
        <v>2766</v>
      </c>
    </row>
    <row r="1775" spans="1:3" ht="15.75" customHeight="1" x14ac:dyDescent="0.2">
      <c r="A1775" s="42">
        <v>2140</v>
      </c>
      <c r="B1775" s="42">
        <v>17332</v>
      </c>
      <c r="C1775" s="34" t="s">
        <v>2767</v>
      </c>
    </row>
    <row r="1776" spans="1:3" ht="15.75" customHeight="1" x14ac:dyDescent="0.2">
      <c r="A1776" s="42">
        <v>2141</v>
      </c>
      <c r="B1776" s="42">
        <v>17332</v>
      </c>
      <c r="C1776" s="34" t="s">
        <v>2768</v>
      </c>
    </row>
    <row r="1777" spans="1:3" ht="15.75" customHeight="1" x14ac:dyDescent="0.2">
      <c r="A1777" s="42">
        <v>2142</v>
      </c>
      <c r="B1777" s="42">
        <v>17332</v>
      </c>
      <c r="C1777" s="34" t="s">
        <v>2769</v>
      </c>
    </row>
    <row r="1778" spans="1:3" ht="15.75" customHeight="1" x14ac:dyDescent="0.2">
      <c r="A1778" s="42">
        <v>2143</v>
      </c>
      <c r="B1778" s="42">
        <v>17332</v>
      </c>
      <c r="C1778" s="34" t="s">
        <v>2770</v>
      </c>
    </row>
    <row r="1779" spans="1:3" ht="15.75" customHeight="1" x14ac:dyDescent="0.2">
      <c r="A1779" s="42">
        <v>2144</v>
      </c>
      <c r="B1779" s="42">
        <v>17332</v>
      </c>
      <c r="C1779" s="34" t="s">
        <v>2771</v>
      </c>
    </row>
    <row r="1780" spans="1:3" ht="15.75" customHeight="1" x14ac:dyDescent="0.2">
      <c r="A1780" s="42">
        <v>2145</v>
      </c>
      <c r="B1780" s="42">
        <v>17332</v>
      </c>
      <c r="C1780" s="34" t="s">
        <v>2772</v>
      </c>
    </row>
    <row r="1781" spans="1:3" ht="15.75" customHeight="1" x14ac:dyDescent="0.2">
      <c r="A1781" s="42">
        <v>2146</v>
      </c>
      <c r="B1781" s="42">
        <v>17332</v>
      </c>
      <c r="C1781" s="34" t="s">
        <v>2773</v>
      </c>
    </row>
    <row r="1782" spans="1:3" ht="15.75" customHeight="1" x14ac:dyDescent="0.2">
      <c r="A1782" s="42">
        <v>2147</v>
      </c>
      <c r="B1782" s="42">
        <v>17332</v>
      </c>
      <c r="C1782" s="34" t="s">
        <v>2774</v>
      </c>
    </row>
    <row r="1783" spans="1:3" ht="15.75" customHeight="1" x14ac:dyDescent="0.2">
      <c r="A1783" s="42">
        <v>2148</v>
      </c>
      <c r="B1783" s="42">
        <v>17332</v>
      </c>
      <c r="C1783" s="34" t="s">
        <v>2775</v>
      </c>
    </row>
    <row r="1784" spans="1:3" ht="15.75" customHeight="1" x14ac:dyDescent="0.2">
      <c r="A1784" s="42">
        <v>2149</v>
      </c>
      <c r="B1784" s="42">
        <v>17332</v>
      </c>
      <c r="C1784" s="34" t="s">
        <v>2776</v>
      </c>
    </row>
    <row r="1785" spans="1:3" ht="15.75" customHeight="1" x14ac:dyDescent="0.2">
      <c r="A1785" s="42">
        <v>2150</v>
      </c>
      <c r="B1785" s="42">
        <v>17332</v>
      </c>
      <c r="C1785" s="34" t="s">
        <v>2777</v>
      </c>
    </row>
    <row r="1786" spans="1:3" ht="15.75" customHeight="1" x14ac:dyDescent="0.2">
      <c r="A1786" s="42">
        <v>2151</v>
      </c>
      <c r="B1786" s="42">
        <v>17332</v>
      </c>
      <c r="C1786" s="34" t="s">
        <v>2778</v>
      </c>
    </row>
    <row r="1787" spans="1:3" ht="15.75" customHeight="1" x14ac:dyDescent="0.2">
      <c r="A1787" s="42">
        <v>2152</v>
      </c>
      <c r="B1787" s="42">
        <v>17332</v>
      </c>
      <c r="C1787" s="34" t="s">
        <v>2779</v>
      </c>
    </row>
    <row r="1788" spans="1:3" ht="15.75" customHeight="1" x14ac:dyDescent="0.2">
      <c r="A1788" s="42">
        <v>2153</v>
      </c>
      <c r="B1788" s="42">
        <v>17332</v>
      </c>
      <c r="C1788" s="34" t="s">
        <v>2780</v>
      </c>
    </row>
    <row r="1789" spans="1:3" ht="15.75" customHeight="1" x14ac:dyDescent="0.2">
      <c r="A1789" s="42">
        <v>2154</v>
      </c>
      <c r="B1789" s="42">
        <v>17332</v>
      </c>
      <c r="C1789" s="34" t="s">
        <v>2781</v>
      </c>
    </row>
    <row r="1790" spans="1:3" ht="15.75" customHeight="1" x14ac:dyDescent="0.2">
      <c r="A1790" s="42">
        <v>2155</v>
      </c>
      <c r="B1790" s="42">
        <v>17332</v>
      </c>
      <c r="C1790" s="34" t="s">
        <v>2782</v>
      </c>
    </row>
    <row r="1791" spans="1:3" ht="15.75" customHeight="1" x14ac:dyDescent="0.2">
      <c r="A1791" s="42">
        <v>2156</v>
      </c>
      <c r="B1791" s="42">
        <v>17332</v>
      </c>
      <c r="C1791" s="34" t="s">
        <v>2783</v>
      </c>
    </row>
    <row r="1792" spans="1:3" ht="15.75" customHeight="1" x14ac:dyDescent="0.2">
      <c r="A1792" s="42">
        <v>2157</v>
      </c>
      <c r="B1792" s="42">
        <v>17332</v>
      </c>
      <c r="C1792" s="34" t="s">
        <v>2784</v>
      </c>
    </row>
    <row r="1793" spans="1:3" ht="15.75" customHeight="1" x14ac:dyDescent="0.2">
      <c r="A1793" s="42">
        <v>2158</v>
      </c>
      <c r="B1793" s="42">
        <v>17332</v>
      </c>
      <c r="C1793" s="34" t="s">
        <v>2785</v>
      </c>
    </row>
    <row r="1794" spans="1:3" ht="15.75" customHeight="1" x14ac:dyDescent="0.2">
      <c r="A1794" s="42">
        <v>2159</v>
      </c>
      <c r="B1794" s="42">
        <v>17332</v>
      </c>
      <c r="C1794" s="34" t="s">
        <v>2761</v>
      </c>
    </row>
    <row r="1795" spans="1:3" ht="15.75" customHeight="1" x14ac:dyDescent="0.2">
      <c r="A1795" s="42">
        <v>2160</v>
      </c>
      <c r="B1795" s="42">
        <v>17332</v>
      </c>
      <c r="C1795" s="34" t="s">
        <v>2786</v>
      </c>
    </row>
    <row r="1796" spans="1:3" ht="15.75" customHeight="1" x14ac:dyDescent="0.2">
      <c r="A1796" s="42">
        <v>2161</v>
      </c>
      <c r="B1796" s="42">
        <v>17332</v>
      </c>
      <c r="C1796" s="34" t="s">
        <v>2787</v>
      </c>
    </row>
    <row r="1797" spans="1:3" ht="15.75" customHeight="1" x14ac:dyDescent="0.2">
      <c r="A1797" s="42">
        <v>2162</v>
      </c>
      <c r="B1797" s="42">
        <v>17332</v>
      </c>
      <c r="C1797" s="34" t="s">
        <v>2788</v>
      </c>
    </row>
    <row r="1798" spans="1:3" ht="15.75" customHeight="1" x14ac:dyDescent="0.2">
      <c r="A1798" s="42">
        <v>2163</v>
      </c>
      <c r="B1798" s="42">
        <v>17332</v>
      </c>
      <c r="C1798" s="34" t="s">
        <v>2789</v>
      </c>
    </row>
    <row r="1799" spans="1:3" ht="15.75" customHeight="1" x14ac:dyDescent="0.2">
      <c r="A1799" s="42">
        <v>2164</v>
      </c>
      <c r="B1799" s="42">
        <v>17332</v>
      </c>
      <c r="C1799" s="34" t="s">
        <v>2790</v>
      </c>
    </row>
    <row r="1800" spans="1:3" ht="15.75" customHeight="1" x14ac:dyDescent="0.2">
      <c r="A1800" s="42">
        <v>2165</v>
      </c>
      <c r="B1800" s="42">
        <v>17332</v>
      </c>
      <c r="C1800" s="34" t="s">
        <v>2791</v>
      </c>
    </row>
    <row r="1801" spans="1:3" ht="15.75" customHeight="1" x14ac:dyDescent="0.2">
      <c r="A1801" s="42">
        <v>2166</v>
      </c>
      <c r="B1801" s="42">
        <v>17332</v>
      </c>
      <c r="C1801" s="34" t="s">
        <v>2792</v>
      </c>
    </row>
    <row r="1802" spans="1:3" ht="15.75" customHeight="1" x14ac:dyDescent="0.2">
      <c r="A1802" s="42">
        <v>2167</v>
      </c>
      <c r="B1802" s="42">
        <v>17332</v>
      </c>
      <c r="C1802" s="34" t="s">
        <v>2793</v>
      </c>
    </row>
    <row r="1803" spans="1:3" ht="15.75" customHeight="1" x14ac:dyDescent="0.2">
      <c r="A1803" s="42">
        <v>2168</v>
      </c>
      <c r="B1803" s="42">
        <v>17332</v>
      </c>
      <c r="C1803" s="34" t="s">
        <v>2794</v>
      </c>
    </row>
    <row r="1804" spans="1:3" ht="15.75" customHeight="1" x14ac:dyDescent="0.2">
      <c r="A1804" s="42">
        <v>2169</v>
      </c>
      <c r="B1804" s="42">
        <v>17332</v>
      </c>
      <c r="C1804" s="34" t="s">
        <v>2795</v>
      </c>
    </row>
    <row r="1805" spans="1:3" ht="15.75" customHeight="1" x14ac:dyDescent="0.2">
      <c r="A1805" s="42">
        <v>2170</v>
      </c>
      <c r="B1805" s="42">
        <v>17337</v>
      </c>
      <c r="C1805" s="34" t="s">
        <v>2796</v>
      </c>
    </row>
    <row r="1806" spans="1:3" ht="15.75" customHeight="1" x14ac:dyDescent="0.2">
      <c r="A1806" s="42">
        <v>2171</v>
      </c>
      <c r="B1806" s="42">
        <v>17337</v>
      </c>
      <c r="C1806" s="34" t="s">
        <v>2797</v>
      </c>
    </row>
    <row r="1807" spans="1:3" ht="15.75" customHeight="1" x14ac:dyDescent="0.2">
      <c r="A1807" s="42">
        <v>2172</v>
      </c>
      <c r="B1807" s="42">
        <v>17337</v>
      </c>
      <c r="C1807" s="34" t="s">
        <v>2798</v>
      </c>
    </row>
    <row r="1808" spans="1:3" ht="15.75" customHeight="1" x14ac:dyDescent="0.2">
      <c r="A1808" s="42">
        <v>2173</v>
      </c>
      <c r="B1808" s="42">
        <v>17337</v>
      </c>
      <c r="C1808" s="34" t="s">
        <v>2799</v>
      </c>
    </row>
    <row r="1809" spans="1:3" ht="15.75" customHeight="1" x14ac:dyDescent="0.2">
      <c r="A1809" s="42">
        <v>2174</v>
      </c>
      <c r="B1809" s="42">
        <v>17337</v>
      </c>
      <c r="C1809" s="34" t="s">
        <v>2800</v>
      </c>
    </row>
    <row r="1810" spans="1:3" ht="15.75" customHeight="1" x14ac:dyDescent="0.2">
      <c r="A1810" s="42">
        <v>2175</v>
      </c>
      <c r="B1810" s="42">
        <v>17337</v>
      </c>
      <c r="C1810" s="34" t="s">
        <v>2801</v>
      </c>
    </row>
    <row r="1811" spans="1:3" ht="15.75" customHeight="1" x14ac:dyDescent="0.2">
      <c r="A1811" s="42">
        <v>2176</v>
      </c>
      <c r="B1811" s="42">
        <v>17337</v>
      </c>
      <c r="C1811" s="34" t="s">
        <v>2802</v>
      </c>
    </row>
    <row r="1812" spans="1:3" ht="15.75" customHeight="1" x14ac:dyDescent="0.2">
      <c r="A1812" s="42">
        <v>2177</v>
      </c>
      <c r="B1812" s="42">
        <v>17337</v>
      </c>
      <c r="C1812" s="34" t="s">
        <v>2803</v>
      </c>
    </row>
    <row r="1813" spans="1:3" ht="15.75" customHeight="1" x14ac:dyDescent="0.2">
      <c r="A1813" s="42">
        <v>2178</v>
      </c>
      <c r="B1813" s="42">
        <v>17337</v>
      </c>
      <c r="C1813" s="34" t="s">
        <v>2804</v>
      </c>
    </row>
    <row r="1814" spans="1:3" ht="15.75" customHeight="1" x14ac:dyDescent="0.2">
      <c r="A1814" s="42">
        <v>2179</v>
      </c>
      <c r="B1814" s="42">
        <v>17337</v>
      </c>
      <c r="C1814" s="34" t="s">
        <v>2805</v>
      </c>
    </row>
    <row r="1815" spans="1:3" ht="15.75" customHeight="1" x14ac:dyDescent="0.2">
      <c r="A1815" s="42">
        <v>2180</v>
      </c>
      <c r="B1815" s="42">
        <v>17337</v>
      </c>
      <c r="C1815" s="34" t="s">
        <v>2806</v>
      </c>
    </row>
    <row r="1816" spans="1:3" ht="15.75" customHeight="1" x14ac:dyDescent="0.2">
      <c r="A1816" s="42">
        <v>2181</v>
      </c>
      <c r="B1816" s="42">
        <v>17337</v>
      </c>
      <c r="C1816" s="34" t="s">
        <v>2807</v>
      </c>
    </row>
    <row r="1817" spans="1:3" ht="15.75" customHeight="1" x14ac:dyDescent="0.2">
      <c r="A1817" s="42">
        <v>2182</v>
      </c>
      <c r="B1817" s="42">
        <v>17337</v>
      </c>
      <c r="C1817" s="34" t="s">
        <v>2808</v>
      </c>
    </row>
    <row r="1818" spans="1:3" ht="15.75" customHeight="1" x14ac:dyDescent="0.2">
      <c r="A1818" s="42">
        <v>2183</v>
      </c>
      <c r="B1818" s="42">
        <v>17337</v>
      </c>
      <c r="C1818" s="34" t="s">
        <v>2809</v>
      </c>
    </row>
    <row r="1819" spans="1:3" ht="15.75" customHeight="1" x14ac:dyDescent="0.2">
      <c r="A1819" s="42">
        <v>2184</v>
      </c>
      <c r="B1819" s="42">
        <v>17337</v>
      </c>
      <c r="C1819" s="34" t="s">
        <v>2810</v>
      </c>
    </row>
    <row r="1820" spans="1:3" ht="15.75" customHeight="1" x14ac:dyDescent="0.2">
      <c r="A1820" s="42">
        <v>2185</v>
      </c>
      <c r="B1820" s="42">
        <v>17337</v>
      </c>
      <c r="C1820" s="34" t="s">
        <v>2811</v>
      </c>
    </row>
    <row r="1821" spans="1:3" ht="15.75" customHeight="1" x14ac:dyDescent="0.2">
      <c r="A1821" s="42">
        <v>2186</v>
      </c>
      <c r="B1821" s="42">
        <v>17337</v>
      </c>
      <c r="C1821" s="34" t="s">
        <v>2812</v>
      </c>
    </row>
    <row r="1822" spans="1:3" ht="15.75" customHeight="1" x14ac:dyDescent="0.2">
      <c r="A1822" s="42">
        <v>2187</v>
      </c>
      <c r="B1822" s="42">
        <v>17337</v>
      </c>
      <c r="C1822" s="34" t="s">
        <v>2813</v>
      </c>
    </row>
    <row r="1823" spans="1:3" ht="15.75" customHeight="1" x14ac:dyDescent="0.2">
      <c r="A1823" s="42">
        <v>2188</v>
      </c>
      <c r="B1823" s="42">
        <v>17337</v>
      </c>
      <c r="C1823" s="34" t="s">
        <v>2814</v>
      </c>
    </row>
    <row r="1824" spans="1:3" ht="15.75" customHeight="1" x14ac:dyDescent="0.2">
      <c r="A1824" s="42">
        <v>2189</v>
      </c>
      <c r="B1824" s="42">
        <v>17337</v>
      </c>
      <c r="C1824" s="34" t="s">
        <v>2815</v>
      </c>
    </row>
    <row r="1825" spans="1:3" ht="15.75" customHeight="1" x14ac:dyDescent="0.2">
      <c r="A1825" s="42">
        <v>2190</v>
      </c>
      <c r="B1825" s="42">
        <v>17337</v>
      </c>
      <c r="C1825" s="34" t="s">
        <v>2816</v>
      </c>
    </row>
    <row r="1826" spans="1:3" ht="15.75" customHeight="1" x14ac:dyDescent="0.2">
      <c r="A1826" s="42">
        <v>2191</v>
      </c>
      <c r="B1826" s="42">
        <v>17337</v>
      </c>
      <c r="C1826" s="34" t="s">
        <v>2817</v>
      </c>
    </row>
    <row r="1827" spans="1:3" ht="15.75" customHeight="1" x14ac:dyDescent="0.2">
      <c r="A1827" s="42">
        <v>2192</v>
      </c>
      <c r="B1827" s="42">
        <v>17337</v>
      </c>
      <c r="C1827" s="34" t="s">
        <v>2818</v>
      </c>
    </row>
    <row r="1828" spans="1:3" ht="15.75" customHeight="1" x14ac:dyDescent="0.2">
      <c r="A1828" s="42">
        <v>2193</v>
      </c>
      <c r="B1828" s="42">
        <v>17337</v>
      </c>
      <c r="C1828" s="34" t="s">
        <v>2819</v>
      </c>
    </row>
    <row r="1829" spans="1:3" ht="15.75" customHeight="1" x14ac:dyDescent="0.2">
      <c r="A1829" s="42">
        <v>2194</v>
      </c>
      <c r="B1829" s="42">
        <v>17337</v>
      </c>
      <c r="C1829" s="34" t="s">
        <v>2820</v>
      </c>
    </row>
    <row r="1830" spans="1:3" ht="15.75" customHeight="1" x14ac:dyDescent="0.2">
      <c r="A1830" s="42">
        <v>2195</v>
      </c>
      <c r="B1830" s="42">
        <v>17337</v>
      </c>
      <c r="C1830" s="34" t="s">
        <v>2821</v>
      </c>
    </row>
    <row r="1831" spans="1:3" ht="15.75" customHeight="1" x14ac:dyDescent="0.2">
      <c r="A1831" s="42">
        <v>2196</v>
      </c>
      <c r="B1831" s="42">
        <v>17337</v>
      </c>
      <c r="C1831" s="34" t="s">
        <v>2822</v>
      </c>
    </row>
    <row r="1832" spans="1:3" ht="15.75" customHeight="1" x14ac:dyDescent="0.2">
      <c r="A1832" s="42">
        <v>2197</v>
      </c>
      <c r="B1832" s="42">
        <v>17337</v>
      </c>
      <c r="C1832" s="34" t="s">
        <v>2823</v>
      </c>
    </row>
    <row r="1833" spans="1:3" ht="15.75" customHeight="1" x14ac:dyDescent="0.2">
      <c r="A1833" s="42">
        <v>2198</v>
      </c>
      <c r="B1833" s="42">
        <v>17337</v>
      </c>
      <c r="C1833" s="34" t="s">
        <v>2824</v>
      </c>
    </row>
    <row r="1834" spans="1:3" ht="15.75" customHeight="1" x14ac:dyDescent="0.2">
      <c r="A1834" s="42">
        <v>2199</v>
      </c>
      <c r="B1834" s="42">
        <v>17337</v>
      </c>
      <c r="C1834" s="34" t="s">
        <v>2825</v>
      </c>
    </row>
    <row r="1835" spans="1:3" ht="15.75" customHeight="1" x14ac:dyDescent="0.2">
      <c r="A1835" s="42">
        <v>2200</v>
      </c>
      <c r="B1835" s="42">
        <v>17337</v>
      </c>
      <c r="C1835" s="34" t="s">
        <v>2826</v>
      </c>
    </row>
    <row r="1836" spans="1:3" ht="15.75" customHeight="1" x14ac:dyDescent="0.2">
      <c r="A1836" s="42">
        <v>2201</v>
      </c>
      <c r="B1836" s="42">
        <v>17337</v>
      </c>
      <c r="C1836" s="34" t="s">
        <v>2827</v>
      </c>
    </row>
    <row r="1837" spans="1:3" ht="15.75" customHeight="1" x14ac:dyDescent="0.2">
      <c r="A1837" s="42">
        <v>2202</v>
      </c>
      <c r="B1837" s="42">
        <v>17337</v>
      </c>
      <c r="C1837" s="34" t="s">
        <v>2828</v>
      </c>
    </row>
    <row r="1838" spans="1:3" ht="15.75" customHeight="1" x14ac:dyDescent="0.2">
      <c r="A1838" s="42">
        <v>2203</v>
      </c>
      <c r="B1838" s="42">
        <v>17337</v>
      </c>
      <c r="C1838" s="34" t="s">
        <v>2829</v>
      </c>
    </row>
    <row r="1839" spans="1:3" ht="15.75" customHeight="1" x14ac:dyDescent="0.2">
      <c r="A1839" s="42">
        <v>2204</v>
      </c>
      <c r="B1839" s="42">
        <v>17337</v>
      </c>
      <c r="C1839" s="34" t="s">
        <v>2830</v>
      </c>
    </row>
    <row r="1840" spans="1:3" ht="15.75" customHeight="1" x14ac:dyDescent="0.2">
      <c r="A1840" s="42">
        <v>2205</v>
      </c>
      <c r="B1840" s="42">
        <v>17337</v>
      </c>
      <c r="C1840" s="34" t="s">
        <v>2831</v>
      </c>
    </row>
    <row r="1841" spans="1:3" ht="15.75" customHeight="1" x14ac:dyDescent="0.2">
      <c r="A1841" s="42">
        <v>2206</v>
      </c>
      <c r="B1841" s="42">
        <v>17337</v>
      </c>
      <c r="C1841" s="34" t="s">
        <v>2832</v>
      </c>
    </row>
    <row r="1842" spans="1:3" ht="15.75" customHeight="1" x14ac:dyDescent="0.2">
      <c r="A1842" s="42">
        <v>2207</v>
      </c>
      <c r="B1842" s="42">
        <v>17337</v>
      </c>
      <c r="C1842" s="34" t="s">
        <v>2833</v>
      </c>
    </row>
    <row r="1843" spans="1:3" ht="15.75" customHeight="1" x14ac:dyDescent="0.2">
      <c r="A1843" s="42">
        <v>2208</v>
      </c>
      <c r="B1843" s="42">
        <v>17337</v>
      </c>
      <c r="C1843" s="34" t="s">
        <v>2834</v>
      </c>
    </row>
    <row r="1844" spans="1:3" ht="15.75" customHeight="1" x14ac:dyDescent="0.2">
      <c r="A1844" s="42">
        <v>2209</v>
      </c>
      <c r="B1844" s="42">
        <v>17337</v>
      </c>
      <c r="C1844" s="34" t="s">
        <v>2835</v>
      </c>
    </row>
    <row r="1845" spans="1:3" ht="15.75" customHeight="1" x14ac:dyDescent="0.2">
      <c r="A1845" s="42">
        <v>2210</v>
      </c>
      <c r="B1845" s="42">
        <v>17337</v>
      </c>
      <c r="C1845" s="34" t="s">
        <v>2836</v>
      </c>
    </row>
    <row r="1846" spans="1:3" ht="15.75" customHeight="1" x14ac:dyDescent="0.2">
      <c r="A1846" s="42">
        <v>2211</v>
      </c>
      <c r="B1846" s="42">
        <v>17337</v>
      </c>
      <c r="C1846" s="34" t="s">
        <v>2837</v>
      </c>
    </row>
    <row r="1847" spans="1:3" ht="15.75" customHeight="1" x14ac:dyDescent="0.2">
      <c r="A1847" s="42">
        <v>2212</v>
      </c>
      <c r="B1847" s="42">
        <v>17337</v>
      </c>
      <c r="C1847" s="34" t="s">
        <v>2838</v>
      </c>
    </row>
    <row r="1848" spans="1:3" ht="15.75" customHeight="1" x14ac:dyDescent="0.2">
      <c r="A1848" s="42">
        <v>2213</v>
      </c>
      <c r="B1848" s="42">
        <v>17337</v>
      </c>
      <c r="C1848" s="34" t="s">
        <v>2839</v>
      </c>
    </row>
    <row r="1849" spans="1:3" ht="15.75" customHeight="1" x14ac:dyDescent="0.2">
      <c r="A1849" s="42">
        <v>2214</v>
      </c>
      <c r="B1849" s="42">
        <v>17337</v>
      </c>
      <c r="C1849" s="34" t="s">
        <v>2840</v>
      </c>
    </row>
    <row r="1850" spans="1:3" ht="15.75" customHeight="1" x14ac:dyDescent="0.2">
      <c r="A1850" s="42">
        <v>2215</v>
      </c>
      <c r="B1850" s="42">
        <v>17337</v>
      </c>
      <c r="C1850" s="34" t="s">
        <v>2841</v>
      </c>
    </row>
    <row r="1851" spans="1:3" ht="15.75" customHeight="1" x14ac:dyDescent="0.2">
      <c r="A1851" s="42">
        <v>2216</v>
      </c>
      <c r="B1851" s="42">
        <v>17337</v>
      </c>
      <c r="C1851" s="34" t="s">
        <v>2842</v>
      </c>
    </row>
    <row r="1852" spans="1:3" ht="15.75" customHeight="1" x14ac:dyDescent="0.2">
      <c r="A1852" s="42">
        <v>2217</v>
      </c>
      <c r="B1852" s="42">
        <v>17337</v>
      </c>
      <c r="C1852" s="34" t="s">
        <v>2843</v>
      </c>
    </row>
    <row r="1853" spans="1:3" ht="15.75" customHeight="1" x14ac:dyDescent="0.2">
      <c r="A1853" s="42">
        <v>2218</v>
      </c>
      <c r="B1853" s="42">
        <v>17337</v>
      </c>
      <c r="C1853" s="34" t="s">
        <v>2844</v>
      </c>
    </row>
    <row r="1854" spans="1:3" ht="15.75" customHeight="1" x14ac:dyDescent="0.2">
      <c r="A1854" s="42">
        <v>2219</v>
      </c>
      <c r="B1854" s="42">
        <v>17337</v>
      </c>
      <c r="C1854" s="34" t="s">
        <v>2845</v>
      </c>
    </row>
    <row r="1855" spans="1:3" ht="15.75" customHeight="1" x14ac:dyDescent="0.2">
      <c r="A1855" s="42">
        <v>2220</v>
      </c>
      <c r="B1855" s="42">
        <v>17337</v>
      </c>
      <c r="C1855" s="34" t="s">
        <v>2846</v>
      </c>
    </row>
    <row r="1856" spans="1:3" ht="15.75" customHeight="1" x14ac:dyDescent="0.2">
      <c r="A1856" s="42">
        <v>2221</v>
      </c>
      <c r="B1856" s="42">
        <v>17337</v>
      </c>
      <c r="C1856" s="34" t="s">
        <v>2847</v>
      </c>
    </row>
    <row r="1857" spans="1:3" ht="15.75" customHeight="1" x14ac:dyDescent="0.2">
      <c r="A1857" s="42">
        <v>2222</v>
      </c>
      <c r="B1857" s="42">
        <v>17337</v>
      </c>
      <c r="C1857" s="34" t="s">
        <v>2848</v>
      </c>
    </row>
    <row r="1858" spans="1:3" ht="15.75" customHeight="1" x14ac:dyDescent="0.2">
      <c r="A1858" s="42">
        <v>2223</v>
      </c>
      <c r="B1858" s="42">
        <v>17337</v>
      </c>
      <c r="C1858" s="34" t="s">
        <v>2849</v>
      </c>
    </row>
    <row r="1859" spans="1:3" ht="15.75" customHeight="1" x14ac:dyDescent="0.2">
      <c r="A1859" s="42">
        <v>2224</v>
      </c>
      <c r="B1859" s="42">
        <v>17337</v>
      </c>
      <c r="C1859" s="34" t="s">
        <v>2850</v>
      </c>
    </row>
    <row r="1860" spans="1:3" ht="15.75" customHeight="1" x14ac:dyDescent="0.2">
      <c r="A1860" s="42">
        <v>2225</v>
      </c>
      <c r="B1860" s="42">
        <v>17337</v>
      </c>
      <c r="C1860" s="34" t="s">
        <v>2851</v>
      </c>
    </row>
    <row r="1861" spans="1:3" ht="15.75" customHeight="1" x14ac:dyDescent="0.2">
      <c r="A1861" s="42">
        <v>2226</v>
      </c>
      <c r="B1861" s="42">
        <v>17337</v>
      </c>
      <c r="C1861" s="34" t="s">
        <v>2852</v>
      </c>
    </row>
    <row r="1862" spans="1:3" ht="15.75" customHeight="1" x14ac:dyDescent="0.2">
      <c r="A1862" s="42">
        <v>2227</v>
      </c>
      <c r="B1862" s="42">
        <v>17337</v>
      </c>
      <c r="C1862" s="34" t="s">
        <v>2853</v>
      </c>
    </row>
    <row r="1863" spans="1:3" ht="15.75" customHeight="1" x14ac:dyDescent="0.2">
      <c r="A1863" s="42">
        <v>2228</v>
      </c>
      <c r="B1863" s="42">
        <v>17337</v>
      </c>
      <c r="C1863" s="34" t="s">
        <v>2854</v>
      </c>
    </row>
    <row r="1864" spans="1:3" ht="15.75" customHeight="1" x14ac:dyDescent="0.2">
      <c r="A1864" s="42">
        <v>2229</v>
      </c>
      <c r="B1864" s="42">
        <v>17337</v>
      </c>
      <c r="C1864" s="34" t="s">
        <v>2855</v>
      </c>
    </row>
    <row r="1865" spans="1:3" ht="15.75" customHeight="1" x14ac:dyDescent="0.2">
      <c r="A1865" s="42">
        <v>2230</v>
      </c>
      <c r="B1865" s="42">
        <v>17337</v>
      </c>
      <c r="C1865" s="34" t="s">
        <v>2856</v>
      </c>
    </row>
    <row r="1866" spans="1:3" ht="15.75" customHeight="1" x14ac:dyDescent="0.2">
      <c r="A1866" s="42">
        <v>2231</v>
      </c>
      <c r="B1866" s="42">
        <v>17337</v>
      </c>
      <c r="C1866" s="34" t="s">
        <v>2857</v>
      </c>
    </row>
    <row r="1867" spans="1:3" ht="15.75" customHeight="1" x14ac:dyDescent="0.2">
      <c r="A1867" s="42">
        <v>2232</v>
      </c>
      <c r="B1867" s="42">
        <v>17337</v>
      </c>
      <c r="C1867" s="34" t="s">
        <v>2858</v>
      </c>
    </row>
    <row r="1868" spans="1:3" ht="15.75" customHeight="1" x14ac:dyDescent="0.2">
      <c r="A1868" s="42">
        <v>2233</v>
      </c>
      <c r="B1868" s="42">
        <v>17337</v>
      </c>
      <c r="C1868" s="34" t="s">
        <v>2859</v>
      </c>
    </row>
    <row r="1869" spans="1:3" ht="15.75" customHeight="1" x14ac:dyDescent="0.2">
      <c r="A1869" s="42">
        <v>2234</v>
      </c>
      <c r="B1869" s="42">
        <v>17337</v>
      </c>
      <c r="C1869" s="34" t="s">
        <v>2860</v>
      </c>
    </row>
    <row r="1870" spans="1:3" ht="15.75" customHeight="1" x14ac:dyDescent="0.2">
      <c r="A1870" s="42">
        <v>2235</v>
      </c>
      <c r="B1870" s="42">
        <v>17337</v>
      </c>
      <c r="C1870" s="34" t="s">
        <v>2861</v>
      </c>
    </row>
    <row r="1871" spans="1:3" ht="15.75" customHeight="1" x14ac:dyDescent="0.2">
      <c r="A1871" s="42">
        <v>2236</v>
      </c>
      <c r="B1871" s="42">
        <v>17337</v>
      </c>
      <c r="C1871" s="34" t="s">
        <v>2862</v>
      </c>
    </row>
    <row r="1872" spans="1:3" ht="15.75" customHeight="1" x14ac:dyDescent="0.2">
      <c r="A1872" s="42">
        <v>2237</v>
      </c>
      <c r="B1872" s="42">
        <v>17337</v>
      </c>
      <c r="C1872" s="34" t="s">
        <v>2863</v>
      </c>
    </row>
    <row r="1873" spans="1:3" ht="15.75" customHeight="1" x14ac:dyDescent="0.2">
      <c r="A1873" s="42">
        <v>2238</v>
      </c>
      <c r="B1873" s="42">
        <v>17337</v>
      </c>
      <c r="C1873" s="34" t="s">
        <v>2864</v>
      </c>
    </row>
    <row r="1874" spans="1:3" ht="15.75" customHeight="1" x14ac:dyDescent="0.2">
      <c r="A1874" s="42">
        <v>2239</v>
      </c>
      <c r="B1874" s="42">
        <v>17337</v>
      </c>
      <c r="C1874" s="34" t="s">
        <v>2865</v>
      </c>
    </row>
    <row r="1875" spans="1:3" ht="15.75" customHeight="1" x14ac:dyDescent="0.2">
      <c r="A1875" s="42">
        <v>2240</v>
      </c>
      <c r="B1875" s="42">
        <v>17337</v>
      </c>
      <c r="C1875" s="34" t="s">
        <v>2866</v>
      </c>
    </row>
    <row r="1876" spans="1:3" ht="15.75" customHeight="1" x14ac:dyDescent="0.2">
      <c r="A1876" s="42">
        <v>2241</v>
      </c>
      <c r="B1876" s="42">
        <v>17337</v>
      </c>
      <c r="C1876" s="34" t="s">
        <v>2867</v>
      </c>
    </row>
    <row r="1877" spans="1:3" ht="15.75" customHeight="1" x14ac:dyDescent="0.2">
      <c r="A1877" s="42">
        <v>2242</v>
      </c>
      <c r="B1877" s="42">
        <v>17337</v>
      </c>
      <c r="C1877" s="34" t="s">
        <v>2868</v>
      </c>
    </row>
    <row r="1878" spans="1:3" ht="15.75" customHeight="1" x14ac:dyDescent="0.2">
      <c r="A1878" s="42">
        <v>2243</v>
      </c>
      <c r="B1878" s="42">
        <v>17337</v>
      </c>
      <c r="C1878" s="34" t="s">
        <v>2869</v>
      </c>
    </row>
    <row r="1879" spans="1:3" ht="15.75" customHeight="1" x14ac:dyDescent="0.2">
      <c r="A1879" s="42">
        <v>2244</v>
      </c>
      <c r="B1879" s="42">
        <v>17337</v>
      </c>
      <c r="C1879" s="34" t="s">
        <v>2870</v>
      </c>
    </row>
    <row r="1880" spans="1:3" ht="15.75" customHeight="1" x14ac:dyDescent="0.2">
      <c r="A1880" s="42">
        <v>2245</v>
      </c>
      <c r="B1880" s="42">
        <v>17337</v>
      </c>
      <c r="C1880" s="34" t="s">
        <v>2871</v>
      </c>
    </row>
    <row r="1881" spans="1:3" ht="15.75" customHeight="1" x14ac:dyDescent="0.2">
      <c r="A1881" s="42">
        <v>2246</v>
      </c>
      <c r="B1881" s="42">
        <v>17337</v>
      </c>
      <c r="C1881" s="34" t="s">
        <v>2872</v>
      </c>
    </row>
    <row r="1882" spans="1:3" ht="15.75" customHeight="1" x14ac:dyDescent="0.2">
      <c r="A1882" s="42">
        <v>2247</v>
      </c>
      <c r="B1882" s="42">
        <v>17337</v>
      </c>
      <c r="C1882" s="34" t="s">
        <v>2873</v>
      </c>
    </row>
    <row r="1883" spans="1:3" ht="15.75" customHeight="1" x14ac:dyDescent="0.2">
      <c r="A1883" s="42">
        <v>2248</v>
      </c>
      <c r="B1883" s="42">
        <v>17337</v>
      </c>
      <c r="C1883" s="34" t="s">
        <v>2874</v>
      </c>
    </row>
    <row r="1884" spans="1:3" ht="15.75" customHeight="1" x14ac:dyDescent="0.2">
      <c r="A1884" s="42">
        <v>2249</v>
      </c>
      <c r="B1884" s="42">
        <v>17337</v>
      </c>
      <c r="C1884" s="34" t="s">
        <v>2875</v>
      </c>
    </row>
    <row r="1885" spans="1:3" ht="15.75" customHeight="1" x14ac:dyDescent="0.2">
      <c r="A1885" s="42">
        <v>2250</v>
      </c>
      <c r="B1885" s="42">
        <v>17337</v>
      </c>
      <c r="C1885" s="34" t="s">
        <v>2876</v>
      </c>
    </row>
    <row r="1886" spans="1:3" ht="15.75" customHeight="1" x14ac:dyDescent="0.2">
      <c r="A1886" s="42">
        <v>2251</v>
      </c>
      <c r="B1886" s="42">
        <v>17337</v>
      </c>
      <c r="C1886" s="34" t="s">
        <v>2877</v>
      </c>
    </row>
    <row r="1887" spans="1:3" ht="15.75" customHeight="1" x14ac:dyDescent="0.2">
      <c r="A1887" s="42">
        <v>2252</v>
      </c>
      <c r="B1887" s="42">
        <v>17337</v>
      </c>
      <c r="C1887" s="34" t="s">
        <v>2878</v>
      </c>
    </row>
    <row r="1888" spans="1:3" ht="15.75" customHeight="1" x14ac:dyDescent="0.2">
      <c r="A1888" s="42">
        <v>2253</v>
      </c>
      <c r="B1888" s="42">
        <v>17337</v>
      </c>
      <c r="C1888" s="34" t="s">
        <v>2879</v>
      </c>
    </row>
    <row r="1889" spans="1:3" ht="15.75" customHeight="1" x14ac:dyDescent="0.2">
      <c r="A1889" s="42">
        <v>2254</v>
      </c>
      <c r="B1889" s="42">
        <v>17337</v>
      </c>
      <c r="C1889" s="34" t="s">
        <v>2880</v>
      </c>
    </row>
    <row r="1890" spans="1:3" ht="15.75" customHeight="1" x14ac:dyDescent="0.2">
      <c r="A1890" s="42">
        <v>2255</v>
      </c>
      <c r="B1890" s="42">
        <v>17337</v>
      </c>
      <c r="C1890" s="34" t="s">
        <v>2881</v>
      </c>
    </row>
    <row r="1891" spans="1:3" ht="15.75" customHeight="1" x14ac:dyDescent="0.2">
      <c r="A1891" s="42">
        <v>2256</v>
      </c>
      <c r="B1891" s="42">
        <v>17337</v>
      </c>
      <c r="C1891" s="34" t="s">
        <v>2882</v>
      </c>
    </row>
    <row r="1892" spans="1:3" ht="15.75" customHeight="1" x14ac:dyDescent="0.2">
      <c r="A1892" s="42">
        <v>2257</v>
      </c>
      <c r="B1892" s="42">
        <v>17337</v>
      </c>
      <c r="C1892" s="34" t="s">
        <v>2883</v>
      </c>
    </row>
    <row r="1893" spans="1:3" ht="15.75" customHeight="1" x14ac:dyDescent="0.2">
      <c r="A1893" s="42">
        <v>2258</v>
      </c>
      <c r="B1893" s="42">
        <v>17337</v>
      </c>
      <c r="C1893" s="34" t="s">
        <v>2884</v>
      </c>
    </row>
    <row r="1894" spans="1:3" ht="15.75" customHeight="1" x14ac:dyDescent="0.2">
      <c r="A1894" s="42">
        <v>2259</v>
      </c>
      <c r="B1894" s="42">
        <v>17337</v>
      </c>
      <c r="C1894" s="34" t="s">
        <v>2885</v>
      </c>
    </row>
    <row r="1895" spans="1:3" ht="15.75" customHeight="1" x14ac:dyDescent="0.2">
      <c r="A1895" s="42">
        <v>2260</v>
      </c>
      <c r="B1895" s="42">
        <v>17337</v>
      </c>
      <c r="C1895" s="34" t="s">
        <v>2886</v>
      </c>
    </row>
    <row r="1896" spans="1:3" ht="15.75" customHeight="1" x14ac:dyDescent="0.2">
      <c r="A1896" s="42">
        <v>2261</v>
      </c>
      <c r="B1896" s="42">
        <v>17337</v>
      </c>
      <c r="C1896" s="34" t="s">
        <v>2887</v>
      </c>
    </row>
    <row r="1897" spans="1:3" ht="15.75" customHeight="1" x14ac:dyDescent="0.2">
      <c r="A1897" s="42">
        <v>2262</v>
      </c>
      <c r="B1897" s="42">
        <v>17337</v>
      </c>
      <c r="C1897" s="34" t="s">
        <v>2888</v>
      </c>
    </row>
    <row r="1898" spans="1:3" ht="15.75" customHeight="1" x14ac:dyDescent="0.2">
      <c r="A1898" s="42">
        <v>2263</v>
      </c>
      <c r="B1898" s="42">
        <v>17338</v>
      </c>
      <c r="C1898" s="34" t="s">
        <v>2889</v>
      </c>
    </row>
    <row r="1899" spans="1:3" ht="15.75" customHeight="1" x14ac:dyDescent="0.2">
      <c r="A1899" s="42">
        <v>2264</v>
      </c>
      <c r="B1899" s="42">
        <v>17338</v>
      </c>
      <c r="C1899" s="34" t="s">
        <v>2890</v>
      </c>
    </row>
    <row r="1900" spans="1:3" ht="15.75" customHeight="1" x14ac:dyDescent="0.2">
      <c r="A1900" s="42">
        <v>2265</v>
      </c>
      <c r="B1900" s="42">
        <v>17338</v>
      </c>
      <c r="C1900" s="34" t="s">
        <v>2891</v>
      </c>
    </row>
    <row r="1901" spans="1:3" ht="15.75" customHeight="1" x14ac:dyDescent="0.2">
      <c r="A1901" s="42">
        <v>2266</v>
      </c>
      <c r="B1901" s="42">
        <v>17338</v>
      </c>
      <c r="C1901" s="34" t="s">
        <v>2892</v>
      </c>
    </row>
    <row r="1902" spans="1:3" ht="15.75" customHeight="1" x14ac:dyDescent="0.2">
      <c r="A1902" s="42">
        <v>2267</v>
      </c>
      <c r="B1902" s="42">
        <v>17338</v>
      </c>
      <c r="C1902" s="34" t="s">
        <v>2893</v>
      </c>
    </row>
    <row r="1903" spans="1:3" ht="15.75" customHeight="1" x14ac:dyDescent="0.2">
      <c r="A1903" s="42">
        <v>2268</v>
      </c>
      <c r="B1903" s="42">
        <v>17338</v>
      </c>
      <c r="C1903" s="34" t="s">
        <v>2894</v>
      </c>
    </row>
    <row r="1904" spans="1:3" ht="15.75" customHeight="1" x14ac:dyDescent="0.2">
      <c r="A1904" s="42">
        <v>2269</v>
      </c>
      <c r="B1904" s="42">
        <v>17338</v>
      </c>
      <c r="C1904" s="34" t="s">
        <v>2895</v>
      </c>
    </row>
    <row r="1905" spans="1:3" ht="15.75" customHeight="1" x14ac:dyDescent="0.2">
      <c r="A1905" s="42">
        <v>2270</v>
      </c>
      <c r="B1905" s="42">
        <v>17338</v>
      </c>
      <c r="C1905" s="34" t="s">
        <v>2896</v>
      </c>
    </row>
    <row r="1906" spans="1:3" ht="15.75" customHeight="1" x14ac:dyDescent="0.2">
      <c r="A1906" s="42">
        <v>2271</v>
      </c>
      <c r="B1906" s="42">
        <v>17338</v>
      </c>
      <c r="C1906" s="34" t="s">
        <v>2897</v>
      </c>
    </row>
    <row r="1907" spans="1:3" ht="15.75" customHeight="1" x14ac:dyDescent="0.2">
      <c r="A1907" s="42">
        <v>2272</v>
      </c>
      <c r="B1907" s="42">
        <v>17338</v>
      </c>
      <c r="C1907" s="34" t="s">
        <v>2898</v>
      </c>
    </row>
    <row r="1908" spans="1:3" ht="15.75" customHeight="1" x14ac:dyDescent="0.2">
      <c r="A1908" s="42">
        <v>2273</v>
      </c>
      <c r="B1908" s="42">
        <v>17338</v>
      </c>
      <c r="C1908" s="34" t="s">
        <v>2899</v>
      </c>
    </row>
    <row r="1909" spans="1:3" ht="15.75" customHeight="1" x14ac:dyDescent="0.2">
      <c r="A1909" s="42">
        <v>2274</v>
      </c>
      <c r="B1909" s="42">
        <v>17338</v>
      </c>
      <c r="C1909" s="34" t="s">
        <v>2900</v>
      </c>
    </row>
    <row r="1910" spans="1:3" ht="15.75" customHeight="1" x14ac:dyDescent="0.2">
      <c r="A1910" s="42">
        <v>2275</v>
      </c>
      <c r="B1910" s="42">
        <v>17338</v>
      </c>
      <c r="C1910" s="34" t="s">
        <v>2901</v>
      </c>
    </row>
    <row r="1911" spans="1:3" ht="15.75" customHeight="1" x14ac:dyDescent="0.2">
      <c r="A1911" s="42">
        <v>2276</v>
      </c>
      <c r="B1911" s="42">
        <v>17338</v>
      </c>
      <c r="C1911" s="34" t="s">
        <v>2902</v>
      </c>
    </row>
    <row r="1912" spans="1:3" ht="15.75" customHeight="1" x14ac:dyDescent="0.2">
      <c r="A1912" s="42">
        <v>2277</v>
      </c>
      <c r="B1912" s="42">
        <v>17338</v>
      </c>
      <c r="C1912" s="34" t="s">
        <v>2903</v>
      </c>
    </row>
    <row r="1913" spans="1:3" ht="15.75" customHeight="1" x14ac:dyDescent="0.2">
      <c r="A1913" s="42">
        <v>2278</v>
      </c>
      <c r="B1913" s="42">
        <v>17338</v>
      </c>
      <c r="C1913" s="34" t="s">
        <v>2904</v>
      </c>
    </row>
    <row r="1914" spans="1:3" ht="15.75" customHeight="1" x14ac:dyDescent="0.2">
      <c r="A1914" s="42">
        <v>2279</v>
      </c>
      <c r="B1914" s="42">
        <v>17338</v>
      </c>
      <c r="C1914" s="34" t="s">
        <v>2905</v>
      </c>
    </row>
    <row r="1915" spans="1:3" ht="15.75" customHeight="1" x14ac:dyDescent="0.2">
      <c r="A1915" s="42">
        <v>2280</v>
      </c>
      <c r="B1915" s="42">
        <v>17338</v>
      </c>
      <c r="C1915" s="34" t="s">
        <v>2906</v>
      </c>
    </row>
    <row r="1916" spans="1:3" ht="15.75" customHeight="1" x14ac:dyDescent="0.2">
      <c r="A1916" s="42">
        <v>2281</v>
      </c>
      <c r="B1916" s="42">
        <v>17338</v>
      </c>
      <c r="C1916" s="34" t="s">
        <v>2907</v>
      </c>
    </row>
    <row r="1917" spans="1:3" ht="15.75" customHeight="1" x14ac:dyDescent="0.2">
      <c r="A1917" s="42">
        <v>2282</v>
      </c>
      <c r="B1917" s="42">
        <v>17338</v>
      </c>
      <c r="C1917" s="34" t="s">
        <v>2908</v>
      </c>
    </row>
    <row r="1918" spans="1:3" ht="15.75" customHeight="1" x14ac:dyDescent="0.2">
      <c r="A1918" s="42">
        <v>2283</v>
      </c>
      <c r="B1918" s="42">
        <v>17338</v>
      </c>
      <c r="C1918" s="34" t="s">
        <v>2909</v>
      </c>
    </row>
    <row r="1919" spans="1:3" ht="15.75" customHeight="1" x14ac:dyDescent="0.2">
      <c r="A1919" s="42">
        <v>2284</v>
      </c>
      <c r="B1919" s="42">
        <v>17338</v>
      </c>
      <c r="C1919" s="34" t="s">
        <v>2910</v>
      </c>
    </row>
    <row r="1920" spans="1:3" ht="15.75" customHeight="1" x14ac:dyDescent="0.2">
      <c r="A1920" s="42">
        <v>2285</v>
      </c>
      <c r="B1920" s="42">
        <v>17338</v>
      </c>
      <c r="C1920" s="34" t="s">
        <v>2911</v>
      </c>
    </row>
    <row r="1921" spans="1:3" ht="15.75" customHeight="1" x14ac:dyDescent="0.2">
      <c r="A1921" s="42">
        <v>2286</v>
      </c>
      <c r="B1921" s="42">
        <v>17338</v>
      </c>
      <c r="C1921" s="34" t="s">
        <v>2912</v>
      </c>
    </row>
    <row r="1922" spans="1:3" ht="15.75" customHeight="1" x14ac:dyDescent="0.2">
      <c r="A1922" s="42">
        <v>2287</v>
      </c>
      <c r="B1922" s="42">
        <v>17338</v>
      </c>
      <c r="C1922" s="34" t="s">
        <v>2913</v>
      </c>
    </row>
    <row r="1923" spans="1:3" ht="15.75" customHeight="1" x14ac:dyDescent="0.2">
      <c r="A1923" s="42">
        <v>2288</v>
      </c>
      <c r="B1923" s="42">
        <v>17338</v>
      </c>
      <c r="C1923" s="34" t="s">
        <v>2914</v>
      </c>
    </row>
    <row r="1924" spans="1:3" ht="15.75" customHeight="1" x14ac:dyDescent="0.2">
      <c r="A1924" s="42">
        <v>2289</v>
      </c>
      <c r="B1924" s="42">
        <v>17338</v>
      </c>
      <c r="C1924" s="34" t="s">
        <v>2915</v>
      </c>
    </row>
    <row r="1925" spans="1:3" ht="15.75" customHeight="1" x14ac:dyDescent="0.2">
      <c r="A1925" s="42">
        <v>2290</v>
      </c>
      <c r="B1925" s="42">
        <v>17338</v>
      </c>
      <c r="C1925" s="34" t="s">
        <v>2916</v>
      </c>
    </row>
    <row r="1926" spans="1:3" ht="15.75" customHeight="1" x14ac:dyDescent="0.2">
      <c r="A1926" s="42">
        <v>2291</v>
      </c>
      <c r="B1926" s="42">
        <v>17338</v>
      </c>
      <c r="C1926" s="34" t="s">
        <v>2917</v>
      </c>
    </row>
    <row r="1927" spans="1:3" ht="15.75" customHeight="1" x14ac:dyDescent="0.2">
      <c r="A1927" s="42">
        <v>2292</v>
      </c>
      <c r="B1927" s="42">
        <v>17338</v>
      </c>
      <c r="C1927" s="34" t="s">
        <v>2918</v>
      </c>
    </row>
    <row r="1928" spans="1:3" ht="15.75" customHeight="1" x14ac:dyDescent="0.2">
      <c r="A1928" s="42">
        <v>2293</v>
      </c>
      <c r="B1928" s="42">
        <v>17338</v>
      </c>
      <c r="C1928" s="34" t="s">
        <v>2919</v>
      </c>
    </row>
    <row r="1929" spans="1:3" ht="15.75" customHeight="1" x14ac:dyDescent="0.2">
      <c r="A1929" s="42">
        <v>2294</v>
      </c>
      <c r="B1929" s="42">
        <v>17338</v>
      </c>
      <c r="C1929" s="34" t="s">
        <v>2920</v>
      </c>
    </row>
    <row r="1930" spans="1:3" ht="15.75" customHeight="1" x14ac:dyDescent="0.2">
      <c r="A1930" s="42">
        <v>2295</v>
      </c>
      <c r="B1930" s="42">
        <v>17338</v>
      </c>
      <c r="C1930" s="34" t="s">
        <v>2921</v>
      </c>
    </row>
    <row r="1931" spans="1:3" ht="15.75" customHeight="1" x14ac:dyDescent="0.2">
      <c r="A1931" s="42">
        <v>2296</v>
      </c>
      <c r="B1931" s="42">
        <v>17338</v>
      </c>
      <c r="C1931" s="34" t="s">
        <v>2922</v>
      </c>
    </row>
    <row r="1932" spans="1:3" ht="15.75" customHeight="1" x14ac:dyDescent="0.2">
      <c r="A1932" s="42">
        <v>2297</v>
      </c>
      <c r="B1932" s="42">
        <v>17338</v>
      </c>
      <c r="C1932" s="34" t="s">
        <v>2923</v>
      </c>
    </row>
    <row r="1933" spans="1:3" ht="15.75" customHeight="1" x14ac:dyDescent="0.2">
      <c r="A1933" s="42">
        <v>2298</v>
      </c>
      <c r="B1933" s="42">
        <v>17338</v>
      </c>
      <c r="C1933" s="34" t="s">
        <v>2924</v>
      </c>
    </row>
    <row r="1934" spans="1:3" ht="15.75" customHeight="1" x14ac:dyDescent="0.2">
      <c r="A1934" s="42">
        <v>2299</v>
      </c>
      <c r="B1934" s="42">
        <v>17338</v>
      </c>
      <c r="C1934" s="34" t="s">
        <v>2925</v>
      </c>
    </row>
    <row r="1935" spans="1:3" ht="15.75" customHeight="1" x14ac:dyDescent="0.2">
      <c r="A1935" s="42">
        <v>2300</v>
      </c>
      <c r="B1935" s="42">
        <v>17338</v>
      </c>
      <c r="C1935" s="34" t="s">
        <v>2926</v>
      </c>
    </row>
    <row r="1936" spans="1:3" ht="15.75" customHeight="1" x14ac:dyDescent="0.2">
      <c r="A1936" s="42">
        <v>2301</v>
      </c>
      <c r="B1936" s="42">
        <v>17338</v>
      </c>
      <c r="C1936" s="34" t="s">
        <v>2927</v>
      </c>
    </row>
    <row r="1937" spans="1:3" ht="15.75" customHeight="1" x14ac:dyDescent="0.2">
      <c r="A1937" s="42">
        <v>2302</v>
      </c>
      <c r="B1937" s="42">
        <v>17338</v>
      </c>
      <c r="C1937" s="34" t="s">
        <v>2928</v>
      </c>
    </row>
    <row r="1938" spans="1:3" ht="15.75" customHeight="1" x14ac:dyDescent="0.2">
      <c r="A1938" s="42">
        <v>2303</v>
      </c>
      <c r="B1938" s="42">
        <v>17338</v>
      </c>
      <c r="C1938" s="34" t="s">
        <v>2929</v>
      </c>
    </row>
    <row r="1939" spans="1:3" ht="15.75" customHeight="1" x14ac:dyDescent="0.2">
      <c r="A1939" s="42">
        <v>2304</v>
      </c>
      <c r="B1939" s="42">
        <v>17338</v>
      </c>
      <c r="C1939" s="34" t="s">
        <v>2930</v>
      </c>
    </row>
    <row r="1940" spans="1:3" ht="15.75" customHeight="1" x14ac:dyDescent="0.2">
      <c r="A1940" s="42">
        <v>2305</v>
      </c>
      <c r="B1940" s="42">
        <v>17338</v>
      </c>
      <c r="C1940" s="34" t="s">
        <v>2931</v>
      </c>
    </row>
    <row r="1941" spans="1:3" ht="15.75" customHeight="1" x14ac:dyDescent="0.2">
      <c r="A1941" s="42">
        <v>2306</v>
      </c>
      <c r="B1941" s="42">
        <v>17338</v>
      </c>
      <c r="C1941" s="34" t="s">
        <v>2932</v>
      </c>
    </row>
    <row r="1942" spans="1:3" ht="15.75" customHeight="1" x14ac:dyDescent="0.2">
      <c r="A1942" s="42">
        <v>2307</v>
      </c>
      <c r="B1942" s="42">
        <v>17338</v>
      </c>
      <c r="C1942" s="34" t="s">
        <v>2933</v>
      </c>
    </row>
    <row r="1943" spans="1:3" ht="15.75" customHeight="1" x14ac:dyDescent="0.2">
      <c r="A1943" s="42">
        <v>2308</v>
      </c>
      <c r="B1943" s="42">
        <v>17338</v>
      </c>
      <c r="C1943" s="34" t="s">
        <v>2934</v>
      </c>
    </row>
    <row r="1944" spans="1:3" ht="15.75" customHeight="1" x14ac:dyDescent="0.2">
      <c r="A1944" s="42">
        <v>2309</v>
      </c>
      <c r="B1944" s="42">
        <v>17338</v>
      </c>
      <c r="C1944" s="34" t="s">
        <v>2935</v>
      </c>
    </row>
    <row r="1945" spans="1:3" ht="15.75" customHeight="1" x14ac:dyDescent="0.2">
      <c r="A1945" s="42">
        <v>2310</v>
      </c>
      <c r="B1945" s="42">
        <v>17338</v>
      </c>
      <c r="C1945" s="34" t="s">
        <v>2936</v>
      </c>
    </row>
    <row r="1946" spans="1:3" ht="15.75" customHeight="1" x14ac:dyDescent="0.2">
      <c r="A1946" s="42">
        <v>2311</v>
      </c>
      <c r="B1946" s="42">
        <v>17338</v>
      </c>
      <c r="C1946" s="34" t="s">
        <v>2937</v>
      </c>
    </row>
    <row r="1947" spans="1:3" ht="15.75" customHeight="1" x14ac:dyDescent="0.2">
      <c r="A1947" s="42">
        <v>2312</v>
      </c>
      <c r="B1947" s="42">
        <v>17338</v>
      </c>
      <c r="C1947" s="34" t="s">
        <v>2938</v>
      </c>
    </row>
    <row r="1948" spans="1:3" ht="15.75" customHeight="1" x14ac:dyDescent="0.2">
      <c r="A1948" s="42">
        <v>2313</v>
      </c>
      <c r="B1948" s="42">
        <v>17338</v>
      </c>
      <c r="C1948" s="34" t="s">
        <v>2939</v>
      </c>
    </row>
    <row r="1949" spans="1:3" ht="15.75" customHeight="1" x14ac:dyDescent="0.2">
      <c r="A1949" s="42">
        <v>2314</v>
      </c>
      <c r="B1949" s="42">
        <v>17338</v>
      </c>
      <c r="C1949" s="34" t="s">
        <v>2940</v>
      </c>
    </row>
    <row r="1950" spans="1:3" ht="15.75" customHeight="1" x14ac:dyDescent="0.2">
      <c r="A1950" s="42">
        <v>2315</v>
      </c>
      <c r="B1950" s="42">
        <v>17338</v>
      </c>
      <c r="C1950" s="34" t="s">
        <v>2941</v>
      </c>
    </row>
    <row r="1951" spans="1:3" ht="15.75" customHeight="1" x14ac:dyDescent="0.2">
      <c r="A1951" s="42">
        <v>2316</v>
      </c>
      <c r="B1951" s="42">
        <v>17338</v>
      </c>
      <c r="C1951" s="34" t="s">
        <v>2942</v>
      </c>
    </row>
    <row r="1952" spans="1:3" ht="15.75" customHeight="1" x14ac:dyDescent="0.2">
      <c r="A1952" s="42">
        <v>2317</v>
      </c>
      <c r="B1952" s="42">
        <v>17338</v>
      </c>
      <c r="C1952" s="34" t="s">
        <v>2943</v>
      </c>
    </row>
    <row r="1953" spans="1:3" ht="15.75" customHeight="1" x14ac:dyDescent="0.2">
      <c r="A1953" s="42">
        <v>2318</v>
      </c>
      <c r="B1953" s="42">
        <v>17338</v>
      </c>
      <c r="C1953" s="34" t="s">
        <v>2944</v>
      </c>
    </row>
    <row r="1954" spans="1:3" ht="15.75" customHeight="1" x14ac:dyDescent="0.2">
      <c r="A1954" s="42">
        <v>2319</v>
      </c>
      <c r="B1954" s="42">
        <v>17338</v>
      </c>
      <c r="C1954" s="34" t="s">
        <v>2945</v>
      </c>
    </row>
    <row r="1955" spans="1:3" ht="15.75" customHeight="1" x14ac:dyDescent="0.2">
      <c r="A1955" s="42">
        <v>2320</v>
      </c>
      <c r="B1955" s="42">
        <v>17338</v>
      </c>
      <c r="C1955" s="34" t="s">
        <v>2946</v>
      </c>
    </row>
    <row r="1956" spans="1:3" ht="15.75" customHeight="1" x14ac:dyDescent="0.2">
      <c r="A1956" s="42">
        <v>2321</v>
      </c>
      <c r="B1956" s="42">
        <v>17338</v>
      </c>
      <c r="C1956" s="34" t="s">
        <v>2947</v>
      </c>
    </row>
    <row r="1957" spans="1:3" ht="15.75" customHeight="1" x14ac:dyDescent="0.2">
      <c r="A1957" s="42">
        <v>2322</v>
      </c>
      <c r="B1957" s="42">
        <v>17338</v>
      </c>
      <c r="C1957" s="34" t="s">
        <v>2948</v>
      </c>
    </row>
    <row r="1958" spans="1:3" ht="15.75" customHeight="1" x14ac:dyDescent="0.2">
      <c r="A1958" s="42">
        <v>2323</v>
      </c>
      <c r="B1958" s="42">
        <v>17338</v>
      </c>
      <c r="C1958" s="34" t="s">
        <v>2949</v>
      </c>
    </row>
    <row r="1959" spans="1:3" ht="15.75" customHeight="1" x14ac:dyDescent="0.2">
      <c r="A1959" s="42">
        <v>2324</v>
      </c>
      <c r="B1959" s="42">
        <v>17338</v>
      </c>
      <c r="C1959" s="34" t="s">
        <v>2950</v>
      </c>
    </row>
    <row r="1960" spans="1:3" ht="15.75" customHeight="1" x14ac:dyDescent="0.2">
      <c r="A1960" s="42">
        <v>2325</v>
      </c>
      <c r="B1960" s="42">
        <v>17338</v>
      </c>
      <c r="C1960" s="34" t="s">
        <v>2951</v>
      </c>
    </row>
    <row r="1961" spans="1:3" ht="15.75" customHeight="1" x14ac:dyDescent="0.2">
      <c r="A1961" s="42">
        <v>2326</v>
      </c>
      <c r="B1961" s="42">
        <v>17338</v>
      </c>
      <c r="C1961" s="34" t="s">
        <v>2952</v>
      </c>
    </row>
    <row r="1962" spans="1:3" ht="15.75" customHeight="1" x14ac:dyDescent="0.2">
      <c r="A1962" s="42">
        <v>2327</v>
      </c>
      <c r="B1962" s="42">
        <v>17338</v>
      </c>
      <c r="C1962" s="34" t="s">
        <v>2953</v>
      </c>
    </row>
    <row r="1963" spans="1:3" ht="15.75" customHeight="1" x14ac:dyDescent="0.2">
      <c r="A1963" s="42">
        <v>2328</v>
      </c>
      <c r="B1963" s="42">
        <v>17338</v>
      </c>
      <c r="C1963" s="34" t="s">
        <v>2954</v>
      </c>
    </row>
    <row r="1964" spans="1:3" ht="15.75" customHeight="1" x14ac:dyDescent="0.2">
      <c r="A1964" s="42">
        <v>2329</v>
      </c>
      <c r="B1964" s="42">
        <v>17338</v>
      </c>
      <c r="C1964" s="34" t="s">
        <v>2955</v>
      </c>
    </row>
    <row r="1965" spans="1:3" ht="15.75" customHeight="1" x14ac:dyDescent="0.2">
      <c r="A1965" s="42">
        <v>2330</v>
      </c>
      <c r="B1965" s="42">
        <v>17338</v>
      </c>
      <c r="C1965" s="34" t="s">
        <v>2956</v>
      </c>
    </row>
    <row r="1966" spans="1:3" ht="15.75" customHeight="1" x14ac:dyDescent="0.2">
      <c r="A1966" s="42">
        <v>2331</v>
      </c>
      <c r="B1966" s="42">
        <v>17338</v>
      </c>
      <c r="C1966" s="34" t="s">
        <v>2957</v>
      </c>
    </row>
    <row r="1967" spans="1:3" ht="15.75" customHeight="1" x14ac:dyDescent="0.2">
      <c r="A1967" s="42">
        <v>2332</v>
      </c>
      <c r="B1967" s="42">
        <v>17338</v>
      </c>
      <c r="C1967" s="34" t="s">
        <v>2958</v>
      </c>
    </row>
    <row r="1968" spans="1:3" ht="15.75" customHeight="1" x14ac:dyDescent="0.2">
      <c r="A1968" s="42">
        <v>2333</v>
      </c>
      <c r="B1968" s="42">
        <v>17338</v>
      </c>
      <c r="C1968" s="34" t="s">
        <v>2959</v>
      </c>
    </row>
    <row r="1969" spans="1:3" ht="15.75" customHeight="1" x14ac:dyDescent="0.2">
      <c r="A1969" s="42">
        <v>2334</v>
      </c>
      <c r="B1969" s="42">
        <v>17338</v>
      </c>
      <c r="C1969" s="34" t="s">
        <v>2960</v>
      </c>
    </row>
    <row r="1970" spans="1:3" ht="15.75" customHeight="1" x14ac:dyDescent="0.2">
      <c r="A1970" s="42">
        <v>2335</v>
      </c>
      <c r="B1970" s="42">
        <v>17338</v>
      </c>
      <c r="C1970" s="34" t="s">
        <v>2961</v>
      </c>
    </row>
    <row r="1971" spans="1:3" ht="15.75" customHeight="1" x14ac:dyDescent="0.2">
      <c r="A1971" s="42">
        <v>2336</v>
      </c>
      <c r="B1971" s="42">
        <v>17338</v>
      </c>
      <c r="C1971" s="34" t="s">
        <v>2962</v>
      </c>
    </row>
    <row r="1972" spans="1:3" ht="15.75" customHeight="1" x14ac:dyDescent="0.2">
      <c r="A1972" s="42">
        <v>2337</v>
      </c>
      <c r="B1972" s="42">
        <v>17338</v>
      </c>
      <c r="C1972" s="34" t="s">
        <v>2963</v>
      </c>
    </row>
    <row r="1973" spans="1:3" ht="15.75" customHeight="1" x14ac:dyDescent="0.2">
      <c r="A1973" s="42">
        <v>2338</v>
      </c>
      <c r="B1973" s="42">
        <v>17338</v>
      </c>
      <c r="C1973" s="34" t="s">
        <v>2964</v>
      </c>
    </row>
    <row r="1974" spans="1:3" ht="15.75" customHeight="1" x14ac:dyDescent="0.2">
      <c r="A1974" s="42">
        <v>2339</v>
      </c>
      <c r="B1974" s="42">
        <v>17338</v>
      </c>
      <c r="C1974" s="34" t="s">
        <v>2965</v>
      </c>
    </row>
    <row r="1975" spans="1:3" ht="15.75" customHeight="1" x14ac:dyDescent="0.2">
      <c r="A1975" s="42">
        <v>2340</v>
      </c>
      <c r="B1975" s="42">
        <v>17338</v>
      </c>
      <c r="C1975" s="34" t="s">
        <v>2966</v>
      </c>
    </row>
    <row r="1976" spans="1:3" ht="15.75" customHeight="1" x14ac:dyDescent="0.2">
      <c r="A1976" s="42">
        <v>2341</v>
      </c>
      <c r="B1976" s="42">
        <v>17338</v>
      </c>
      <c r="C1976" s="34" t="s">
        <v>2967</v>
      </c>
    </row>
    <row r="1977" spans="1:3" ht="15.75" customHeight="1" x14ac:dyDescent="0.2">
      <c r="A1977" s="42">
        <v>2342</v>
      </c>
      <c r="B1977" s="42">
        <v>17338</v>
      </c>
      <c r="C1977" s="34" t="s">
        <v>2968</v>
      </c>
    </row>
    <row r="1978" spans="1:3" ht="15.75" customHeight="1" x14ac:dyDescent="0.2">
      <c r="A1978" s="42">
        <v>2343</v>
      </c>
      <c r="B1978" s="42">
        <v>17338</v>
      </c>
      <c r="C1978" s="34" t="s">
        <v>2969</v>
      </c>
    </row>
    <row r="1979" spans="1:3" ht="15.75" customHeight="1" x14ac:dyDescent="0.2">
      <c r="A1979" s="42">
        <v>2344</v>
      </c>
      <c r="B1979" s="42">
        <v>17338</v>
      </c>
      <c r="C1979" s="34" t="s">
        <v>2970</v>
      </c>
    </row>
    <row r="1980" spans="1:3" ht="15.75" customHeight="1" x14ac:dyDescent="0.2">
      <c r="A1980" s="42">
        <v>2345</v>
      </c>
      <c r="B1980" s="42">
        <v>17338</v>
      </c>
      <c r="C1980" s="34" t="s">
        <v>2971</v>
      </c>
    </row>
    <row r="1981" spans="1:3" ht="15.75" customHeight="1" x14ac:dyDescent="0.2">
      <c r="A1981" s="42">
        <v>2346</v>
      </c>
      <c r="B1981" s="42">
        <v>17338</v>
      </c>
      <c r="C1981" s="34" t="s">
        <v>2972</v>
      </c>
    </row>
    <row r="1982" spans="1:3" ht="15.75" customHeight="1" x14ac:dyDescent="0.2">
      <c r="A1982" s="42">
        <v>2347</v>
      </c>
      <c r="B1982" s="42">
        <v>17338</v>
      </c>
      <c r="C1982" s="34" t="s">
        <v>2973</v>
      </c>
    </row>
    <row r="1983" spans="1:3" ht="15.75" customHeight="1" x14ac:dyDescent="0.2">
      <c r="A1983" s="42">
        <v>2348</v>
      </c>
      <c r="B1983" s="42">
        <v>17338</v>
      </c>
      <c r="C1983" s="34" t="s">
        <v>2974</v>
      </c>
    </row>
    <row r="1984" spans="1:3" ht="15.75" customHeight="1" x14ac:dyDescent="0.2">
      <c r="A1984" s="42">
        <v>2349</v>
      </c>
      <c r="B1984" s="42">
        <v>17338</v>
      </c>
      <c r="C1984" s="34" t="s">
        <v>2975</v>
      </c>
    </row>
    <row r="1985" spans="1:3" ht="15.75" customHeight="1" x14ac:dyDescent="0.2">
      <c r="A1985" s="42">
        <v>2350</v>
      </c>
      <c r="B1985" s="42">
        <v>17338</v>
      </c>
      <c r="C1985" s="34" t="s">
        <v>2976</v>
      </c>
    </row>
    <row r="1986" spans="1:3" ht="15.75" customHeight="1" x14ac:dyDescent="0.2">
      <c r="A1986" s="42">
        <v>2351</v>
      </c>
      <c r="B1986" s="42">
        <v>17338</v>
      </c>
      <c r="C1986" s="34" t="s">
        <v>2977</v>
      </c>
    </row>
    <row r="1987" spans="1:3" ht="15.75" customHeight="1" x14ac:dyDescent="0.2">
      <c r="A1987" s="42">
        <v>2352</v>
      </c>
      <c r="B1987" s="42">
        <v>17338</v>
      </c>
      <c r="C1987" s="34" t="s">
        <v>2978</v>
      </c>
    </row>
    <row r="1988" spans="1:3" ht="15.75" customHeight="1" x14ac:dyDescent="0.2">
      <c r="A1988" s="42">
        <v>2353</v>
      </c>
      <c r="B1988" s="42">
        <v>17338</v>
      </c>
      <c r="C1988" s="34" t="s">
        <v>2979</v>
      </c>
    </row>
    <row r="1989" spans="1:3" ht="15.75" customHeight="1" x14ac:dyDescent="0.2">
      <c r="A1989" s="42">
        <v>2354</v>
      </c>
      <c r="B1989" s="42">
        <v>17338</v>
      </c>
      <c r="C1989" s="34" t="s">
        <v>2980</v>
      </c>
    </row>
    <row r="1990" spans="1:3" ht="15.75" customHeight="1" x14ac:dyDescent="0.2">
      <c r="A1990" s="42">
        <v>2355</v>
      </c>
      <c r="B1990" s="42">
        <v>17339</v>
      </c>
      <c r="C1990" s="34" t="s">
        <v>2981</v>
      </c>
    </row>
    <row r="1991" spans="1:3" ht="15.75" customHeight="1" x14ac:dyDescent="0.2">
      <c r="A1991" s="42">
        <v>2356</v>
      </c>
      <c r="B1991" s="42">
        <v>17339</v>
      </c>
      <c r="C1991" s="34" t="s">
        <v>2982</v>
      </c>
    </row>
    <row r="1992" spans="1:3" ht="15.75" customHeight="1" x14ac:dyDescent="0.2">
      <c r="A1992" s="42">
        <v>2357</v>
      </c>
      <c r="B1992" s="42">
        <v>17339</v>
      </c>
      <c r="C1992" s="34" t="s">
        <v>2983</v>
      </c>
    </row>
    <row r="1993" spans="1:3" ht="15.75" customHeight="1" x14ac:dyDescent="0.2">
      <c r="A1993" s="42">
        <v>2358</v>
      </c>
      <c r="B1993" s="42">
        <v>17339</v>
      </c>
      <c r="C1993" s="34" t="s">
        <v>2984</v>
      </c>
    </row>
    <row r="1994" spans="1:3" ht="15.75" customHeight="1" x14ac:dyDescent="0.2">
      <c r="A1994" s="42">
        <v>2359</v>
      </c>
      <c r="B1994" s="42">
        <v>17339</v>
      </c>
      <c r="C1994" s="34" t="s">
        <v>2985</v>
      </c>
    </row>
    <row r="1995" spans="1:3" ht="15.75" customHeight="1" x14ac:dyDescent="0.2">
      <c r="A1995" s="42">
        <v>2360</v>
      </c>
      <c r="B1995" s="42">
        <v>17339</v>
      </c>
      <c r="C1995" s="34" t="s">
        <v>2986</v>
      </c>
    </row>
    <row r="1996" spans="1:3" ht="15.75" customHeight="1" x14ac:dyDescent="0.2">
      <c r="A1996" s="42">
        <v>2361</v>
      </c>
      <c r="B1996" s="42">
        <v>17339</v>
      </c>
      <c r="C1996" s="34" t="s">
        <v>2987</v>
      </c>
    </row>
    <row r="1997" spans="1:3" ht="15.75" customHeight="1" x14ac:dyDescent="0.2">
      <c r="A1997" s="42">
        <v>2362</v>
      </c>
      <c r="B1997" s="42">
        <v>17339</v>
      </c>
      <c r="C1997" s="34" t="s">
        <v>2988</v>
      </c>
    </row>
    <row r="1998" spans="1:3" ht="15.75" customHeight="1" x14ac:dyDescent="0.2">
      <c r="A1998" s="42">
        <v>2363</v>
      </c>
      <c r="B1998" s="42">
        <v>17339</v>
      </c>
      <c r="C1998" s="34" t="s">
        <v>2989</v>
      </c>
    </row>
    <row r="1999" spans="1:3" ht="15.75" customHeight="1" x14ac:dyDescent="0.2">
      <c r="A1999" s="42">
        <v>2364</v>
      </c>
      <c r="B1999" s="42">
        <v>17339</v>
      </c>
      <c r="C1999" s="34" t="s">
        <v>2990</v>
      </c>
    </row>
    <row r="2000" spans="1:3" ht="15.75" customHeight="1" x14ac:dyDescent="0.2">
      <c r="A2000" s="42">
        <v>2365</v>
      </c>
      <c r="B2000" s="42">
        <v>17339</v>
      </c>
      <c r="C2000" s="34" t="s">
        <v>2991</v>
      </c>
    </row>
    <row r="2001" spans="1:3" ht="15.75" customHeight="1" x14ac:dyDescent="0.2">
      <c r="A2001" s="42">
        <v>2366</v>
      </c>
      <c r="B2001" s="42">
        <v>17339</v>
      </c>
      <c r="C2001" s="34" t="s">
        <v>2992</v>
      </c>
    </row>
    <row r="2002" spans="1:3" ht="15.75" customHeight="1" x14ac:dyDescent="0.2">
      <c r="A2002" s="42">
        <v>2367</v>
      </c>
      <c r="B2002" s="42">
        <v>17339</v>
      </c>
      <c r="C2002" s="34" t="s">
        <v>2993</v>
      </c>
    </row>
    <row r="2003" spans="1:3" ht="15.75" customHeight="1" x14ac:dyDescent="0.2">
      <c r="A2003" s="42">
        <v>2368</v>
      </c>
      <c r="B2003" s="42">
        <v>17339</v>
      </c>
      <c r="C2003" s="34" t="s">
        <v>2994</v>
      </c>
    </row>
    <row r="2004" spans="1:3" ht="15.75" customHeight="1" x14ac:dyDescent="0.2">
      <c r="A2004" s="42">
        <v>2369</v>
      </c>
      <c r="B2004" s="42">
        <v>17339</v>
      </c>
      <c r="C2004" s="34" t="s">
        <v>2995</v>
      </c>
    </row>
    <row r="2005" spans="1:3" ht="15.75" customHeight="1" x14ac:dyDescent="0.2">
      <c r="A2005" s="42">
        <v>2370</v>
      </c>
      <c r="B2005" s="42">
        <v>17339</v>
      </c>
      <c r="C2005" s="34" t="s">
        <v>2996</v>
      </c>
    </row>
    <row r="2006" spans="1:3" ht="15.75" customHeight="1" x14ac:dyDescent="0.2">
      <c r="A2006" s="42">
        <v>2371</v>
      </c>
      <c r="B2006" s="42">
        <v>17339</v>
      </c>
      <c r="C2006" s="34" t="s">
        <v>2997</v>
      </c>
    </row>
    <row r="2007" spans="1:3" ht="15.75" customHeight="1" x14ac:dyDescent="0.2">
      <c r="A2007" s="42">
        <v>2372</v>
      </c>
      <c r="B2007" s="42">
        <v>17339</v>
      </c>
      <c r="C2007" s="34" t="s">
        <v>2998</v>
      </c>
    </row>
    <row r="2008" spans="1:3" ht="15.75" customHeight="1" x14ac:dyDescent="0.2">
      <c r="A2008" s="42">
        <v>2373</v>
      </c>
      <c r="B2008" s="42">
        <v>17339</v>
      </c>
      <c r="C2008" s="34" t="s">
        <v>2999</v>
      </c>
    </row>
    <row r="2009" spans="1:3" ht="15.75" customHeight="1" x14ac:dyDescent="0.2">
      <c r="A2009" s="42">
        <v>2374</v>
      </c>
      <c r="B2009" s="42">
        <v>17339</v>
      </c>
      <c r="C2009" s="34" t="s">
        <v>3000</v>
      </c>
    </row>
    <row r="2010" spans="1:3" ht="15.75" customHeight="1" x14ac:dyDescent="0.2">
      <c r="A2010" s="42">
        <v>2375</v>
      </c>
      <c r="B2010" s="42">
        <v>17339</v>
      </c>
      <c r="C2010" s="34" t="s">
        <v>3001</v>
      </c>
    </row>
    <row r="2011" spans="1:3" ht="15.75" customHeight="1" x14ac:dyDescent="0.2">
      <c r="A2011" s="42">
        <v>2376</v>
      </c>
      <c r="B2011" s="42">
        <v>17339</v>
      </c>
      <c r="C2011" s="34" t="s">
        <v>3002</v>
      </c>
    </row>
    <row r="2012" spans="1:3" ht="15.75" customHeight="1" x14ac:dyDescent="0.2">
      <c r="A2012" s="42">
        <v>2377</v>
      </c>
      <c r="B2012" s="42">
        <v>17339</v>
      </c>
      <c r="C2012" s="34" t="s">
        <v>3003</v>
      </c>
    </row>
    <row r="2013" spans="1:3" ht="15.75" customHeight="1" x14ac:dyDescent="0.2">
      <c r="A2013" s="42">
        <v>2378</v>
      </c>
      <c r="B2013" s="42">
        <v>17339</v>
      </c>
      <c r="C2013" s="34" t="s">
        <v>3004</v>
      </c>
    </row>
    <row r="2014" spans="1:3" ht="15.75" customHeight="1" x14ac:dyDescent="0.2">
      <c r="A2014" s="42">
        <v>2379</v>
      </c>
      <c r="B2014" s="42">
        <v>17339</v>
      </c>
      <c r="C2014" s="34" t="s">
        <v>3005</v>
      </c>
    </row>
    <row r="2015" spans="1:3" ht="15.75" customHeight="1" x14ac:dyDescent="0.2">
      <c r="A2015" s="42">
        <v>2380</v>
      </c>
      <c r="B2015" s="42">
        <v>17339</v>
      </c>
      <c r="C2015" s="34" t="s">
        <v>3006</v>
      </c>
    </row>
    <row r="2016" spans="1:3" ht="15.75" customHeight="1" x14ac:dyDescent="0.2">
      <c r="A2016" s="42">
        <v>2381</v>
      </c>
      <c r="B2016" s="42">
        <v>17339</v>
      </c>
      <c r="C2016" s="34" t="s">
        <v>3007</v>
      </c>
    </row>
    <row r="2017" spans="1:3" ht="15.75" customHeight="1" x14ac:dyDescent="0.2">
      <c r="A2017" s="42">
        <v>2382</v>
      </c>
      <c r="B2017" s="42">
        <v>17339</v>
      </c>
      <c r="C2017" s="34" t="s">
        <v>3008</v>
      </c>
    </row>
    <row r="2018" spans="1:3" ht="15.75" customHeight="1" x14ac:dyDescent="0.2">
      <c r="A2018" s="42">
        <v>2383</v>
      </c>
      <c r="B2018" s="42">
        <v>17339</v>
      </c>
      <c r="C2018" s="34" t="s">
        <v>3009</v>
      </c>
    </row>
    <row r="2019" spans="1:3" ht="15.75" customHeight="1" x14ac:dyDescent="0.2">
      <c r="A2019" s="42">
        <v>2384</v>
      </c>
      <c r="B2019" s="42">
        <v>17339</v>
      </c>
      <c r="C2019" s="34" t="s">
        <v>3010</v>
      </c>
    </row>
    <row r="2020" spans="1:3" ht="15.75" customHeight="1" x14ac:dyDescent="0.2">
      <c r="A2020" s="42">
        <v>2385</v>
      </c>
      <c r="B2020" s="42">
        <v>17339</v>
      </c>
      <c r="C2020" s="34" t="s">
        <v>3011</v>
      </c>
    </row>
    <row r="2021" spans="1:3" ht="15.75" customHeight="1" x14ac:dyDescent="0.2">
      <c r="A2021" s="42">
        <v>2386</v>
      </c>
      <c r="B2021" s="42">
        <v>17339</v>
      </c>
      <c r="C2021" s="34" t="s">
        <v>3012</v>
      </c>
    </row>
    <row r="2022" spans="1:3" ht="15.75" customHeight="1" x14ac:dyDescent="0.2">
      <c r="A2022" s="42">
        <v>2387</v>
      </c>
      <c r="B2022" s="42">
        <v>17339</v>
      </c>
      <c r="C2022" s="34" t="s">
        <v>3013</v>
      </c>
    </row>
    <row r="2023" spans="1:3" ht="15.75" customHeight="1" x14ac:dyDescent="0.2">
      <c r="A2023" s="42">
        <v>2388</v>
      </c>
      <c r="B2023" s="42">
        <v>17339</v>
      </c>
      <c r="C2023" s="34" t="s">
        <v>3014</v>
      </c>
    </row>
    <row r="2024" spans="1:3" ht="15.75" customHeight="1" x14ac:dyDescent="0.2">
      <c r="A2024" s="42">
        <v>2389</v>
      </c>
      <c r="B2024" s="42">
        <v>17339</v>
      </c>
      <c r="C2024" s="34" t="s">
        <v>3015</v>
      </c>
    </row>
    <row r="2025" spans="1:3" ht="15.75" customHeight="1" x14ac:dyDescent="0.2">
      <c r="A2025" s="42">
        <v>2390</v>
      </c>
      <c r="B2025" s="42">
        <v>17339</v>
      </c>
      <c r="C2025" s="34" t="s">
        <v>3016</v>
      </c>
    </row>
    <row r="2026" spans="1:3" ht="15.75" customHeight="1" x14ac:dyDescent="0.2">
      <c r="A2026" s="42">
        <v>2391</v>
      </c>
      <c r="B2026" s="42">
        <v>17339</v>
      </c>
      <c r="C2026" s="34" t="s">
        <v>3017</v>
      </c>
    </row>
    <row r="2027" spans="1:3" ht="15.75" customHeight="1" x14ac:dyDescent="0.2">
      <c r="A2027" s="42">
        <v>2392</v>
      </c>
      <c r="B2027" s="42">
        <v>17339</v>
      </c>
      <c r="C2027" s="34" t="s">
        <v>3018</v>
      </c>
    </row>
    <row r="2028" spans="1:3" ht="15.75" customHeight="1" x14ac:dyDescent="0.2">
      <c r="A2028" s="42">
        <v>2393</v>
      </c>
      <c r="B2028" s="42">
        <v>17339</v>
      </c>
      <c r="C2028" s="34" t="s">
        <v>3019</v>
      </c>
    </row>
    <row r="2029" spans="1:3" ht="15.75" customHeight="1" x14ac:dyDescent="0.2">
      <c r="A2029" s="42">
        <v>2394</v>
      </c>
      <c r="B2029" s="42">
        <v>17339</v>
      </c>
      <c r="C2029" s="34" t="s">
        <v>3020</v>
      </c>
    </row>
    <row r="2030" spans="1:3" ht="15.75" customHeight="1" x14ac:dyDescent="0.2">
      <c r="A2030" s="42">
        <v>2395</v>
      </c>
      <c r="B2030" s="42">
        <v>17339</v>
      </c>
      <c r="C2030" s="34" t="s">
        <v>3021</v>
      </c>
    </row>
    <row r="2031" spans="1:3" ht="15.75" customHeight="1" x14ac:dyDescent="0.2">
      <c r="A2031" s="42">
        <v>2396</v>
      </c>
      <c r="B2031" s="42">
        <v>17339</v>
      </c>
      <c r="C2031" s="34" t="s">
        <v>3022</v>
      </c>
    </row>
    <row r="2032" spans="1:3" ht="15.75" customHeight="1" x14ac:dyDescent="0.2">
      <c r="A2032" s="42">
        <v>2397</v>
      </c>
      <c r="B2032" s="42">
        <v>17339</v>
      </c>
      <c r="C2032" s="34" t="s">
        <v>3023</v>
      </c>
    </row>
    <row r="2033" spans="1:3" ht="15.75" customHeight="1" x14ac:dyDescent="0.2">
      <c r="A2033" s="42">
        <v>2398</v>
      </c>
      <c r="B2033" s="42">
        <v>17339</v>
      </c>
      <c r="C2033" s="34" t="s">
        <v>3024</v>
      </c>
    </row>
    <row r="2034" spans="1:3" ht="15.75" customHeight="1" x14ac:dyDescent="0.2">
      <c r="A2034" s="42">
        <v>2399</v>
      </c>
      <c r="B2034" s="42">
        <v>17339</v>
      </c>
      <c r="C2034" s="34" t="s">
        <v>3025</v>
      </c>
    </row>
    <row r="2035" spans="1:3" ht="15.75" customHeight="1" x14ac:dyDescent="0.2">
      <c r="A2035" s="42">
        <v>2400</v>
      </c>
      <c r="B2035" s="42">
        <v>17339</v>
      </c>
      <c r="C2035" s="34" t="s">
        <v>3026</v>
      </c>
    </row>
    <row r="2036" spans="1:3" ht="15.75" customHeight="1" x14ac:dyDescent="0.2">
      <c r="A2036" s="42">
        <v>2401</v>
      </c>
      <c r="B2036" s="42">
        <v>17339</v>
      </c>
      <c r="C2036" s="34" t="s">
        <v>3027</v>
      </c>
    </row>
    <row r="2037" spans="1:3" ht="15.75" customHeight="1" x14ac:dyDescent="0.2">
      <c r="A2037" s="42">
        <v>2402</v>
      </c>
      <c r="B2037" s="42">
        <v>17339</v>
      </c>
      <c r="C2037" s="34" t="s">
        <v>3028</v>
      </c>
    </row>
    <row r="2038" spans="1:3" ht="15.75" customHeight="1" x14ac:dyDescent="0.2">
      <c r="A2038" s="42">
        <v>2403</v>
      </c>
      <c r="B2038" s="42">
        <v>17339</v>
      </c>
      <c r="C2038" s="34" t="s">
        <v>3029</v>
      </c>
    </row>
    <row r="2039" spans="1:3" ht="15.75" customHeight="1" x14ac:dyDescent="0.2">
      <c r="A2039" s="42">
        <v>2404</v>
      </c>
      <c r="B2039" s="42">
        <v>17339</v>
      </c>
      <c r="C2039" s="34" t="s">
        <v>3030</v>
      </c>
    </row>
    <row r="2040" spans="1:3" ht="15.75" customHeight="1" x14ac:dyDescent="0.2">
      <c r="A2040" s="42">
        <v>2405</v>
      </c>
      <c r="B2040" s="42">
        <v>17339</v>
      </c>
      <c r="C2040" s="34" t="s">
        <v>3031</v>
      </c>
    </row>
    <row r="2041" spans="1:3" ht="15.75" customHeight="1" x14ac:dyDescent="0.2">
      <c r="A2041" s="42">
        <v>2406</v>
      </c>
      <c r="B2041" s="42">
        <v>17339</v>
      </c>
      <c r="C2041" s="34" t="s">
        <v>3032</v>
      </c>
    </row>
    <row r="2042" spans="1:3" ht="15.75" customHeight="1" x14ac:dyDescent="0.2">
      <c r="A2042" s="42">
        <v>2407</v>
      </c>
      <c r="B2042" s="42">
        <v>17339</v>
      </c>
      <c r="C2042" s="34" t="s">
        <v>3033</v>
      </c>
    </row>
    <row r="2043" spans="1:3" ht="15.75" customHeight="1" x14ac:dyDescent="0.2">
      <c r="A2043" s="42">
        <v>2408</v>
      </c>
      <c r="B2043" s="42">
        <v>17339</v>
      </c>
      <c r="C2043" s="34" t="s">
        <v>3034</v>
      </c>
    </row>
    <row r="2044" spans="1:3" ht="15.75" customHeight="1" x14ac:dyDescent="0.2">
      <c r="A2044" s="42">
        <v>2409</v>
      </c>
      <c r="B2044" s="42">
        <v>17339</v>
      </c>
      <c r="C2044" s="34" t="s">
        <v>3035</v>
      </c>
    </row>
    <row r="2045" spans="1:3" ht="15.75" customHeight="1" x14ac:dyDescent="0.2">
      <c r="A2045" s="42">
        <v>2410</v>
      </c>
      <c r="B2045" s="42">
        <v>17339</v>
      </c>
      <c r="C2045" s="34" t="s">
        <v>3036</v>
      </c>
    </row>
    <row r="2046" spans="1:3" ht="15.75" customHeight="1" x14ac:dyDescent="0.2">
      <c r="A2046" s="42">
        <v>2411</v>
      </c>
      <c r="B2046" s="42">
        <v>17339</v>
      </c>
      <c r="C2046" s="34" t="s">
        <v>3037</v>
      </c>
    </row>
    <row r="2047" spans="1:3" ht="15.75" customHeight="1" x14ac:dyDescent="0.2">
      <c r="A2047" s="42">
        <v>2412</v>
      </c>
      <c r="B2047" s="42">
        <v>17339</v>
      </c>
      <c r="C2047" s="34" t="s">
        <v>3038</v>
      </c>
    </row>
    <row r="2048" spans="1:3" ht="15.75" customHeight="1" x14ac:dyDescent="0.2">
      <c r="A2048" s="42">
        <v>2413</v>
      </c>
      <c r="B2048" s="42">
        <v>17339</v>
      </c>
      <c r="C2048" s="34" t="s">
        <v>3039</v>
      </c>
    </row>
    <row r="2049" spans="1:3" ht="15.75" customHeight="1" x14ac:dyDescent="0.2">
      <c r="A2049" s="42">
        <v>2414</v>
      </c>
      <c r="B2049" s="42">
        <v>17339</v>
      </c>
      <c r="C2049" s="34" t="s">
        <v>3040</v>
      </c>
    </row>
    <row r="2050" spans="1:3" ht="15.75" customHeight="1" x14ac:dyDescent="0.2">
      <c r="A2050" s="42">
        <v>2415</v>
      </c>
      <c r="B2050" s="42">
        <v>17339</v>
      </c>
      <c r="C2050" s="34" t="s">
        <v>3041</v>
      </c>
    </row>
    <row r="2051" spans="1:3" ht="15.75" customHeight="1" x14ac:dyDescent="0.2">
      <c r="A2051" s="42">
        <v>2416</v>
      </c>
      <c r="B2051" s="42">
        <v>17339</v>
      </c>
      <c r="C2051" s="34" t="s">
        <v>3042</v>
      </c>
    </row>
    <row r="2052" spans="1:3" ht="15.75" customHeight="1" x14ac:dyDescent="0.2">
      <c r="A2052" s="42">
        <v>2417</v>
      </c>
      <c r="B2052" s="42">
        <v>17339</v>
      </c>
      <c r="C2052" s="34" t="s">
        <v>3043</v>
      </c>
    </row>
    <row r="2053" spans="1:3" ht="15.75" customHeight="1" x14ac:dyDescent="0.2">
      <c r="A2053" s="42">
        <v>2418</v>
      </c>
      <c r="B2053" s="42">
        <v>17339</v>
      </c>
      <c r="C2053" s="34" t="s">
        <v>3044</v>
      </c>
    </row>
    <row r="2054" spans="1:3" ht="15.75" customHeight="1" x14ac:dyDescent="0.2">
      <c r="A2054" s="42">
        <v>2419</v>
      </c>
      <c r="B2054" s="42">
        <v>17339</v>
      </c>
      <c r="C2054" s="34" t="s">
        <v>3045</v>
      </c>
    </row>
    <row r="2055" spans="1:3" ht="15.75" customHeight="1" x14ac:dyDescent="0.2">
      <c r="A2055" s="42">
        <v>2420</v>
      </c>
      <c r="B2055" s="42">
        <v>17339</v>
      </c>
      <c r="C2055" s="34" t="s">
        <v>3046</v>
      </c>
    </row>
    <row r="2056" spans="1:3" ht="15.75" customHeight="1" x14ac:dyDescent="0.2">
      <c r="A2056" s="42">
        <v>2421</v>
      </c>
      <c r="B2056" s="42">
        <v>17339</v>
      </c>
      <c r="C2056" s="34" t="s">
        <v>3047</v>
      </c>
    </row>
    <row r="2057" spans="1:3" ht="15.75" customHeight="1" x14ac:dyDescent="0.2">
      <c r="A2057" s="42">
        <v>2422</v>
      </c>
      <c r="B2057" s="42">
        <v>17339</v>
      </c>
      <c r="C2057" s="34" t="s">
        <v>3048</v>
      </c>
    </row>
    <row r="2058" spans="1:3" ht="15.75" customHeight="1" x14ac:dyDescent="0.2">
      <c r="A2058" s="42">
        <v>2423</v>
      </c>
      <c r="B2058" s="42">
        <v>17339</v>
      </c>
      <c r="C2058" s="34" t="s">
        <v>3049</v>
      </c>
    </row>
    <row r="2059" spans="1:3" ht="15.75" customHeight="1" x14ac:dyDescent="0.2">
      <c r="A2059" s="42">
        <v>2424</v>
      </c>
      <c r="B2059" s="42">
        <v>17339</v>
      </c>
      <c r="C2059" s="34" t="s">
        <v>3050</v>
      </c>
    </row>
    <row r="2060" spans="1:3" ht="15.75" customHeight="1" x14ac:dyDescent="0.2">
      <c r="A2060" s="42">
        <v>2425</v>
      </c>
      <c r="B2060" s="42">
        <v>17339</v>
      </c>
      <c r="C2060" s="34" t="s">
        <v>3051</v>
      </c>
    </row>
    <row r="2061" spans="1:3" ht="15.75" customHeight="1" x14ac:dyDescent="0.2">
      <c r="A2061" s="42">
        <v>2426</v>
      </c>
      <c r="B2061" s="42">
        <v>17339</v>
      </c>
      <c r="C2061" s="34" t="s">
        <v>3052</v>
      </c>
    </row>
    <row r="2062" spans="1:3" ht="15.75" customHeight="1" x14ac:dyDescent="0.2">
      <c r="A2062" s="42">
        <v>2427</v>
      </c>
      <c r="B2062" s="42">
        <v>17339</v>
      </c>
      <c r="C2062" s="34" t="s">
        <v>3053</v>
      </c>
    </row>
    <row r="2063" spans="1:3" ht="15.75" customHeight="1" x14ac:dyDescent="0.2">
      <c r="A2063" s="42">
        <v>2428</v>
      </c>
      <c r="B2063" s="42">
        <v>17339</v>
      </c>
      <c r="C2063" s="34" t="s">
        <v>3054</v>
      </c>
    </row>
    <row r="2064" spans="1:3" ht="15.75" customHeight="1" x14ac:dyDescent="0.2">
      <c r="A2064" s="42">
        <v>2429</v>
      </c>
      <c r="B2064" s="42">
        <v>17339</v>
      </c>
      <c r="C2064" s="34" t="s">
        <v>3055</v>
      </c>
    </row>
    <row r="2065" spans="1:3" ht="15.75" customHeight="1" x14ac:dyDescent="0.2">
      <c r="A2065" s="42">
        <v>2430</v>
      </c>
      <c r="B2065" s="42">
        <v>17339</v>
      </c>
      <c r="C2065" s="34" t="s">
        <v>3056</v>
      </c>
    </row>
    <row r="2066" spans="1:3" ht="15.75" customHeight="1" x14ac:dyDescent="0.2">
      <c r="A2066" s="42">
        <v>2431</v>
      </c>
      <c r="B2066" s="42">
        <v>17339</v>
      </c>
      <c r="C2066" s="34" t="s">
        <v>3057</v>
      </c>
    </row>
    <row r="2067" spans="1:3" ht="15.75" customHeight="1" x14ac:dyDescent="0.2">
      <c r="A2067" s="42">
        <v>2432</v>
      </c>
      <c r="B2067" s="42">
        <v>17339</v>
      </c>
      <c r="C2067" s="34" t="s">
        <v>3058</v>
      </c>
    </row>
    <row r="2068" spans="1:3" ht="15.75" customHeight="1" x14ac:dyDescent="0.2">
      <c r="A2068" s="42">
        <v>2433</v>
      </c>
      <c r="B2068" s="42">
        <v>17339</v>
      </c>
      <c r="C2068" s="34" t="s">
        <v>3059</v>
      </c>
    </row>
    <row r="2069" spans="1:3" ht="15.75" customHeight="1" x14ac:dyDescent="0.2">
      <c r="A2069" s="42">
        <v>2434</v>
      </c>
      <c r="B2069" s="42">
        <v>17339</v>
      </c>
      <c r="C2069" s="34" t="s">
        <v>3060</v>
      </c>
    </row>
    <row r="2070" spans="1:3" ht="15.75" customHeight="1" x14ac:dyDescent="0.2">
      <c r="A2070" s="42">
        <v>2435</v>
      </c>
      <c r="B2070" s="42">
        <v>17339</v>
      </c>
      <c r="C2070" s="34" t="s">
        <v>3061</v>
      </c>
    </row>
    <row r="2071" spans="1:3" ht="15.75" customHeight="1" x14ac:dyDescent="0.2">
      <c r="A2071" s="42">
        <v>2436</v>
      </c>
      <c r="B2071" s="42">
        <v>17339</v>
      </c>
      <c r="C2071" s="34" t="s">
        <v>3062</v>
      </c>
    </row>
    <row r="2072" spans="1:3" ht="15.75" customHeight="1" x14ac:dyDescent="0.2">
      <c r="A2072" s="42">
        <v>2437</v>
      </c>
      <c r="B2072" s="42">
        <v>17339</v>
      </c>
      <c r="C2072" s="34" t="s">
        <v>3063</v>
      </c>
    </row>
    <row r="2073" spans="1:3" ht="15.75" customHeight="1" x14ac:dyDescent="0.2">
      <c r="A2073" s="42">
        <v>2438</v>
      </c>
      <c r="B2073" s="42">
        <v>17339</v>
      </c>
      <c r="C2073" s="34" t="s">
        <v>3064</v>
      </c>
    </row>
    <row r="2074" spans="1:3" ht="15.75" customHeight="1" x14ac:dyDescent="0.2">
      <c r="A2074" s="42">
        <v>2439</v>
      </c>
      <c r="B2074" s="42">
        <v>17339</v>
      </c>
      <c r="C2074" s="34" t="s">
        <v>3065</v>
      </c>
    </row>
    <row r="2075" spans="1:3" ht="15.75" customHeight="1" x14ac:dyDescent="0.2">
      <c r="A2075" s="42">
        <v>2440</v>
      </c>
      <c r="B2075" s="42">
        <v>17339</v>
      </c>
      <c r="C2075" s="34" t="s">
        <v>3066</v>
      </c>
    </row>
    <row r="2076" spans="1:3" ht="15.75" customHeight="1" x14ac:dyDescent="0.2">
      <c r="A2076" s="42">
        <v>2441</v>
      </c>
      <c r="B2076" s="42">
        <v>17339</v>
      </c>
      <c r="C2076" s="34" t="s">
        <v>3067</v>
      </c>
    </row>
    <row r="2077" spans="1:3" ht="15.75" customHeight="1" x14ac:dyDescent="0.2">
      <c r="A2077" s="42">
        <v>2442</v>
      </c>
      <c r="B2077" s="42">
        <v>17339</v>
      </c>
      <c r="C2077" s="34" t="s">
        <v>3068</v>
      </c>
    </row>
    <row r="2078" spans="1:3" ht="15.75" customHeight="1" x14ac:dyDescent="0.2">
      <c r="A2078" s="42">
        <v>2443</v>
      </c>
      <c r="B2078" s="42">
        <v>17339</v>
      </c>
      <c r="C2078" s="34" t="s">
        <v>3069</v>
      </c>
    </row>
    <row r="2079" spans="1:3" ht="15.75" customHeight="1" x14ac:dyDescent="0.2">
      <c r="A2079" s="42">
        <v>2444</v>
      </c>
      <c r="B2079" s="42">
        <v>17339</v>
      </c>
      <c r="C2079" s="34" t="s">
        <v>3070</v>
      </c>
    </row>
    <row r="2080" spans="1:3" ht="15.75" customHeight="1" x14ac:dyDescent="0.2">
      <c r="A2080" s="42">
        <v>2445</v>
      </c>
      <c r="B2080" s="42">
        <v>17339</v>
      </c>
      <c r="C2080" s="34" t="s">
        <v>3071</v>
      </c>
    </row>
    <row r="2081" spans="1:3" ht="15.75" customHeight="1" x14ac:dyDescent="0.2">
      <c r="A2081" s="42">
        <v>2446</v>
      </c>
      <c r="B2081" s="42">
        <v>17339</v>
      </c>
      <c r="C2081" s="34" t="s">
        <v>3072</v>
      </c>
    </row>
    <row r="2082" spans="1:3" ht="15.75" customHeight="1" x14ac:dyDescent="0.2">
      <c r="A2082" s="42">
        <v>2447</v>
      </c>
      <c r="B2082" s="42">
        <v>17340</v>
      </c>
      <c r="C2082" s="34" t="s">
        <v>3073</v>
      </c>
    </row>
    <row r="2083" spans="1:3" ht="15.75" customHeight="1" x14ac:dyDescent="0.2">
      <c r="A2083" s="42">
        <v>2448</v>
      </c>
      <c r="B2083" s="42">
        <v>17340</v>
      </c>
      <c r="C2083" s="34" t="s">
        <v>3074</v>
      </c>
    </row>
    <row r="2084" spans="1:3" ht="15.75" customHeight="1" x14ac:dyDescent="0.2">
      <c r="A2084" s="42">
        <v>2449</v>
      </c>
      <c r="B2084" s="42">
        <v>17340</v>
      </c>
      <c r="C2084" s="34" t="s">
        <v>3075</v>
      </c>
    </row>
    <row r="2085" spans="1:3" ht="15.75" customHeight="1" x14ac:dyDescent="0.2">
      <c r="A2085" s="42">
        <v>2450</v>
      </c>
      <c r="B2085" s="42">
        <v>17340</v>
      </c>
      <c r="C2085" s="34" t="s">
        <v>3076</v>
      </c>
    </row>
    <row r="2086" spans="1:3" ht="15.75" customHeight="1" x14ac:dyDescent="0.2">
      <c r="A2086" s="42">
        <v>2451</v>
      </c>
      <c r="B2086" s="42">
        <v>17340</v>
      </c>
      <c r="C2086" s="34" t="s">
        <v>3077</v>
      </c>
    </row>
    <row r="2087" spans="1:3" ht="15.75" customHeight="1" x14ac:dyDescent="0.2">
      <c r="A2087" s="42">
        <v>2452</v>
      </c>
      <c r="B2087" s="42">
        <v>17340</v>
      </c>
      <c r="C2087" s="34" t="s">
        <v>3078</v>
      </c>
    </row>
    <row r="2088" spans="1:3" ht="15.75" customHeight="1" x14ac:dyDescent="0.2">
      <c r="A2088" s="42">
        <v>2453</v>
      </c>
      <c r="B2088" s="42">
        <v>17340</v>
      </c>
      <c r="C2088" s="34" t="s">
        <v>3079</v>
      </c>
    </row>
    <row r="2089" spans="1:3" ht="15.75" customHeight="1" x14ac:dyDescent="0.2">
      <c r="A2089" s="42">
        <v>2454</v>
      </c>
      <c r="B2089" s="42">
        <v>17340</v>
      </c>
      <c r="C2089" s="34" t="s">
        <v>3080</v>
      </c>
    </row>
    <row r="2090" spans="1:3" ht="15.75" customHeight="1" x14ac:dyDescent="0.2">
      <c r="A2090" s="42">
        <v>2455</v>
      </c>
      <c r="B2090" s="42">
        <v>17340</v>
      </c>
      <c r="C2090" s="34" t="s">
        <v>3081</v>
      </c>
    </row>
    <row r="2091" spans="1:3" ht="15.75" customHeight="1" x14ac:dyDescent="0.2">
      <c r="A2091" s="42">
        <v>2456</v>
      </c>
      <c r="B2091" s="42">
        <v>17340</v>
      </c>
      <c r="C2091" s="34" t="s">
        <v>3082</v>
      </c>
    </row>
    <row r="2092" spans="1:3" ht="15.75" customHeight="1" x14ac:dyDescent="0.2">
      <c r="A2092" s="42">
        <v>2457</v>
      </c>
      <c r="B2092" s="42">
        <v>17340</v>
      </c>
      <c r="C2092" s="34" t="s">
        <v>3083</v>
      </c>
    </row>
    <row r="2093" spans="1:3" ht="15.75" customHeight="1" x14ac:dyDescent="0.2">
      <c r="A2093" s="42">
        <v>2458</v>
      </c>
      <c r="B2093" s="42">
        <v>17340</v>
      </c>
      <c r="C2093" s="34" t="s">
        <v>3084</v>
      </c>
    </row>
    <row r="2094" spans="1:3" ht="15.75" customHeight="1" x14ac:dyDescent="0.2">
      <c r="A2094" s="42">
        <v>2459</v>
      </c>
      <c r="B2094" s="42">
        <v>17340</v>
      </c>
      <c r="C2094" s="34" t="s">
        <v>3085</v>
      </c>
    </row>
    <row r="2095" spans="1:3" ht="15.75" customHeight="1" x14ac:dyDescent="0.2">
      <c r="A2095" s="42">
        <v>2460</v>
      </c>
      <c r="B2095" s="42">
        <v>17340</v>
      </c>
      <c r="C2095" s="34" t="s">
        <v>3086</v>
      </c>
    </row>
    <row r="2096" spans="1:3" ht="15.75" customHeight="1" x14ac:dyDescent="0.2">
      <c r="A2096" s="42">
        <v>2461</v>
      </c>
      <c r="B2096" s="42">
        <v>17340</v>
      </c>
      <c r="C2096" s="34" t="s">
        <v>3086</v>
      </c>
    </row>
    <row r="2097" spans="1:3" ht="15.75" customHeight="1" x14ac:dyDescent="0.2">
      <c r="A2097" s="42">
        <v>2462</v>
      </c>
      <c r="B2097" s="42">
        <v>17340</v>
      </c>
      <c r="C2097" s="34" t="s">
        <v>3087</v>
      </c>
    </row>
    <row r="2098" spans="1:3" ht="15.75" customHeight="1" x14ac:dyDescent="0.2">
      <c r="A2098" s="42">
        <v>2463</v>
      </c>
      <c r="B2098" s="42">
        <v>17340</v>
      </c>
      <c r="C2098" s="34" t="s">
        <v>3088</v>
      </c>
    </row>
    <row r="2099" spans="1:3" ht="15.75" customHeight="1" x14ac:dyDescent="0.2">
      <c r="A2099" s="42">
        <v>2464</v>
      </c>
      <c r="B2099" s="42">
        <v>17340</v>
      </c>
      <c r="C2099" s="34" t="s">
        <v>3089</v>
      </c>
    </row>
    <row r="2100" spans="1:3" ht="15.75" customHeight="1" x14ac:dyDescent="0.2">
      <c r="A2100" s="42">
        <v>2465</v>
      </c>
      <c r="B2100" s="42">
        <v>17340</v>
      </c>
      <c r="C2100" s="34" t="s">
        <v>3090</v>
      </c>
    </row>
    <row r="2101" spans="1:3" ht="15.75" customHeight="1" x14ac:dyDescent="0.2">
      <c r="A2101" s="42">
        <v>2466</v>
      </c>
      <c r="B2101" s="42">
        <v>17340</v>
      </c>
      <c r="C2101" s="34" t="s">
        <v>3091</v>
      </c>
    </row>
    <row r="2102" spans="1:3" ht="15.75" customHeight="1" x14ac:dyDescent="0.2">
      <c r="A2102" s="42">
        <v>2467</v>
      </c>
      <c r="B2102" s="42">
        <v>17340</v>
      </c>
      <c r="C2102" s="34" t="s">
        <v>3092</v>
      </c>
    </row>
    <row r="2103" spans="1:3" ht="15.75" customHeight="1" x14ac:dyDescent="0.2">
      <c r="A2103" s="42">
        <v>2468</v>
      </c>
      <c r="B2103" s="42">
        <v>17340</v>
      </c>
      <c r="C2103" s="34" t="s">
        <v>3093</v>
      </c>
    </row>
    <row r="2104" spans="1:3" ht="15.75" customHeight="1" x14ac:dyDescent="0.2">
      <c r="A2104" s="42">
        <v>2469</v>
      </c>
      <c r="B2104" s="42">
        <v>17340</v>
      </c>
      <c r="C2104" s="34" t="s">
        <v>3094</v>
      </c>
    </row>
    <row r="2105" spans="1:3" ht="15.75" customHeight="1" x14ac:dyDescent="0.2">
      <c r="A2105" s="42">
        <v>2470</v>
      </c>
      <c r="B2105" s="42">
        <v>17340</v>
      </c>
      <c r="C2105" s="34" t="s">
        <v>3095</v>
      </c>
    </row>
    <row r="2106" spans="1:3" ht="15.75" customHeight="1" x14ac:dyDescent="0.2">
      <c r="A2106" s="42">
        <v>2471</v>
      </c>
      <c r="B2106" s="42">
        <v>17340</v>
      </c>
      <c r="C2106" s="34" t="s">
        <v>3096</v>
      </c>
    </row>
    <row r="2107" spans="1:3" ht="15.75" customHeight="1" x14ac:dyDescent="0.2">
      <c r="A2107" s="42">
        <v>2472</v>
      </c>
      <c r="B2107" s="42">
        <v>17340</v>
      </c>
      <c r="C2107" s="34" t="s">
        <v>3097</v>
      </c>
    </row>
    <row r="2108" spans="1:3" ht="15.75" customHeight="1" x14ac:dyDescent="0.2">
      <c r="A2108" s="42">
        <v>2473</v>
      </c>
      <c r="B2108" s="42">
        <v>17340</v>
      </c>
      <c r="C2108" s="34" t="s">
        <v>3098</v>
      </c>
    </row>
    <row r="2109" spans="1:3" ht="15.75" customHeight="1" x14ac:dyDescent="0.2">
      <c r="A2109" s="42">
        <v>2474</v>
      </c>
      <c r="B2109" s="42">
        <v>17340</v>
      </c>
      <c r="C2109" s="34" t="s">
        <v>3099</v>
      </c>
    </row>
    <row r="2110" spans="1:3" ht="15.75" customHeight="1" x14ac:dyDescent="0.2">
      <c r="A2110" s="42">
        <v>2475</v>
      </c>
      <c r="B2110" s="42">
        <v>17340</v>
      </c>
      <c r="C2110" s="34" t="s">
        <v>3100</v>
      </c>
    </row>
    <row r="2111" spans="1:3" ht="15.75" customHeight="1" x14ac:dyDescent="0.2">
      <c r="A2111" s="42">
        <v>2476</v>
      </c>
      <c r="B2111" s="42">
        <v>17340</v>
      </c>
      <c r="C2111" s="34" t="s">
        <v>3101</v>
      </c>
    </row>
    <row r="2112" spans="1:3" ht="15.75" customHeight="1" x14ac:dyDescent="0.2">
      <c r="A2112" s="42">
        <v>2477</v>
      </c>
      <c r="B2112" s="42">
        <v>17340</v>
      </c>
      <c r="C2112" s="34" t="s">
        <v>3102</v>
      </c>
    </row>
    <row r="2113" spans="1:3" ht="15.75" customHeight="1" x14ac:dyDescent="0.2">
      <c r="A2113" s="42">
        <v>2478</v>
      </c>
      <c r="B2113" s="42">
        <v>17340</v>
      </c>
      <c r="C2113" s="34" t="s">
        <v>3103</v>
      </c>
    </row>
    <row r="2114" spans="1:3" ht="15.75" customHeight="1" x14ac:dyDescent="0.2">
      <c r="A2114" s="42">
        <v>2479</v>
      </c>
      <c r="B2114" s="42">
        <v>17340</v>
      </c>
      <c r="C2114" s="34" t="s">
        <v>3104</v>
      </c>
    </row>
    <row r="2115" spans="1:3" ht="15.75" customHeight="1" x14ac:dyDescent="0.2">
      <c r="A2115" s="42">
        <v>2480</v>
      </c>
      <c r="B2115" s="42">
        <v>17340</v>
      </c>
      <c r="C2115" s="34" t="s">
        <v>3105</v>
      </c>
    </row>
    <row r="2116" spans="1:3" ht="15.75" customHeight="1" x14ac:dyDescent="0.2">
      <c r="A2116" s="42">
        <v>2481</v>
      </c>
      <c r="B2116" s="42">
        <v>17340</v>
      </c>
      <c r="C2116" s="34" t="s">
        <v>3106</v>
      </c>
    </row>
    <row r="2117" spans="1:3" ht="15.75" customHeight="1" x14ac:dyDescent="0.2">
      <c r="A2117" s="42">
        <v>2482</v>
      </c>
      <c r="B2117" s="42">
        <v>17340</v>
      </c>
      <c r="C2117" s="34" t="s">
        <v>3107</v>
      </c>
    </row>
    <row r="2118" spans="1:3" ht="15.75" customHeight="1" x14ac:dyDescent="0.2">
      <c r="A2118" s="42">
        <v>2483</v>
      </c>
      <c r="B2118" s="42">
        <v>17340</v>
      </c>
      <c r="C2118" s="34" t="s">
        <v>3108</v>
      </c>
    </row>
    <row r="2119" spans="1:3" ht="15.75" customHeight="1" x14ac:dyDescent="0.2">
      <c r="A2119" s="42">
        <v>2484</v>
      </c>
      <c r="B2119" s="42">
        <v>17340</v>
      </c>
      <c r="C2119" s="34" t="s">
        <v>3109</v>
      </c>
    </row>
    <row r="2120" spans="1:3" ht="15.75" customHeight="1" x14ac:dyDescent="0.2">
      <c r="A2120" s="42">
        <v>2485</v>
      </c>
      <c r="B2120" s="42">
        <v>17340</v>
      </c>
      <c r="C2120" s="34" t="s">
        <v>3110</v>
      </c>
    </row>
    <row r="2121" spans="1:3" ht="15.75" customHeight="1" x14ac:dyDescent="0.2">
      <c r="A2121" s="42">
        <v>2486</v>
      </c>
      <c r="B2121" s="42">
        <v>17340</v>
      </c>
      <c r="C2121" s="34" t="s">
        <v>3111</v>
      </c>
    </row>
    <row r="2122" spans="1:3" ht="15.75" customHeight="1" x14ac:dyDescent="0.2">
      <c r="A2122" s="42">
        <v>2487</v>
      </c>
      <c r="B2122" s="42">
        <v>17340</v>
      </c>
      <c r="C2122" s="34" t="s">
        <v>3112</v>
      </c>
    </row>
    <row r="2123" spans="1:3" ht="15.75" customHeight="1" x14ac:dyDescent="0.2">
      <c r="A2123" s="42">
        <v>2488</v>
      </c>
      <c r="B2123" s="42">
        <v>17340</v>
      </c>
      <c r="C2123" s="34" t="s">
        <v>3113</v>
      </c>
    </row>
    <row r="2124" spans="1:3" ht="15.75" customHeight="1" x14ac:dyDescent="0.2">
      <c r="A2124" s="42">
        <v>2489</v>
      </c>
      <c r="B2124" s="42">
        <v>17340</v>
      </c>
      <c r="C2124" s="34" t="s">
        <v>3114</v>
      </c>
    </row>
    <row r="2125" spans="1:3" ht="15.75" customHeight="1" x14ac:dyDescent="0.2">
      <c r="A2125" s="42">
        <v>2490</v>
      </c>
      <c r="B2125" s="42">
        <v>17340</v>
      </c>
      <c r="C2125" s="34" t="s">
        <v>3115</v>
      </c>
    </row>
    <row r="2126" spans="1:3" ht="15.75" customHeight="1" x14ac:dyDescent="0.2">
      <c r="A2126" s="42">
        <v>2491</v>
      </c>
      <c r="B2126" s="42">
        <v>17340</v>
      </c>
      <c r="C2126" s="34" t="s">
        <v>3116</v>
      </c>
    </row>
    <row r="2127" spans="1:3" ht="15.75" customHeight="1" x14ac:dyDescent="0.2">
      <c r="A2127" s="42">
        <v>2492</v>
      </c>
      <c r="B2127" s="42">
        <v>17340</v>
      </c>
      <c r="C2127" s="34" t="s">
        <v>3117</v>
      </c>
    </row>
    <row r="2128" spans="1:3" ht="15.75" customHeight="1" x14ac:dyDescent="0.2">
      <c r="A2128" s="42">
        <v>2493</v>
      </c>
      <c r="B2128" s="42">
        <v>17340</v>
      </c>
      <c r="C2128" s="34" t="s">
        <v>3118</v>
      </c>
    </row>
    <row r="2129" spans="1:3" ht="15.75" customHeight="1" x14ac:dyDescent="0.2">
      <c r="A2129" s="42">
        <v>2494</v>
      </c>
      <c r="B2129" s="42">
        <v>17340</v>
      </c>
      <c r="C2129" s="34" t="s">
        <v>3119</v>
      </c>
    </row>
    <row r="2130" spans="1:3" ht="15.75" customHeight="1" x14ac:dyDescent="0.2">
      <c r="A2130" s="42">
        <v>2495</v>
      </c>
      <c r="B2130" s="42">
        <v>17340</v>
      </c>
      <c r="C2130" s="34" t="s">
        <v>3120</v>
      </c>
    </row>
    <row r="2131" spans="1:3" ht="15.75" customHeight="1" x14ac:dyDescent="0.2">
      <c r="A2131" s="42">
        <v>2496</v>
      </c>
      <c r="B2131" s="42">
        <v>17340</v>
      </c>
      <c r="C2131" s="34" t="s">
        <v>3121</v>
      </c>
    </row>
    <row r="2132" spans="1:3" ht="15.75" customHeight="1" x14ac:dyDescent="0.2">
      <c r="A2132" s="42">
        <v>2497</v>
      </c>
      <c r="B2132" s="42">
        <v>17340</v>
      </c>
      <c r="C2132" s="34" t="s">
        <v>3122</v>
      </c>
    </row>
    <row r="2133" spans="1:3" ht="15.75" customHeight="1" x14ac:dyDescent="0.2">
      <c r="A2133" s="42">
        <v>2498</v>
      </c>
      <c r="B2133" s="42">
        <v>17340</v>
      </c>
      <c r="C2133" s="34" t="s">
        <v>3123</v>
      </c>
    </row>
    <row r="2134" spans="1:3" ht="15.75" customHeight="1" x14ac:dyDescent="0.2">
      <c r="A2134" s="42">
        <v>2499</v>
      </c>
      <c r="B2134" s="42">
        <v>17340</v>
      </c>
      <c r="C2134" s="34" t="s">
        <v>3124</v>
      </c>
    </row>
    <row r="2135" spans="1:3" ht="15.75" customHeight="1" x14ac:dyDescent="0.2">
      <c r="A2135" s="42">
        <v>2500</v>
      </c>
      <c r="B2135" s="42">
        <v>17340</v>
      </c>
      <c r="C2135" s="34" t="s">
        <v>3125</v>
      </c>
    </row>
    <row r="2136" spans="1:3" ht="15.75" customHeight="1" x14ac:dyDescent="0.2">
      <c r="A2136" s="42">
        <v>2501</v>
      </c>
      <c r="B2136" s="42">
        <v>17340</v>
      </c>
      <c r="C2136" s="34" t="s">
        <v>3126</v>
      </c>
    </row>
    <row r="2137" spans="1:3" ht="15.75" customHeight="1" x14ac:dyDescent="0.2">
      <c r="A2137" s="42">
        <v>2502</v>
      </c>
      <c r="B2137" s="42">
        <v>17340</v>
      </c>
      <c r="C2137" s="34" t="s">
        <v>3127</v>
      </c>
    </row>
    <row r="2138" spans="1:3" ht="15.75" customHeight="1" x14ac:dyDescent="0.2">
      <c r="A2138" s="42">
        <v>2503</v>
      </c>
      <c r="B2138" s="42">
        <v>17340</v>
      </c>
      <c r="C2138" s="34" t="s">
        <v>3128</v>
      </c>
    </row>
    <row r="2139" spans="1:3" ht="15.75" customHeight="1" x14ac:dyDescent="0.2">
      <c r="A2139" s="42">
        <v>2504</v>
      </c>
      <c r="B2139" s="42">
        <v>17340</v>
      </c>
      <c r="C2139" s="34" t="s">
        <v>3129</v>
      </c>
    </row>
    <row r="2140" spans="1:3" ht="15.75" customHeight="1" x14ac:dyDescent="0.2">
      <c r="A2140" s="42">
        <v>2505</v>
      </c>
      <c r="B2140" s="42">
        <v>17340</v>
      </c>
      <c r="C2140" s="34" t="s">
        <v>3130</v>
      </c>
    </row>
    <row r="2141" spans="1:3" ht="15.75" customHeight="1" x14ac:dyDescent="0.2">
      <c r="A2141" s="42">
        <v>2506</v>
      </c>
      <c r="B2141" s="42">
        <v>17340</v>
      </c>
      <c r="C2141" s="34" t="s">
        <v>3131</v>
      </c>
    </row>
    <row r="2142" spans="1:3" ht="15.75" customHeight="1" x14ac:dyDescent="0.2">
      <c r="A2142" s="42">
        <v>2507</v>
      </c>
      <c r="B2142" s="42">
        <v>17340</v>
      </c>
      <c r="C2142" s="34" t="s">
        <v>3132</v>
      </c>
    </row>
    <row r="2143" spans="1:3" ht="15.75" customHeight="1" x14ac:dyDescent="0.2">
      <c r="A2143" s="42">
        <v>2508</v>
      </c>
      <c r="B2143" s="42">
        <v>17340</v>
      </c>
      <c r="C2143" s="34" t="s">
        <v>3133</v>
      </c>
    </row>
    <row r="2144" spans="1:3" ht="15.75" customHeight="1" x14ac:dyDescent="0.2">
      <c r="A2144" s="42">
        <v>2509</v>
      </c>
      <c r="B2144" s="42">
        <v>17340</v>
      </c>
      <c r="C2144" s="34" t="s">
        <v>3134</v>
      </c>
    </row>
    <row r="2145" spans="1:3" ht="15.75" customHeight="1" x14ac:dyDescent="0.2">
      <c r="A2145" s="42">
        <v>2510</v>
      </c>
      <c r="B2145" s="42">
        <v>17340</v>
      </c>
      <c r="C2145" s="34" t="s">
        <v>3135</v>
      </c>
    </row>
    <row r="2146" spans="1:3" ht="15.75" customHeight="1" x14ac:dyDescent="0.2">
      <c r="A2146" s="42">
        <v>2511</v>
      </c>
      <c r="B2146" s="42">
        <v>17340</v>
      </c>
      <c r="C2146" s="34" t="s">
        <v>3136</v>
      </c>
    </row>
    <row r="2147" spans="1:3" ht="15.75" customHeight="1" x14ac:dyDescent="0.2">
      <c r="A2147" s="42">
        <v>2512</v>
      </c>
      <c r="B2147" s="42">
        <v>17340</v>
      </c>
      <c r="C2147" s="34" t="s">
        <v>3137</v>
      </c>
    </row>
    <row r="2148" spans="1:3" ht="15.75" customHeight="1" x14ac:dyDescent="0.2">
      <c r="A2148" s="42">
        <v>2513</v>
      </c>
      <c r="B2148" s="42">
        <v>17340</v>
      </c>
      <c r="C2148" s="34" t="s">
        <v>3138</v>
      </c>
    </row>
    <row r="2149" spans="1:3" ht="15.75" customHeight="1" x14ac:dyDescent="0.2">
      <c r="A2149" s="42">
        <v>2514</v>
      </c>
      <c r="B2149" s="42">
        <v>17340</v>
      </c>
      <c r="C2149" s="34" t="s">
        <v>3139</v>
      </c>
    </row>
    <row r="2150" spans="1:3" ht="15.75" customHeight="1" x14ac:dyDescent="0.2">
      <c r="A2150" s="42">
        <v>2515</v>
      </c>
      <c r="B2150" s="42">
        <v>17340</v>
      </c>
      <c r="C2150" s="34" t="s">
        <v>3140</v>
      </c>
    </row>
    <row r="2151" spans="1:3" ht="15.75" customHeight="1" x14ac:dyDescent="0.2">
      <c r="A2151" s="42">
        <v>2516</v>
      </c>
      <c r="B2151" s="42">
        <v>17340</v>
      </c>
      <c r="C2151" s="34" t="s">
        <v>3141</v>
      </c>
    </row>
    <row r="2152" spans="1:3" ht="15.75" customHeight="1" x14ac:dyDescent="0.2">
      <c r="A2152" s="42">
        <v>2517</v>
      </c>
      <c r="B2152" s="42">
        <v>17340</v>
      </c>
      <c r="C2152" s="34" t="s">
        <v>3142</v>
      </c>
    </row>
    <row r="2153" spans="1:3" ht="15.75" customHeight="1" x14ac:dyDescent="0.2">
      <c r="A2153" s="42">
        <v>2518</v>
      </c>
      <c r="B2153" s="42">
        <v>17340</v>
      </c>
      <c r="C2153" s="34" t="s">
        <v>3143</v>
      </c>
    </row>
    <row r="2154" spans="1:3" ht="15.75" customHeight="1" x14ac:dyDescent="0.2">
      <c r="A2154" s="42">
        <v>2519</v>
      </c>
      <c r="B2154" s="42">
        <v>17340</v>
      </c>
      <c r="C2154" s="34" t="s">
        <v>3144</v>
      </c>
    </row>
    <row r="2155" spans="1:3" ht="15.75" customHeight="1" x14ac:dyDescent="0.2">
      <c r="A2155" s="42">
        <v>2520</v>
      </c>
      <c r="B2155" s="42">
        <v>17340</v>
      </c>
      <c r="C2155" s="34" t="s">
        <v>3145</v>
      </c>
    </row>
    <row r="2156" spans="1:3" ht="15.75" customHeight="1" x14ac:dyDescent="0.2">
      <c r="A2156" s="42">
        <v>2521</v>
      </c>
      <c r="B2156" s="42">
        <v>17340</v>
      </c>
      <c r="C2156" s="34" t="s">
        <v>3146</v>
      </c>
    </row>
    <row r="2157" spans="1:3" ht="15.75" customHeight="1" x14ac:dyDescent="0.2">
      <c r="A2157" s="42">
        <v>2522</v>
      </c>
      <c r="B2157" s="42">
        <v>17340</v>
      </c>
      <c r="C2157" s="34" t="s">
        <v>3147</v>
      </c>
    </row>
    <row r="2158" spans="1:3" ht="15.75" customHeight="1" x14ac:dyDescent="0.2">
      <c r="A2158" s="42">
        <v>2523</v>
      </c>
      <c r="B2158" s="42">
        <v>17340</v>
      </c>
      <c r="C2158" s="34" t="s">
        <v>3148</v>
      </c>
    </row>
    <row r="2159" spans="1:3" ht="15.75" customHeight="1" x14ac:dyDescent="0.2">
      <c r="A2159" s="42">
        <v>2524</v>
      </c>
      <c r="B2159" s="42">
        <v>17340</v>
      </c>
      <c r="C2159" s="34" t="s">
        <v>3149</v>
      </c>
    </row>
    <row r="2160" spans="1:3" ht="15.75" customHeight="1" x14ac:dyDescent="0.2">
      <c r="A2160" s="42">
        <v>2525</v>
      </c>
      <c r="B2160" s="42">
        <v>17340</v>
      </c>
      <c r="C2160" s="34" t="s">
        <v>3150</v>
      </c>
    </row>
    <row r="2161" spans="1:3" ht="15.75" customHeight="1" x14ac:dyDescent="0.2">
      <c r="A2161" s="42">
        <v>2526</v>
      </c>
      <c r="B2161" s="42">
        <v>17340</v>
      </c>
      <c r="C2161" s="34" t="s">
        <v>3151</v>
      </c>
    </row>
    <row r="2162" spans="1:3" ht="15.75" customHeight="1" x14ac:dyDescent="0.2">
      <c r="A2162" s="42">
        <v>2527</v>
      </c>
      <c r="B2162" s="42">
        <v>17340</v>
      </c>
      <c r="C2162" s="34" t="s">
        <v>3152</v>
      </c>
    </row>
    <row r="2163" spans="1:3" ht="15.75" customHeight="1" x14ac:dyDescent="0.2">
      <c r="A2163" s="42">
        <v>2528</v>
      </c>
      <c r="B2163" s="42">
        <v>17340</v>
      </c>
      <c r="C2163" s="34" t="s">
        <v>3153</v>
      </c>
    </row>
    <row r="2164" spans="1:3" ht="15.75" customHeight="1" x14ac:dyDescent="0.2">
      <c r="A2164" s="42">
        <v>2529</v>
      </c>
      <c r="B2164" s="42">
        <v>17340</v>
      </c>
      <c r="C2164" s="34" t="s">
        <v>3154</v>
      </c>
    </row>
    <row r="2165" spans="1:3" ht="15.75" customHeight="1" x14ac:dyDescent="0.2">
      <c r="A2165" s="42">
        <v>2530</v>
      </c>
      <c r="B2165" s="42">
        <v>17340</v>
      </c>
      <c r="C2165" s="34" t="s">
        <v>3155</v>
      </c>
    </row>
    <row r="2166" spans="1:3" ht="15.75" customHeight="1" x14ac:dyDescent="0.2">
      <c r="A2166" s="42">
        <v>2531</v>
      </c>
      <c r="B2166" s="42">
        <v>17340</v>
      </c>
      <c r="C2166" s="34" t="s">
        <v>3156</v>
      </c>
    </row>
    <row r="2167" spans="1:3" ht="15.75" customHeight="1" x14ac:dyDescent="0.2">
      <c r="A2167" s="42">
        <v>2532</v>
      </c>
      <c r="B2167" s="42">
        <v>17340</v>
      </c>
      <c r="C2167" s="34" t="s">
        <v>3157</v>
      </c>
    </row>
    <row r="2168" spans="1:3" ht="15.75" customHeight="1" x14ac:dyDescent="0.2">
      <c r="A2168" s="42">
        <v>2533</v>
      </c>
      <c r="B2168" s="42">
        <v>17340</v>
      </c>
      <c r="C2168" s="34" t="s">
        <v>3158</v>
      </c>
    </row>
    <row r="2169" spans="1:3" ht="15.75" customHeight="1" x14ac:dyDescent="0.2">
      <c r="A2169" s="42">
        <v>2534</v>
      </c>
      <c r="B2169" s="42">
        <v>17340</v>
      </c>
      <c r="C2169" s="34" t="s">
        <v>3159</v>
      </c>
    </row>
    <row r="2170" spans="1:3" ht="15.75" customHeight="1" x14ac:dyDescent="0.2">
      <c r="A2170" s="42">
        <v>2535</v>
      </c>
      <c r="B2170" s="42">
        <v>17340</v>
      </c>
      <c r="C2170" s="34" t="s">
        <v>3160</v>
      </c>
    </row>
    <row r="2171" spans="1:3" ht="15.75" customHeight="1" x14ac:dyDescent="0.2">
      <c r="A2171" s="42">
        <v>2536</v>
      </c>
      <c r="B2171" s="42">
        <v>17340</v>
      </c>
      <c r="C2171" s="34" t="s">
        <v>3161</v>
      </c>
    </row>
    <row r="2172" spans="1:3" ht="15.75" customHeight="1" x14ac:dyDescent="0.2">
      <c r="A2172" s="42">
        <v>2537</v>
      </c>
      <c r="B2172" s="42">
        <v>17340</v>
      </c>
      <c r="C2172" s="34" t="s">
        <v>3162</v>
      </c>
    </row>
    <row r="2173" spans="1:3" ht="15.75" customHeight="1" x14ac:dyDescent="0.2">
      <c r="A2173" s="42">
        <v>2538</v>
      </c>
      <c r="B2173" s="42">
        <v>17340</v>
      </c>
      <c r="C2173" s="34" t="s">
        <v>3163</v>
      </c>
    </row>
    <row r="2174" spans="1:3" ht="15.75" customHeight="1" x14ac:dyDescent="0.2">
      <c r="A2174" s="42">
        <v>2539</v>
      </c>
      <c r="B2174" s="42">
        <v>17340</v>
      </c>
      <c r="C2174" s="34" t="s">
        <v>3164</v>
      </c>
    </row>
    <row r="2175" spans="1:3" ht="15.75" customHeight="1" x14ac:dyDescent="0.2">
      <c r="A2175" s="42">
        <v>2540</v>
      </c>
      <c r="B2175" s="42">
        <v>17341</v>
      </c>
      <c r="C2175" s="34" t="s">
        <v>3165</v>
      </c>
    </row>
    <row r="2176" spans="1:3" ht="15.75" customHeight="1" x14ac:dyDescent="0.2">
      <c r="A2176" s="42">
        <v>2541</v>
      </c>
      <c r="B2176" s="42">
        <v>17341</v>
      </c>
      <c r="C2176" s="34" t="s">
        <v>3166</v>
      </c>
    </row>
    <row r="2177" spans="1:3" ht="15.75" customHeight="1" x14ac:dyDescent="0.2">
      <c r="A2177" s="42">
        <v>2542</v>
      </c>
      <c r="B2177" s="42">
        <v>17341</v>
      </c>
      <c r="C2177" s="34" t="s">
        <v>3167</v>
      </c>
    </row>
    <row r="2178" spans="1:3" ht="15.75" customHeight="1" x14ac:dyDescent="0.2">
      <c r="A2178" s="42">
        <v>2543</v>
      </c>
      <c r="B2178" s="42">
        <v>17341</v>
      </c>
      <c r="C2178" s="34" t="s">
        <v>3168</v>
      </c>
    </row>
    <row r="2179" spans="1:3" ht="15.75" customHeight="1" x14ac:dyDescent="0.2">
      <c r="A2179" s="42">
        <v>2544</v>
      </c>
      <c r="B2179" s="42">
        <v>17341</v>
      </c>
      <c r="C2179" s="34" t="s">
        <v>3169</v>
      </c>
    </row>
    <row r="2180" spans="1:3" ht="15.75" customHeight="1" x14ac:dyDescent="0.2">
      <c r="A2180" s="42">
        <v>2545</v>
      </c>
      <c r="B2180" s="42">
        <v>17341</v>
      </c>
      <c r="C2180" s="34" t="s">
        <v>3170</v>
      </c>
    </row>
    <row r="2181" spans="1:3" ht="15.75" customHeight="1" x14ac:dyDescent="0.2">
      <c r="A2181" s="42">
        <v>2546</v>
      </c>
      <c r="B2181" s="42">
        <v>17341</v>
      </c>
      <c r="C2181" s="34" t="s">
        <v>3171</v>
      </c>
    </row>
    <row r="2182" spans="1:3" ht="15.75" customHeight="1" x14ac:dyDescent="0.2">
      <c r="A2182" s="42">
        <v>2547</v>
      </c>
      <c r="B2182" s="42">
        <v>17341</v>
      </c>
      <c r="C2182" s="34" t="s">
        <v>3172</v>
      </c>
    </row>
    <row r="2183" spans="1:3" ht="15.75" customHeight="1" x14ac:dyDescent="0.2">
      <c r="A2183" s="42">
        <v>2548</v>
      </c>
      <c r="B2183" s="42">
        <v>17341</v>
      </c>
      <c r="C2183" s="34" t="s">
        <v>3173</v>
      </c>
    </row>
    <row r="2184" spans="1:3" ht="15.75" customHeight="1" x14ac:dyDescent="0.2">
      <c r="A2184" s="42">
        <v>2549</v>
      </c>
      <c r="B2184" s="42">
        <v>17341</v>
      </c>
      <c r="C2184" s="34" t="s">
        <v>3174</v>
      </c>
    </row>
    <row r="2185" spans="1:3" ht="15.75" customHeight="1" x14ac:dyDescent="0.2">
      <c r="A2185" s="42">
        <v>2550</v>
      </c>
      <c r="B2185" s="42">
        <v>17341</v>
      </c>
      <c r="C2185" s="34" t="s">
        <v>3175</v>
      </c>
    </row>
    <row r="2186" spans="1:3" ht="15.75" customHeight="1" x14ac:dyDescent="0.2">
      <c r="A2186" s="42">
        <v>2551</v>
      </c>
      <c r="B2186" s="42">
        <v>17341</v>
      </c>
      <c r="C2186" s="34" t="s">
        <v>3176</v>
      </c>
    </row>
    <row r="2187" spans="1:3" ht="15.75" customHeight="1" x14ac:dyDescent="0.2">
      <c r="A2187" s="42">
        <v>2552</v>
      </c>
      <c r="B2187" s="42">
        <v>17341</v>
      </c>
      <c r="C2187" s="34" t="s">
        <v>3177</v>
      </c>
    </row>
    <row r="2188" spans="1:3" ht="15.75" customHeight="1" x14ac:dyDescent="0.2">
      <c r="A2188" s="42">
        <v>2553</v>
      </c>
      <c r="B2188" s="42">
        <v>17341</v>
      </c>
      <c r="C2188" s="34" t="s">
        <v>3178</v>
      </c>
    </row>
    <row r="2189" spans="1:3" ht="15.75" customHeight="1" x14ac:dyDescent="0.2">
      <c r="A2189" s="42">
        <v>2554</v>
      </c>
      <c r="B2189" s="42">
        <v>17341</v>
      </c>
      <c r="C2189" s="34" t="s">
        <v>3179</v>
      </c>
    </row>
    <row r="2190" spans="1:3" ht="15.75" customHeight="1" x14ac:dyDescent="0.2">
      <c r="A2190" s="42">
        <v>2555</v>
      </c>
      <c r="B2190" s="42">
        <v>17341</v>
      </c>
      <c r="C2190" s="34" t="s">
        <v>3180</v>
      </c>
    </row>
    <row r="2191" spans="1:3" ht="15.75" customHeight="1" x14ac:dyDescent="0.2">
      <c r="A2191" s="42">
        <v>2556</v>
      </c>
      <c r="B2191" s="42">
        <v>17341</v>
      </c>
      <c r="C2191" s="34" t="s">
        <v>3170</v>
      </c>
    </row>
    <row r="2192" spans="1:3" ht="15.75" customHeight="1" x14ac:dyDescent="0.2">
      <c r="A2192" s="42">
        <v>2557</v>
      </c>
      <c r="B2192" s="42">
        <v>17341</v>
      </c>
      <c r="C2192" s="34" t="s">
        <v>3181</v>
      </c>
    </row>
    <row r="2193" spans="1:3" ht="15.75" customHeight="1" x14ac:dyDescent="0.2">
      <c r="A2193" s="42">
        <v>2558</v>
      </c>
      <c r="B2193" s="42">
        <v>17341</v>
      </c>
      <c r="C2193" s="34" t="s">
        <v>3182</v>
      </c>
    </row>
    <row r="2194" spans="1:3" ht="15.75" customHeight="1" x14ac:dyDescent="0.2">
      <c r="A2194" s="42">
        <v>2559</v>
      </c>
      <c r="B2194" s="42">
        <v>17341</v>
      </c>
      <c r="C2194" s="34" t="s">
        <v>3183</v>
      </c>
    </row>
    <row r="2195" spans="1:3" ht="15.75" customHeight="1" x14ac:dyDescent="0.2">
      <c r="A2195" s="42">
        <v>2560</v>
      </c>
      <c r="B2195" s="42">
        <v>17341</v>
      </c>
      <c r="C2195" s="34" t="s">
        <v>3184</v>
      </c>
    </row>
    <row r="2196" spans="1:3" ht="15.75" customHeight="1" x14ac:dyDescent="0.2">
      <c r="A2196" s="42">
        <v>2561</v>
      </c>
      <c r="B2196" s="42">
        <v>17341</v>
      </c>
      <c r="C2196" s="34" t="s">
        <v>3185</v>
      </c>
    </row>
    <row r="2197" spans="1:3" ht="15.75" customHeight="1" x14ac:dyDescent="0.2">
      <c r="A2197" s="42">
        <v>2562</v>
      </c>
      <c r="B2197" s="42">
        <v>17341</v>
      </c>
      <c r="C2197" s="34" t="s">
        <v>3186</v>
      </c>
    </row>
    <row r="2198" spans="1:3" ht="15.75" customHeight="1" x14ac:dyDescent="0.2">
      <c r="A2198" s="42">
        <v>2563</v>
      </c>
      <c r="B2198" s="42">
        <v>17341</v>
      </c>
      <c r="C2198" s="34" t="s">
        <v>3187</v>
      </c>
    </row>
    <row r="2199" spans="1:3" ht="15.75" customHeight="1" x14ac:dyDescent="0.2">
      <c r="A2199" s="42">
        <v>2564</v>
      </c>
      <c r="B2199" s="42">
        <v>17341</v>
      </c>
      <c r="C2199" s="34" t="s">
        <v>3188</v>
      </c>
    </row>
    <row r="2200" spans="1:3" ht="15.75" customHeight="1" x14ac:dyDescent="0.2">
      <c r="A2200" s="42">
        <v>2565</v>
      </c>
      <c r="B2200" s="42">
        <v>17341</v>
      </c>
      <c r="C2200" s="34" t="s">
        <v>3189</v>
      </c>
    </row>
    <row r="2201" spans="1:3" ht="15.75" customHeight="1" x14ac:dyDescent="0.2">
      <c r="A2201" s="42">
        <v>2566</v>
      </c>
      <c r="B2201" s="42">
        <v>17341</v>
      </c>
      <c r="C2201" s="34" t="s">
        <v>3190</v>
      </c>
    </row>
    <row r="2202" spans="1:3" ht="15.75" customHeight="1" x14ac:dyDescent="0.2">
      <c r="A2202" s="42">
        <v>2567</v>
      </c>
      <c r="B2202" s="42">
        <v>17341</v>
      </c>
      <c r="C2202" s="34" t="s">
        <v>3191</v>
      </c>
    </row>
    <row r="2203" spans="1:3" ht="15.75" customHeight="1" x14ac:dyDescent="0.2">
      <c r="A2203" s="42">
        <v>2568</v>
      </c>
      <c r="B2203" s="42">
        <v>17341</v>
      </c>
      <c r="C2203" s="34" t="s">
        <v>3192</v>
      </c>
    </row>
    <row r="2204" spans="1:3" ht="15.75" customHeight="1" x14ac:dyDescent="0.2">
      <c r="A2204" s="42">
        <v>2569</v>
      </c>
      <c r="B2204" s="42">
        <v>17341</v>
      </c>
      <c r="C2204" s="34" t="s">
        <v>3193</v>
      </c>
    </row>
    <row r="2205" spans="1:3" ht="15.75" customHeight="1" x14ac:dyDescent="0.2">
      <c r="A2205" s="42">
        <v>2570</v>
      </c>
      <c r="B2205" s="42">
        <v>17341</v>
      </c>
      <c r="C2205" s="34" t="s">
        <v>3194</v>
      </c>
    </row>
    <row r="2206" spans="1:3" ht="15.75" customHeight="1" x14ac:dyDescent="0.2">
      <c r="A2206" s="42">
        <v>2571</v>
      </c>
      <c r="B2206" s="42">
        <v>17341</v>
      </c>
      <c r="C2206" s="34" t="s">
        <v>3195</v>
      </c>
    </row>
    <row r="2207" spans="1:3" ht="15.75" customHeight="1" x14ac:dyDescent="0.2">
      <c r="A2207" s="42">
        <v>2572</v>
      </c>
      <c r="B2207" s="42">
        <v>17341</v>
      </c>
      <c r="C2207" s="34" t="s">
        <v>3196</v>
      </c>
    </row>
    <row r="2208" spans="1:3" ht="15.75" customHeight="1" x14ac:dyDescent="0.2">
      <c r="A2208" s="42">
        <v>2573</v>
      </c>
      <c r="B2208" s="42">
        <v>17341</v>
      </c>
      <c r="C2208" s="34" t="s">
        <v>3197</v>
      </c>
    </row>
    <row r="2209" spans="1:3" ht="15.75" customHeight="1" x14ac:dyDescent="0.2">
      <c r="A2209" s="42">
        <v>2574</v>
      </c>
      <c r="B2209" s="42">
        <v>17341</v>
      </c>
      <c r="C2209" s="34" t="s">
        <v>3198</v>
      </c>
    </row>
    <row r="2210" spans="1:3" ht="15.75" customHeight="1" x14ac:dyDescent="0.2">
      <c r="A2210" s="42">
        <v>2575</v>
      </c>
      <c r="B2210" s="42">
        <v>17341</v>
      </c>
      <c r="C2210" s="34" t="s">
        <v>3199</v>
      </c>
    </row>
    <row r="2211" spans="1:3" ht="15.75" customHeight="1" x14ac:dyDescent="0.2">
      <c r="A2211" s="42">
        <v>2576</v>
      </c>
      <c r="B2211" s="42">
        <v>17341</v>
      </c>
      <c r="C2211" s="34" t="s">
        <v>3200</v>
      </c>
    </row>
    <row r="2212" spans="1:3" ht="15.75" customHeight="1" x14ac:dyDescent="0.2">
      <c r="A2212" s="42">
        <v>2577</v>
      </c>
      <c r="B2212" s="42">
        <v>17341</v>
      </c>
      <c r="C2212" s="34" t="s">
        <v>3201</v>
      </c>
    </row>
    <row r="2213" spans="1:3" ht="15.75" customHeight="1" x14ac:dyDescent="0.2">
      <c r="A2213" s="42">
        <v>2578</v>
      </c>
      <c r="B2213" s="42">
        <v>17341</v>
      </c>
      <c r="C2213" s="34" t="s">
        <v>3202</v>
      </c>
    </row>
    <row r="2214" spans="1:3" ht="15.75" customHeight="1" x14ac:dyDescent="0.2">
      <c r="A2214" s="42">
        <v>2579</v>
      </c>
      <c r="B2214" s="42">
        <v>17341</v>
      </c>
      <c r="C2214" s="34" t="s">
        <v>3203</v>
      </c>
    </row>
    <row r="2215" spans="1:3" ht="15.75" customHeight="1" x14ac:dyDescent="0.2">
      <c r="A2215" s="42">
        <v>2580</v>
      </c>
      <c r="B2215" s="42">
        <v>17341</v>
      </c>
      <c r="C2215" s="34" t="s">
        <v>3204</v>
      </c>
    </row>
    <row r="2216" spans="1:3" ht="15.75" customHeight="1" x14ac:dyDescent="0.2">
      <c r="A2216" s="42">
        <v>2581</v>
      </c>
      <c r="B2216" s="42">
        <v>17341</v>
      </c>
      <c r="C2216" s="34" t="s">
        <v>3205</v>
      </c>
    </row>
    <row r="2217" spans="1:3" ht="15.75" customHeight="1" x14ac:dyDescent="0.2">
      <c r="A2217" s="42">
        <v>2582</v>
      </c>
      <c r="B2217" s="42">
        <v>17341</v>
      </c>
      <c r="C2217" s="34" t="s">
        <v>3206</v>
      </c>
    </row>
    <row r="2218" spans="1:3" ht="15.75" customHeight="1" x14ac:dyDescent="0.2">
      <c r="A2218" s="42">
        <v>2583</v>
      </c>
      <c r="B2218" s="42">
        <v>17341</v>
      </c>
      <c r="C2218" s="34" t="s">
        <v>3207</v>
      </c>
    </row>
    <row r="2219" spans="1:3" ht="15.75" customHeight="1" x14ac:dyDescent="0.2">
      <c r="A2219" s="42">
        <v>2584</v>
      </c>
      <c r="B2219" s="42">
        <v>17341</v>
      </c>
      <c r="C2219" s="34" t="s">
        <v>3208</v>
      </c>
    </row>
    <row r="2220" spans="1:3" ht="15.75" customHeight="1" x14ac:dyDescent="0.2">
      <c r="A2220" s="42">
        <v>2585</v>
      </c>
      <c r="B2220" s="42">
        <v>17341</v>
      </c>
      <c r="C2220" s="34" t="s">
        <v>3209</v>
      </c>
    </row>
    <row r="2221" spans="1:3" ht="15.75" customHeight="1" x14ac:dyDescent="0.2">
      <c r="A2221" s="42">
        <v>2586</v>
      </c>
      <c r="B2221" s="42">
        <v>17341</v>
      </c>
      <c r="C2221" s="34" t="s">
        <v>3210</v>
      </c>
    </row>
    <row r="2222" spans="1:3" ht="15.75" customHeight="1" x14ac:dyDescent="0.2">
      <c r="A2222" s="42">
        <v>2587</v>
      </c>
      <c r="B2222" s="42">
        <v>17341</v>
      </c>
      <c r="C2222" s="34" t="s">
        <v>3211</v>
      </c>
    </row>
    <row r="2223" spans="1:3" ht="15.75" customHeight="1" x14ac:dyDescent="0.2">
      <c r="A2223" s="42">
        <v>2588</v>
      </c>
      <c r="B2223" s="42">
        <v>17341</v>
      </c>
      <c r="C2223" s="34" t="s">
        <v>3212</v>
      </c>
    </row>
    <row r="2224" spans="1:3" ht="15.75" customHeight="1" x14ac:dyDescent="0.2">
      <c r="A2224" s="42">
        <v>2589</v>
      </c>
      <c r="B2224" s="42">
        <v>17341</v>
      </c>
      <c r="C2224" s="34" t="s">
        <v>3213</v>
      </c>
    </row>
    <row r="2225" spans="1:3" ht="15.75" customHeight="1" x14ac:dyDescent="0.2">
      <c r="A2225" s="42">
        <v>2590</v>
      </c>
      <c r="B2225" s="42">
        <v>17341</v>
      </c>
      <c r="C2225" s="34" t="s">
        <v>3214</v>
      </c>
    </row>
    <row r="2226" spans="1:3" ht="15.75" customHeight="1" x14ac:dyDescent="0.2">
      <c r="A2226" s="42">
        <v>2591</v>
      </c>
      <c r="B2226" s="42">
        <v>17341</v>
      </c>
      <c r="C2226" s="34" t="s">
        <v>3215</v>
      </c>
    </row>
    <row r="2227" spans="1:3" ht="15.75" customHeight="1" x14ac:dyDescent="0.2">
      <c r="A2227" s="42">
        <v>2592</v>
      </c>
      <c r="B2227" s="42">
        <v>17341</v>
      </c>
      <c r="C2227" s="34" t="s">
        <v>3216</v>
      </c>
    </row>
    <row r="2228" spans="1:3" ht="15.75" customHeight="1" x14ac:dyDescent="0.2">
      <c r="A2228" s="42">
        <v>2593</v>
      </c>
      <c r="B2228" s="42">
        <v>17341</v>
      </c>
      <c r="C2228" s="34" t="s">
        <v>3217</v>
      </c>
    </row>
    <row r="2229" spans="1:3" ht="15.75" customHeight="1" x14ac:dyDescent="0.2">
      <c r="A2229" s="42">
        <v>2594</v>
      </c>
      <c r="B2229" s="42">
        <v>17341</v>
      </c>
      <c r="C2229" s="34" t="s">
        <v>3218</v>
      </c>
    </row>
    <row r="2230" spans="1:3" ht="15.75" customHeight="1" x14ac:dyDescent="0.2">
      <c r="A2230" s="42">
        <v>2595</v>
      </c>
      <c r="B2230" s="42">
        <v>17341</v>
      </c>
      <c r="C2230" s="34" t="s">
        <v>3219</v>
      </c>
    </row>
    <row r="2231" spans="1:3" ht="15.75" customHeight="1" x14ac:dyDescent="0.2">
      <c r="A2231" s="42">
        <v>2596</v>
      </c>
      <c r="B2231" s="42">
        <v>17341</v>
      </c>
      <c r="C2231" s="34" t="s">
        <v>3220</v>
      </c>
    </row>
    <row r="2232" spans="1:3" ht="15.75" customHeight="1" x14ac:dyDescent="0.2">
      <c r="A2232" s="42">
        <v>2597</v>
      </c>
      <c r="B2232" s="42">
        <v>17341</v>
      </c>
      <c r="C2232" s="34" t="s">
        <v>3221</v>
      </c>
    </row>
    <row r="2233" spans="1:3" ht="15.75" customHeight="1" x14ac:dyDescent="0.2">
      <c r="A2233" s="42">
        <v>2598</v>
      </c>
      <c r="B2233" s="42">
        <v>17341</v>
      </c>
      <c r="C2233" s="34" t="s">
        <v>3222</v>
      </c>
    </row>
    <row r="2234" spans="1:3" ht="15.75" customHeight="1" x14ac:dyDescent="0.2">
      <c r="A2234" s="42">
        <v>2599</v>
      </c>
      <c r="B2234" s="42">
        <v>17341</v>
      </c>
      <c r="C2234" s="34" t="s">
        <v>3223</v>
      </c>
    </row>
    <row r="2235" spans="1:3" ht="15.75" customHeight="1" x14ac:dyDescent="0.2">
      <c r="A2235" s="42">
        <v>2600</v>
      </c>
      <c r="B2235" s="42">
        <v>17341</v>
      </c>
      <c r="C2235" s="34" t="s">
        <v>3224</v>
      </c>
    </row>
    <row r="2236" spans="1:3" ht="15.75" customHeight="1" x14ac:dyDescent="0.2">
      <c r="A2236" s="42">
        <v>2601</v>
      </c>
      <c r="B2236" s="42">
        <v>17341</v>
      </c>
      <c r="C2236" s="34" t="s">
        <v>3225</v>
      </c>
    </row>
    <row r="2237" spans="1:3" ht="15.75" customHeight="1" x14ac:dyDescent="0.2">
      <c r="A2237" s="42">
        <v>2602</v>
      </c>
      <c r="B2237" s="42">
        <v>17341</v>
      </c>
      <c r="C2237" s="34" t="s">
        <v>3226</v>
      </c>
    </row>
    <row r="2238" spans="1:3" ht="15.75" customHeight="1" x14ac:dyDescent="0.2">
      <c r="A2238" s="42">
        <v>2603</v>
      </c>
      <c r="B2238" s="42">
        <v>17341</v>
      </c>
      <c r="C2238" s="34" t="s">
        <v>3227</v>
      </c>
    </row>
    <row r="2239" spans="1:3" ht="15.75" customHeight="1" x14ac:dyDescent="0.2">
      <c r="A2239" s="42">
        <v>2604</v>
      </c>
      <c r="B2239" s="42">
        <v>17341</v>
      </c>
      <c r="C2239" s="34" t="s">
        <v>3228</v>
      </c>
    </row>
    <row r="2240" spans="1:3" ht="15.75" customHeight="1" x14ac:dyDescent="0.2">
      <c r="A2240" s="42">
        <v>2605</v>
      </c>
      <c r="B2240" s="42">
        <v>17341</v>
      </c>
      <c r="C2240" s="34" t="s">
        <v>3229</v>
      </c>
    </row>
    <row r="2241" spans="1:3" ht="15.75" customHeight="1" x14ac:dyDescent="0.2">
      <c r="A2241" s="42">
        <v>2606</v>
      </c>
      <c r="B2241" s="42">
        <v>17341</v>
      </c>
      <c r="C2241" s="34" t="s">
        <v>3230</v>
      </c>
    </row>
    <row r="2242" spans="1:3" ht="15.75" customHeight="1" x14ac:dyDescent="0.2">
      <c r="A2242" s="42">
        <v>2607</v>
      </c>
      <c r="B2242" s="42">
        <v>17341</v>
      </c>
      <c r="C2242" s="34" t="s">
        <v>3231</v>
      </c>
    </row>
    <row r="2243" spans="1:3" ht="15.75" customHeight="1" x14ac:dyDescent="0.2">
      <c r="A2243" s="42">
        <v>2608</v>
      </c>
      <c r="B2243" s="42">
        <v>17341</v>
      </c>
      <c r="C2243" s="34" t="s">
        <v>3232</v>
      </c>
    </row>
    <row r="2244" spans="1:3" ht="15.75" customHeight="1" x14ac:dyDescent="0.2">
      <c r="A2244" s="42">
        <v>2609</v>
      </c>
      <c r="B2244" s="42">
        <v>17341</v>
      </c>
      <c r="C2244" s="34" t="s">
        <v>3233</v>
      </c>
    </row>
    <row r="2245" spans="1:3" ht="15.75" customHeight="1" x14ac:dyDescent="0.2">
      <c r="A2245" s="42">
        <v>2610</v>
      </c>
      <c r="B2245" s="42">
        <v>17341</v>
      </c>
      <c r="C2245" s="34" t="s">
        <v>3234</v>
      </c>
    </row>
    <row r="2246" spans="1:3" ht="15.75" customHeight="1" x14ac:dyDescent="0.2">
      <c r="A2246" s="42">
        <v>2611</v>
      </c>
      <c r="B2246" s="42">
        <v>17341</v>
      </c>
      <c r="C2246" s="34" t="s">
        <v>3235</v>
      </c>
    </row>
    <row r="2247" spans="1:3" ht="15.75" customHeight="1" x14ac:dyDescent="0.2">
      <c r="A2247" s="42">
        <v>2612</v>
      </c>
      <c r="B2247" s="42">
        <v>17341</v>
      </c>
      <c r="C2247" s="34" t="s">
        <v>3236</v>
      </c>
    </row>
    <row r="2248" spans="1:3" ht="15.75" customHeight="1" x14ac:dyDescent="0.2">
      <c r="A2248" s="42">
        <v>2613</v>
      </c>
      <c r="B2248" s="42">
        <v>17341</v>
      </c>
      <c r="C2248" s="34" t="s">
        <v>3237</v>
      </c>
    </row>
    <row r="2249" spans="1:3" ht="15.75" customHeight="1" x14ac:dyDescent="0.2">
      <c r="A2249" s="42">
        <v>2614</v>
      </c>
      <c r="B2249" s="42">
        <v>17341</v>
      </c>
      <c r="C2249" s="34" t="s">
        <v>3238</v>
      </c>
    </row>
    <row r="2250" spans="1:3" ht="15.75" customHeight="1" x14ac:dyDescent="0.2">
      <c r="A2250" s="42">
        <v>2615</v>
      </c>
      <c r="B2250" s="42">
        <v>17341</v>
      </c>
      <c r="C2250" s="34" t="s">
        <v>3239</v>
      </c>
    </row>
    <row r="2251" spans="1:3" ht="15.75" customHeight="1" x14ac:dyDescent="0.2">
      <c r="A2251" s="42">
        <v>2616</v>
      </c>
      <c r="B2251" s="42">
        <v>17341</v>
      </c>
      <c r="C2251" s="34" t="s">
        <v>3240</v>
      </c>
    </row>
    <row r="2252" spans="1:3" ht="15.75" customHeight="1" x14ac:dyDescent="0.2">
      <c r="A2252" s="42">
        <v>2617</v>
      </c>
      <c r="B2252" s="42">
        <v>17341</v>
      </c>
      <c r="C2252" s="34" t="s">
        <v>3241</v>
      </c>
    </row>
    <row r="2253" spans="1:3" ht="15.75" customHeight="1" x14ac:dyDescent="0.2">
      <c r="A2253" s="42">
        <v>2618</v>
      </c>
      <c r="B2253" s="42">
        <v>17341</v>
      </c>
      <c r="C2253" s="34" t="s">
        <v>3242</v>
      </c>
    </row>
    <row r="2254" spans="1:3" ht="15.75" customHeight="1" x14ac:dyDescent="0.2">
      <c r="A2254" s="42">
        <v>2619</v>
      </c>
      <c r="B2254" s="42">
        <v>17341</v>
      </c>
      <c r="C2254" s="34" t="s">
        <v>3243</v>
      </c>
    </row>
    <row r="2255" spans="1:3" ht="15.75" customHeight="1" x14ac:dyDescent="0.2">
      <c r="A2255" s="42">
        <v>2620</v>
      </c>
      <c r="B2255" s="42">
        <v>17341</v>
      </c>
      <c r="C2255" s="34" t="s">
        <v>3244</v>
      </c>
    </row>
    <row r="2256" spans="1:3" ht="15.75" customHeight="1" x14ac:dyDescent="0.2">
      <c r="A2256" s="42">
        <v>2621</v>
      </c>
      <c r="B2256" s="42">
        <v>17341</v>
      </c>
      <c r="C2256" s="34" t="s">
        <v>3170</v>
      </c>
    </row>
    <row r="2257" spans="1:3" ht="15.75" customHeight="1" x14ac:dyDescent="0.2">
      <c r="A2257" s="42">
        <v>2622</v>
      </c>
      <c r="B2257" s="42">
        <v>17341</v>
      </c>
      <c r="C2257" s="34" t="s">
        <v>3245</v>
      </c>
    </row>
    <row r="2258" spans="1:3" ht="15.75" customHeight="1" x14ac:dyDescent="0.2">
      <c r="A2258" s="42">
        <v>2623</v>
      </c>
      <c r="B2258" s="42">
        <v>17341</v>
      </c>
      <c r="C2258" s="34" t="s">
        <v>3246</v>
      </c>
    </row>
    <row r="2259" spans="1:3" ht="15.75" customHeight="1" x14ac:dyDescent="0.2">
      <c r="A2259" s="42">
        <v>2624</v>
      </c>
      <c r="B2259" s="42">
        <v>17341</v>
      </c>
      <c r="C2259" s="34" t="s">
        <v>3247</v>
      </c>
    </row>
    <row r="2260" spans="1:3" ht="15.75" customHeight="1" x14ac:dyDescent="0.2">
      <c r="A2260" s="42">
        <v>2625</v>
      </c>
      <c r="B2260" s="42">
        <v>17341</v>
      </c>
      <c r="C2260" s="34" t="s">
        <v>3248</v>
      </c>
    </row>
    <row r="2261" spans="1:3" ht="15.75" customHeight="1" x14ac:dyDescent="0.2">
      <c r="A2261" s="42">
        <v>2626</v>
      </c>
      <c r="B2261" s="42">
        <v>17341</v>
      </c>
      <c r="C2261" s="34" t="s">
        <v>3249</v>
      </c>
    </row>
    <row r="2262" spans="1:3" ht="15.75" customHeight="1" x14ac:dyDescent="0.2">
      <c r="A2262" s="42">
        <v>2627</v>
      </c>
      <c r="B2262" s="42">
        <v>17341</v>
      </c>
      <c r="C2262" s="34" t="s">
        <v>3250</v>
      </c>
    </row>
    <row r="2263" spans="1:3" ht="15.75" customHeight="1" x14ac:dyDescent="0.2">
      <c r="A2263" s="42">
        <v>2628</v>
      </c>
      <c r="B2263" s="42">
        <v>17341</v>
      </c>
      <c r="C2263" s="34" t="s">
        <v>3251</v>
      </c>
    </row>
    <row r="2264" spans="1:3" ht="15.75" customHeight="1" x14ac:dyDescent="0.2">
      <c r="A2264" s="42">
        <v>2629</v>
      </c>
      <c r="B2264" s="42">
        <v>17341</v>
      </c>
      <c r="C2264" s="34" t="s">
        <v>3252</v>
      </c>
    </row>
    <row r="2265" spans="1:3" ht="15.75" customHeight="1" x14ac:dyDescent="0.2">
      <c r="A2265" s="42">
        <v>2630</v>
      </c>
      <c r="B2265" s="42">
        <v>17341</v>
      </c>
      <c r="C2265" s="34" t="s">
        <v>3253</v>
      </c>
    </row>
    <row r="2266" spans="1:3" ht="15.75" customHeight="1" x14ac:dyDescent="0.2">
      <c r="A2266" s="42">
        <v>2631</v>
      </c>
      <c r="B2266" s="42">
        <v>17341</v>
      </c>
      <c r="C2266" s="34" t="s">
        <v>3254</v>
      </c>
    </row>
    <row r="2267" spans="1:3" ht="15.75" customHeight="1" x14ac:dyDescent="0.2">
      <c r="A2267" s="42">
        <v>2632</v>
      </c>
      <c r="B2267" s="42">
        <v>17341</v>
      </c>
      <c r="C2267" s="34" t="s">
        <v>3255</v>
      </c>
    </row>
    <row r="2268" spans="1:3" ht="15.75" customHeight="1" x14ac:dyDescent="0.2">
      <c r="A2268" s="42">
        <v>2633</v>
      </c>
      <c r="B2268" s="42">
        <v>17344</v>
      </c>
      <c r="C2268" s="34" t="s">
        <v>3256</v>
      </c>
    </row>
    <row r="2269" spans="1:3" ht="15.75" customHeight="1" x14ac:dyDescent="0.2">
      <c r="A2269" s="42">
        <v>2634</v>
      </c>
      <c r="B2269" s="42">
        <v>17344</v>
      </c>
      <c r="C2269" s="34" t="s">
        <v>3257</v>
      </c>
    </row>
    <row r="2270" spans="1:3" ht="15.75" customHeight="1" x14ac:dyDescent="0.2">
      <c r="A2270" s="42">
        <v>2635</v>
      </c>
      <c r="B2270" s="42">
        <v>17344</v>
      </c>
      <c r="C2270" s="34" t="s">
        <v>3258</v>
      </c>
    </row>
    <row r="2271" spans="1:3" ht="15.75" customHeight="1" x14ac:dyDescent="0.2">
      <c r="A2271" s="42">
        <v>2636</v>
      </c>
      <c r="B2271" s="42">
        <v>17344</v>
      </c>
      <c r="C2271" s="34" t="s">
        <v>3259</v>
      </c>
    </row>
    <row r="2272" spans="1:3" ht="15.75" customHeight="1" x14ac:dyDescent="0.2">
      <c r="A2272" s="42">
        <v>2637</v>
      </c>
      <c r="B2272" s="42">
        <v>17344</v>
      </c>
      <c r="C2272" s="34" t="s">
        <v>3260</v>
      </c>
    </row>
    <row r="2273" spans="1:3" ht="15.75" customHeight="1" x14ac:dyDescent="0.2">
      <c r="A2273" s="42">
        <v>2638</v>
      </c>
      <c r="B2273" s="42">
        <v>17344</v>
      </c>
      <c r="C2273" s="34" t="s">
        <v>3261</v>
      </c>
    </row>
    <row r="2274" spans="1:3" ht="15.75" customHeight="1" x14ac:dyDescent="0.2">
      <c r="A2274" s="42">
        <v>2639</v>
      </c>
      <c r="B2274" s="42">
        <v>17344</v>
      </c>
      <c r="C2274" s="34" t="s">
        <v>3262</v>
      </c>
    </row>
    <row r="2275" spans="1:3" ht="15.75" customHeight="1" x14ac:dyDescent="0.2">
      <c r="A2275" s="42">
        <v>2640</v>
      </c>
      <c r="B2275" s="42">
        <v>17344</v>
      </c>
      <c r="C2275" s="34" t="s">
        <v>3263</v>
      </c>
    </row>
    <row r="2276" spans="1:3" ht="15.75" customHeight="1" x14ac:dyDescent="0.2">
      <c r="A2276" s="42">
        <v>2641</v>
      </c>
      <c r="B2276" s="42">
        <v>17344</v>
      </c>
      <c r="C2276" s="34" t="s">
        <v>3264</v>
      </c>
    </row>
    <row r="2277" spans="1:3" ht="15.75" customHeight="1" x14ac:dyDescent="0.2">
      <c r="A2277" s="42">
        <v>2642</v>
      </c>
      <c r="B2277" s="42">
        <v>17344</v>
      </c>
      <c r="C2277" s="34" t="s">
        <v>3265</v>
      </c>
    </row>
    <row r="2278" spans="1:3" ht="15.75" customHeight="1" x14ac:dyDescent="0.2">
      <c r="A2278" s="42">
        <v>2643</v>
      </c>
      <c r="B2278" s="42">
        <v>17344</v>
      </c>
      <c r="C2278" s="34" t="s">
        <v>3266</v>
      </c>
    </row>
    <row r="2279" spans="1:3" ht="15.75" customHeight="1" x14ac:dyDescent="0.2">
      <c r="A2279" s="42">
        <v>2644</v>
      </c>
      <c r="B2279" s="42">
        <v>17344</v>
      </c>
      <c r="C2279" s="34" t="s">
        <v>3267</v>
      </c>
    </row>
    <row r="2280" spans="1:3" ht="15.75" customHeight="1" x14ac:dyDescent="0.2">
      <c r="A2280" s="42">
        <v>2645</v>
      </c>
      <c r="B2280" s="42">
        <v>17344</v>
      </c>
      <c r="C2280" s="34" t="s">
        <v>3268</v>
      </c>
    </row>
    <row r="2281" spans="1:3" ht="15.75" customHeight="1" x14ac:dyDescent="0.2">
      <c r="A2281" s="42">
        <v>2646</v>
      </c>
      <c r="B2281" s="42">
        <v>17344</v>
      </c>
      <c r="C2281" s="34" t="s">
        <v>3269</v>
      </c>
    </row>
    <row r="2282" spans="1:3" ht="15.75" customHeight="1" x14ac:dyDescent="0.2">
      <c r="A2282" s="42">
        <v>2647</v>
      </c>
      <c r="B2282" s="42">
        <v>17344</v>
      </c>
      <c r="C2282" s="34" t="s">
        <v>3270</v>
      </c>
    </row>
    <row r="2283" spans="1:3" ht="15.75" customHeight="1" x14ac:dyDescent="0.2">
      <c r="A2283" s="42">
        <v>2648</v>
      </c>
      <c r="B2283" s="42">
        <v>17344</v>
      </c>
      <c r="C2283" s="34" t="s">
        <v>3271</v>
      </c>
    </row>
    <row r="2284" spans="1:3" ht="15.75" customHeight="1" x14ac:dyDescent="0.2">
      <c r="A2284" s="42">
        <v>2649</v>
      </c>
      <c r="B2284" s="42">
        <v>17344</v>
      </c>
      <c r="C2284" s="34" t="s">
        <v>3272</v>
      </c>
    </row>
    <row r="2285" spans="1:3" ht="15.75" customHeight="1" x14ac:dyDescent="0.2">
      <c r="A2285" s="42">
        <v>2650</v>
      </c>
      <c r="B2285" s="42">
        <v>17344</v>
      </c>
      <c r="C2285" s="34" t="s">
        <v>3273</v>
      </c>
    </row>
    <row r="2286" spans="1:3" ht="15.75" customHeight="1" x14ac:dyDescent="0.2">
      <c r="A2286" s="42">
        <v>2651</v>
      </c>
      <c r="B2286" s="42">
        <v>17344</v>
      </c>
      <c r="C2286" s="34" t="s">
        <v>3274</v>
      </c>
    </row>
    <row r="2287" spans="1:3" ht="15.75" customHeight="1" x14ac:dyDescent="0.2">
      <c r="A2287" s="42">
        <v>2652</v>
      </c>
      <c r="B2287" s="42">
        <v>17344</v>
      </c>
      <c r="C2287" s="34" t="s">
        <v>3275</v>
      </c>
    </row>
    <row r="2288" spans="1:3" ht="15.75" customHeight="1" x14ac:dyDescent="0.2">
      <c r="A2288" s="42">
        <v>2653</v>
      </c>
      <c r="B2288" s="42">
        <v>17344</v>
      </c>
      <c r="C2288" s="34" t="s">
        <v>3276</v>
      </c>
    </row>
    <row r="2289" spans="1:3" ht="15.75" customHeight="1" x14ac:dyDescent="0.2">
      <c r="A2289" s="42">
        <v>2654</v>
      </c>
      <c r="B2289" s="42">
        <v>17344</v>
      </c>
      <c r="C2289" s="34" t="s">
        <v>3277</v>
      </c>
    </row>
    <row r="2290" spans="1:3" ht="15.75" customHeight="1" x14ac:dyDescent="0.2">
      <c r="A2290" s="42">
        <v>2655</v>
      </c>
      <c r="B2290" s="42">
        <v>17344</v>
      </c>
      <c r="C2290" s="34" t="s">
        <v>3278</v>
      </c>
    </row>
    <row r="2291" spans="1:3" ht="15.75" customHeight="1" x14ac:dyDescent="0.2">
      <c r="A2291" s="42">
        <v>2656</v>
      </c>
      <c r="B2291" s="42">
        <v>17344</v>
      </c>
      <c r="C2291" s="34" t="s">
        <v>3279</v>
      </c>
    </row>
    <row r="2292" spans="1:3" ht="15.75" customHeight="1" x14ac:dyDescent="0.2">
      <c r="A2292" s="42">
        <v>2657</v>
      </c>
      <c r="B2292" s="42">
        <v>17344</v>
      </c>
      <c r="C2292" s="34" t="s">
        <v>3280</v>
      </c>
    </row>
    <row r="2293" spans="1:3" ht="15.75" customHeight="1" x14ac:dyDescent="0.2">
      <c r="A2293" s="42">
        <v>2658</v>
      </c>
      <c r="B2293" s="42">
        <v>17344</v>
      </c>
      <c r="C2293" s="34" t="s">
        <v>3281</v>
      </c>
    </row>
    <row r="2294" spans="1:3" ht="15.75" customHeight="1" x14ac:dyDescent="0.2">
      <c r="A2294" s="42">
        <v>2659</v>
      </c>
      <c r="B2294" s="42">
        <v>17344</v>
      </c>
      <c r="C2294" s="34" t="s">
        <v>3281</v>
      </c>
    </row>
    <row r="2295" spans="1:3" ht="15.75" customHeight="1" x14ac:dyDescent="0.2">
      <c r="A2295" s="42">
        <v>2660</v>
      </c>
      <c r="B2295" s="42">
        <v>17344</v>
      </c>
      <c r="C2295" s="34" t="s">
        <v>3282</v>
      </c>
    </row>
    <row r="2296" spans="1:3" ht="15.75" customHeight="1" x14ac:dyDescent="0.2">
      <c r="A2296" s="42">
        <v>2661</v>
      </c>
      <c r="B2296" s="42">
        <v>17344</v>
      </c>
      <c r="C2296" s="34" t="s">
        <v>3283</v>
      </c>
    </row>
    <row r="2297" spans="1:3" ht="15.75" customHeight="1" x14ac:dyDescent="0.2">
      <c r="A2297" s="42">
        <v>2662</v>
      </c>
      <c r="B2297" s="42">
        <v>17344</v>
      </c>
      <c r="C2297" s="34" t="s">
        <v>3284</v>
      </c>
    </row>
    <row r="2298" spans="1:3" ht="15.75" customHeight="1" x14ac:dyDescent="0.2">
      <c r="A2298" s="42">
        <v>2663</v>
      </c>
      <c r="B2298" s="42">
        <v>17344</v>
      </c>
      <c r="C2298" s="34" t="s">
        <v>3285</v>
      </c>
    </row>
    <row r="2299" spans="1:3" ht="15.75" customHeight="1" x14ac:dyDescent="0.2">
      <c r="A2299" s="42">
        <v>2664</v>
      </c>
      <c r="B2299" s="42">
        <v>17344</v>
      </c>
      <c r="C2299" s="34" t="s">
        <v>3286</v>
      </c>
    </row>
    <row r="2300" spans="1:3" ht="15.75" customHeight="1" x14ac:dyDescent="0.2">
      <c r="A2300" s="42">
        <v>2665</v>
      </c>
      <c r="B2300" s="42">
        <v>17344</v>
      </c>
      <c r="C2300" s="34" t="s">
        <v>3287</v>
      </c>
    </row>
    <row r="2301" spans="1:3" ht="15.75" customHeight="1" x14ac:dyDescent="0.2">
      <c r="A2301" s="42">
        <v>2666</v>
      </c>
      <c r="B2301" s="42">
        <v>17344</v>
      </c>
      <c r="C2301" s="34" t="s">
        <v>3288</v>
      </c>
    </row>
    <row r="2302" spans="1:3" ht="15.75" customHeight="1" x14ac:dyDescent="0.2">
      <c r="A2302" s="42">
        <v>2667</v>
      </c>
      <c r="B2302" s="42">
        <v>17344</v>
      </c>
      <c r="C2302" s="34" t="s">
        <v>3274</v>
      </c>
    </row>
    <row r="2303" spans="1:3" ht="15.75" customHeight="1" x14ac:dyDescent="0.2">
      <c r="A2303" s="42">
        <v>2668</v>
      </c>
      <c r="B2303" s="42">
        <v>17344</v>
      </c>
      <c r="C2303" s="34" t="s">
        <v>3289</v>
      </c>
    </row>
    <row r="2304" spans="1:3" ht="15.75" customHeight="1" x14ac:dyDescent="0.2">
      <c r="A2304" s="42">
        <v>2669</v>
      </c>
      <c r="B2304" s="42">
        <v>17344</v>
      </c>
      <c r="C2304" s="34" t="s">
        <v>3290</v>
      </c>
    </row>
    <row r="2305" spans="1:3" ht="15.75" customHeight="1" x14ac:dyDescent="0.2">
      <c r="A2305" s="42">
        <v>2670</v>
      </c>
      <c r="B2305" s="42">
        <v>17344</v>
      </c>
      <c r="C2305" s="34" t="s">
        <v>3291</v>
      </c>
    </row>
    <row r="2306" spans="1:3" ht="15.75" customHeight="1" x14ac:dyDescent="0.2">
      <c r="A2306" s="42">
        <v>2671</v>
      </c>
      <c r="B2306" s="42">
        <v>17344</v>
      </c>
      <c r="C2306" s="34" t="s">
        <v>3292</v>
      </c>
    </row>
    <row r="2307" spans="1:3" ht="15.75" customHeight="1" x14ac:dyDescent="0.2">
      <c r="A2307" s="42">
        <v>2672</v>
      </c>
      <c r="B2307" s="42">
        <v>17344</v>
      </c>
      <c r="C2307" s="34" t="s">
        <v>3293</v>
      </c>
    </row>
    <row r="2308" spans="1:3" ht="15.75" customHeight="1" x14ac:dyDescent="0.2">
      <c r="A2308" s="42">
        <v>2673</v>
      </c>
      <c r="B2308" s="42">
        <v>17344</v>
      </c>
      <c r="C2308" s="34" t="s">
        <v>3294</v>
      </c>
    </row>
    <row r="2309" spans="1:3" ht="15.75" customHeight="1" x14ac:dyDescent="0.2">
      <c r="A2309" s="42">
        <v>2674</v>
      </c>
      <c r="B2309" s="42">
        <v>17344</v>
      </c>
      <c r="C2309" s="34" t="s">
        <v>3295</v>
      </c>
    </row>
    <row r="2310" spans="1:3" ht="15.75" customHeight="1" x14ac:dyDescent="0.2">
      <c r="A2310" s="42">
        <v>2675</v>
      </c>
      <c r="B2310" s="42">
        <v>17344</v>
      </c>
      <c r="C2310" s="34" t="s">
        <v>3296</v>
      </c>
    </row>
    <row r="2311" spans="1:3" ht="15.75" customHeight="1" x14ac:dyDescent="0.2">
      <c r="A2311" s="42">
        <v>2676</v>
      </c>
      <c r="B2311" s="42">
        <v>17344</v>
      </c>
      <c r="C2311" s="34" t="s">
        <v>3297</v>
      </c>
    </row>
    <row r="2312" spans="1:3" ht="15.75" customHeight="1" x14ac:dyDescent="0.2">
      <c r="A2312" s="42">
        <v>2677</v>
      </c>
      <c r="B2312" s="42">
        <v>17344</v>
      </c>
      <c r="C2312" s="34" t="s">
        <v>3298</v>
      </c>
    </row>
    <row r="2313" spans="1:3" ht="15.75" customHeight="1" x14ac:dyDescent="0.2">
      <c r="A2313" s="42">
        <v>2678</v>
      </c>
      <c r="B2313" s="42">
        <v>17344</v>
      </c>
      <c r="C2313" s="34" t="s">
        <v>3299</v>
      </c>
    </row>
    <row r="2314" spans="1:3" ht="15.75" customHeight="1" x14ac:dyDescent="0.2">
      <c r="A2314" s="42">
        <v>2679</v>
      </c>
      <c r="B2314" s="42">
        <v>17344</v>
      </c>
      <c r="C2314" s="34" t="s">
        <v>3300</v>
      </c>
    </row>
    <row r="2315" spans="1:3" ht="15.75" customHeight="1" x14ac:dyDescent="0.2">
      <c r="A2315" s="42">
        <v>2680</v>
      </c>
      <c r="B2315" s="42">
        <v>17344</v>
      </c>
      <c r="C2315" s="34" t="s">
        <v>3301</v>
      </c>
    </row>
    <row r="2316" spans="1:3" ht="15.75" customHeight="1" x14ac:dyDescent="0.2">
      <c r="A2316" s="42">
        <v>2681</v>
      </c>
      <c r="B2316" s="42">
        <v>17344</v>
      </c>
      <c r="C2316" s="34" t="s">
        <v>3302</v>
      </c>
    </row>
    <row r="2317" spans="1:3" ht="15.75" customHeight="1" x14ac:dyDescent="0.2">
      <c r="A2317" s="42">
        <v>2682</v>
      </c>
      <c r="B2317" s="42">
        <v>17344</v>
      </c>
      <c r="C2317" s="34" t="s">
        <v>3303</v>
      </c>
    </row>
    <row r="2318" spans="1:3" ht="15.75" customHeight="1" x14ac:dyDescent="0.2">
      <c r="A2318" s="42">
        <v>2683</v>
      </c>
      <c r="B2318" s="42">
        <v>17344</v>
      </c>
      <c r="C2318" s="34" t="s">
        <v>3304</v>
      </c>
    </row>
    <row r="2319" spans="1:3" ht="15.75" customHeight="1" x14ac:dyDescent="0.2">
      <c r="A2319" s="42">
        <v>2684</v>
      </c>
      <c r="B2319" s="42">
        <v>17344</v>
      </c>
      <c r="C2319" s="34" t="s">
        <v>3305</v>
      </c>
    </row>
    <row r="2320" spans="1:3" ht="15.75" customHeight="1" x14ac:dyDescent="0.2">
      <c r="A2320" s="42">
        <v>2685</v>
      </c>
      <c r="B2320" s="42">
        <v>17344</v>
      </c>
      <c r="C2320" s="34" t="s">
        <v>3306</v>
      </c>
    </row>
    <row r="2321" spans="1:3" ht="15.75" customHeight="1" x14ac:dyDescent="0.2">
      <c r="A2321" s="42">
        <v>2686</v>
      </c>
      <c r="B2321" s="42">
        <v>17344</v>
      </c>
      <c r="C2321" s="34" t="s">
        <v>3307</v>
      </c>
    </row>
    <row r="2322" spans="1:3" ht="15.75" customHeight="1" x14ac:dyDescent="0.2">
      <c r="A2322" s="42">
        <v>2687</v>
      </c>
      <c r="B2322" s="42">
        <v>17344</v>
      </c>
      <c r="C2322" s="34" t="s">
        <v>3308</v>
      </c>
    </row>
    <row r="2323" spans="1:3" ht="15.75" customHeight="1" x14ac:dyDescent="0.2">
      <c r="A2323" s="42">
        <v>2688</v>
      </c>
      <c r="B2323" s="42">
        <v>17344</v>
      </c>
      <c r="C2323" s="34" t="s">
        <v>3309</v>
      </c>
    </row>
    <row r="2324" spans="1:3" ht="15.75" customHeight="1" x14ac:dyDescent="0.2">
      <c r="A2324" s="42">
        <v>2689</v>
      </c>
      <c r="B2324" s="42">
        <v>17344</v>
      </c>
      <c r="C2324" s="34" t="s">
        <v>3310</v>
      </c>
    </row>
    <row r="2325" spans="1:3" ht="15.75" customHeight="1" x14ac:dyDescent="0.2">
      <c r="A2325" s="42">
        <v>2690</v>
      </c>
      <c r="B2325" s="42">
        <v>17344</v>
      </c>
      <c r="C2325" s="34" t="s">
        <v>3311</v>
      </c>
    </row>
    <row r="2326" spans="1:3" ht="15.75" customHeight="1" x14ac:dyDescent="0.2">
      <c r="A2326" s="42">
        <v>2691</v>
      </c>
      <c r="B2326" s="42">
        <v>17344</v>
      </c>
      <c r="C2326" s="34" t="s">
        <v>3312</v>
      </c>
    </row>
    <row r="2327" spans="1:3" ht="15.75" customHeight="1" x14ac:dyDescent="0.2">
      <c r="A2327" s="42">
        <v>2692</v>
      </c>
      <c r="B2327" s="42">
        <v>17344</v>
      </c>
      <c r="C2327" s="34" t="s">
        <v>3313</v>
      </c>
    </row>
    <row r="2328" spans="1:3" ht="15.75" customHeight="1" x14ac:dyDescent="0.2">
      <c r="A2328" s="42">
        <v>2693</v>
      </c>
      <c r="B2328" s="42">
        <v>17344</v>
      </c>
      <c r="C2328" s="34" t="s">
        <v>3314</v>
      </c>
    </row>
    <row r="2329" spans="1:3" ht="15.75" customHeight="1" x14ac:dyDescent="0.2">
      <c r="A2329" s="42">
        <v>2694</v>
      </c>
      <c r="B2329" s="42">
        <v>17344</v>
      </c>
      <c r="C2329" s="34" t="s">
        <v>3315</v>
      </c>
    </row>
    <row r="2330" spans="1:3" ht="15.75" customHeight="1" x14ac:dyDescent="0.2">
      <c r="A2330" s="42">
        <v>2695</v>
      </c>
      <c r="B2330" s="42">
        <v>17344</v>
      </c>
      <c r="C2330" s="34" t="s">
        <v>3316</v>
      </c>
    </row>
    <row r="2331" spans="1:3" ht="15.75" customHeight="1" x14ac:dyDescent="0.2">
      <c r="A2331" s="42">
        <v>2696</v>
      </c>
      <c r="B2331" s="42">
        <v>17344</v>
      </c>
      <c r="C2331" s="34" t="s">
        <v>3257</v>
      </c>
    </row>
    <row r="2332" spans="1:3" ht="15.75" customHeight="1" x14ac:dyDescent="0.2">
      <c r="A2332" s="42">
        <v>2697</v>
      </c>
      <c r="B2332" s="42">
        <v>17344</v>
      </c>
      <c r="C2332" s="34" t="s">
        <v>3317</v>
      </c>
    </row>
    <row r="2333" spans="1:3" ht="15.75" customHeight="1" x14ac:dyDescent="0.2">
      <c r="A2333" s="42">
        <v>2698</v>
      </c>
      <c r="B2333" s="42">
        <v>17344</v>
      </c>
      <c r="C2333" s="34" t="s">
        <v>3318</v>
      </c>
    </row>
    <row r="2334" spans="1:3" ht="15.75" customHeight="1" x14ac:dyDescent="0.2">
      <c r="A2334" s="42">
        <v>2699</v>
      </c>
      <c r="B2334" s="42">
        <v>17344</v>
      </c>
      <c r="C2334" s="34" t="s">
        <v>3319</v>
      </c>
    </row>
    <row r="2335" spans="1:3" ht="15.75" customHeight="1" x14ac:dyDescent="0.2">
      <c r="A2335" s="42">
        <v>2700</v>
      </c>
      <c r="B2335" s="42">
        <v>17344</v>
      </c>
      <c r="C2335" s="34" t="s">
        <v>3320</v>
      </c>
    </row>
    <row r="2336" spans="1:3" ht="15.75" customHeight="1" x14ac:dyDescent="0.2">
      <c r="A2336" s="42">
        <v>2701</v>
      </c>
      <c r="B2336" s="42">
        <v>17344</v>
      </c>
      <c r="C2336" s="34" t="s">
        <v>3321</v>
      </c>
    </row>
    <row r="2337" spans="1:3" ht="15.75" customHeight="1" x14ac:dyDescent="0.2">
      <c r="A2337" s="42">
        <v>2702</v>
      </c>
      <c r="B2337" s="42">
        <v>17344</v>
      </c>
      <c r="C2337" s="34" t="s">
        <v>3322</v>
      </c>
    </row>
    <row r="2338" spans="1:3" ht="15.75" customHeight="1" x14ac:dyDescent="0.2">
      <c r="A2338" s="42">
        <v>2703</v>
      </c>
      <c r="B2338" s="42">
        <v>17344</v>
      </c>
      <c r="C2338" s="34" t="s">
        <v>3318</v>
      </c>
    </row>
    <row r="2339" spans="1:3" ht="15.75" customHeight="1" x14ac:dyDescent="0.2">
      <c r="A2339" s="42">
        <v>2704</v>
      </c>
      <c r="B2339" s="42">
        <v>17344</v>
      </c>
      <c r="C2339" s="34" t="s">
        <v>3323</v>
      </c>
    </row>
    <row r="2340" spans="1:3" ht="15.75" customHeight="1" x14ac:dyDescent="0.2">
      <c r="A2340" s="42">
        <v>2705</v>
      </c>
      <c r="B2340" s="42">
        <v>17344</v>
      </c>
      <c r="C2340" s="34" t="s">
        <v>3324</v>
      </c>
    </row>
    <row r="2341" spans="1:3" ht="15.75" customHeight="1" x14ac:dyDescent="0.2">
      <c r="A2341" s="42">
        <v>2706</v>
      </c>
      <c r="B2341" s="42">
        <v>17344</v>
      </c>
      <c r="C2341" s="34" t="s">
        <v>3325</v>
      </c>
    </row>
    <row r="2342" spans="1:3" ht="15.75" customHeight="1" x14ac:dyDescent="0.2">
      <c r="A2342" s="42">
        <v>2707</v>
      </c>
      <c r="B2342" s="42">
        <v>17344</v>
      </c>
      <c r="C2342" s="34" t="s">
        <v>3326</v>
      </c>
    </row>
    <row r="2343" spans="1:3" ht="15.75" customHeight="1" x14ac:dyDescent="0.2">
      <c r="A2343" s="42">
        <v>2708</v>
      </c>
      <c r="B2343" s="42">
        <v>17344</v>
      </c>
      <c r="C2343" s="34" t="s">
        <v>3327</v>
      </c>
    </row>
    <row r="2344" spans="1:3" ht="15.75" customHeight="1" x14ac:dyDescent="0.2">
      <c r="A2344" s="42">
        <v>2709</v>
      </c>
      <c r="B2344" s="42">
        <v>17344</v>
      </c>
      <c r="C2344" s="34" t="s">
        <v>3328</v>
      </c>
    </row>
    <row r="2345" spans="1:3" ht="15.75" customHeight="1" x14ac:dyDescent="0.2">
      <c r="A2345" s="42">
        <v>2710</v>
      </c>
      <c r="B2345" s="42">
        <v>17344</v>
      </c>
      <c r="C2345" s="34" t="s">
        <v>3329</v>
      </c>
    </row>
    <row r="2346" spans="1:3" ht="15.75" customHeight="1" x14ac:dyDescent="0.2">
      <c r="A2346" s="42">
        <v>2711</v>
      </c>
      <c r="B2346" s="42">
        <v>17344</v>
      </c>
      <c r="C2346" s="34" t="s">
        <v>3330</v>
      </c>
    </row>
    <row r="2347" spans="1:3" ht="15.75" customHeight="1" x14ac:dyDescent="0.2">
      <c r="A2347" s="42">
        <v>2712</v>
      </c>
      <c r="B2347" s="42">
        <v>17344</v>
      </c>
      <c r="C2347" s="34" t="s">
        <v>3306</v>
      </c>
    </row>
    <row r="2348" spans="1:3" ht="15.75" customHeight="1" x14ac:dyDescent="0.2">
      <c r="A2348" s="42">
        <v>2713</v>
      </c>
      <c r="B2348" s="42">
        <v>17344</v>
      </c>
      <c r="C2348" s="34" t="s">
        <v>3331</v>
      </c>
    </row>
    <row r="2349" spans="1:3" ht="15.75" customHeight="1" x14ac:dyDescent="0.2">
      <c r="A2349" s="42">
        <v>2714</v>
      </c>
      <c r="B2349" s="42">
        <v>17344</v>
      </c>
      <c r="C2349" s="34" t="s">
        <v>3332</v>
      </c>
    </row>
    <row r="2350" spans="1:3" ht="15.75" customHeight="1" x14ac:dyDescent="0.2">
      <c r="A2350" s="42">
        <v>2715</v>
      </c>
      <c r="B2350" s="42">
        <v>17344</v>
      </c>
      <c r="C2350" s="34" t="s">
        <v>3333</v>
      </c>
    </row>
    <row r="2351" spans="1:3" ht="15.75" customHeight="1" x14ac:dyDescent="0.2">
      <c r="A2351" s="42">
        <v>2716</v>
      </c>
      <c r="B2351" s="42">
        <v>17344</v>
      </c>
      <c r="C2351" s="34" t="s">
        <v>3334</v>
      </c>
    </row>
    <row r="2352" spans="1:3" ht="15.75" customHeight="1" x14ac:dyDescent="0.2">
      <c r="A2352" s="42">
        <v>2717</v>
      </c>
      <c r="B2352" s="42">
        <v>17344</v>
      </c>
      <c r="C2352" s="34" t="s">
        <v>3335</v>
      </c>
    </row>
    <row r="2353" spans="1:3" ht="15.75" customHeight="1" x14ac:dyDescent="0.2">
      <c r="A2353" s="42">
        <v>2718</v>
      </c>
      <c r="B2353" s="42">
        <v>17344</v>
      </c>
      <c r="C2353" s="34" t="s">
        <v>3257</v>
      </c>
    </row>
    <row r="2354" spans="1:3" ht="15.75" customHeight="1" x14ac:dyDescent="0.2">
      <c r="A2354" s="42">
        <v>2719</v>
      </c>
      <c r="B2354" s="42">
        <v>17345</v>
      </c>
      <c r="C2354" s="34" t="s">
        <v>3336</v>
      </c>
    </row>
    <row r="2355" spans="1:3" ht="15.75" customHeight="1" x14ac:dyDescent="0.2">
      <c r="A2355" s="42">
        <v>2720</v>
      </c>
      <c r="B2355" s="42">
        <v>17345</v>
      </c>
      <c r="C2355" s="34" t="s">
        <v>3337</v>
      </c>
    </row>
    <row r="2356" spans="1:3" ht="15.75" customHeight="1" x14ac:dyDescent="0.2">
      <c r="A2356" s="42">
        <v>2721</v>
      </c>
      <c r="B2356" s="42">
        <v>17345</v>
      </c>
      <c r="C2356" s="34" t="s">
        <v>3338</v>
      </c>
    </row>
    <row r="2357" spans="1:3" ht="15.75" customHeight="1" x14ac:dyDescent="0.2">
      <c r="A2357" s="42">
        <v>2722</v>
      </c>
      <c r="B2357" s="42">
        <v>17345</v>
      </c>
      <c r="C2357" s="34" t="s">
        <v>3339</v>
      </c>
    </row>
    <row r="2358" spans="1:3" ht="15.75" customHeight="1" x14ac:dyDescent="0.2">
      <c r="A2358" s="42">
        <v>2723</v>
      </c>
      <c r="B2358" s="42">
        <v>17345</v>
      </c>
      <c r="C2358" s="34" t="s">
        <v>3340</v>
      </c>
    </row>
    <row r="2359" spans="1:3" ht="15.75" customHeight="1" x14ac:dyDescent="0.2">
      <c r="A2359" s="42">
        <v>2724</v>
      </c>
      <c r="B2359" s="42">
        <v>17345</v>
      </c>
      <c r="C2359" s="34" t="s">
        <v>3341</v>
      </c>
    </row>
    <row r="2360" spans="1:3" ht="15.75" customHeight="1" x14ac:dyDescent="0.2">
      <c r="A2360" s="42">
        <v>2725</v>
      </c>
      <c r="B2360" s="42">
        <v>17345</v>
      </c>
      <c r="C2360" s="34" t="s">
        <v>3342</v>
      </c>
    </row>
    <row r="2361" spans="1:3" ht="15.75" customHeight="1" x14ac:dyDescent="0.2">
      <c r="A2361" s="42">
        <v>2726</v>
      </c>
      <c r="B2361" s="42">
        <v>17345</v>
      </c>
      <c r="C2361" s="34" t="s">
        <v>3343</v>
      </c>
    </row>
    <row r="2362" spans="1:3" ht="15.75" customHeight="1" x14ac:dyDescent="0.2">
      <c r="A2362" s="42">
        <v>2727</v>
      </c>
      <c r="B2362" s="42">
        <v>17345</v>
      </c>
      <c r="C2362" s="34" t="s">
        <v>3344</v>
      </c>
    </row>
    <row r="2363" spans="1:3" ht="15.75" customHeight="1" x14ac:dyDescent="0.2">
      <c r="A2363" s="42">
        <v>2728</v>
      </c>
      <c r="B2363" s="42">
        <v>17345</v>
      </c>
      <c r="C2363" s="34" t="s">
        <v>3345</v>
      </c>
    </row>
    <row r="2364" spans="1:3" ht="15.75" customHeight="1" x14ac:dyDescent="0.2">
      <c r="A2364" s="42">
        <v>2729</v>
      </c>
      <c r="B2364" s="42">
        <v>17345</v>
      </c>
      <c r="C2364" s="34" t="s">
        <v>3346</v>
      </c>
    </row>
    <row r="2365" spans="1:3" ht="15.75" customHeight="1" x14ac:dyDescent="0.2">
      <c r="A2365" s="42">
        <v>2730</v>
      </c>
      <c r="B2365" s="42">
        <v>17345</v>
      </c>
      <c r="C2365" s="34" t="s">
        <v>3347</v>
      </c>
    </row>
    <row r="2366" spans="1:3" ht="15.75" customHeight="1" x14ac:dyDescent="0.2">
      <c r="A2366" s="42">
        <v>2731</v>
      </c>
      <c r="B2366" s="42">
        <v>17345</v>
      </c>
      <c r="C2366" s="34" t="s">
        <v>3348</v>
      </c>
    </row>
    <row r="2367" spans="1:3" ht="15.75" customHeight="1" x14ac:dyDescent="0.2">
      <c r="A2367" s="42">
        <v>2732</v>
      </c>
      <c r="B2367" s="42">
        <v>17345</v>
      </c>
      <c r="C2367" s="34" t="s">
        <v>3349</v>
      </c>
    </row>
    <row r="2368" spans="1:3" ht="15.75" customHeight="1" x14ac:dyDescent="0.2">
      <c r="A2368" s="42">
        <v>2733</v>
      </c>
      <c r="B2368" s="42">
        <v>17345</v>
      </c>
      <c r="C2368" s="34" t="s">
        <v>3350</v>
      </c>
    </row>
    <row r="2369" spans="1:3" ht="15.75" customHeight="1" x14ac:dyDescent="0.2">
      <c r="A2369" s="42">
        <v>2734</v>
      </c>
      <c r="B2369" s="42">
        <v>17345</v>
      </c>
      <c r="C2369" s="34" t="s">
        <v>3351</v>
      </c>
    </row>
    <row r="2370" spans="1:3" ht="15.75" customHeight="1" x14ac:dyDescent="0.2">
      <c r="A2370" s="42">
        <v>2735</v>
      </c>
      <c r="B2370" s="42">
        <v>17345</v>
      </c>
      <c r="C2370" s="34" t="s">
        <v>3339</v>
      </c>
    </row>
    <row r="2371" spans="1:3" ht="15.75" customHeight="1" x14ac:dyDescent="0.2">
      <c r="A2371" s="42">
        <v>2736</v>
      </c>
      <c r="B2371" s="42">
        <v>17345</v>
      </c>
      <c r="C2371" s="34" t="s">
        <v>3352</v>
      </c>
    </row>
    <row r="2372" spans="1:3" ht="15.75" customHeight="1" x14ac:dyDescent="0.2">
      <c r="A2372" s="42">
        <v>2737</v>
      </c>
      <c r="B2372" s="42">
        <v>17345</v>
      </c>
      <c r="C2372" s="34" t="s">
        <v>3353</v>
      </c>
    </row>
    <row r="2373" spans="1:3" ht="15.75" customHeight="1" x14ac:dyDescent="0.2">
      <c r="A2373" s="42">
        <v>2738</v>
      </c>
      <c r="B2373" s="42">
        <v>17345</v>
      </c>
      <c r="C2373" s="34" t="s">
        <v>3354</v>
      </c>
    </row>
    <row r="2374" spans="1:3" ht="15.75" customHeight="1" x14ac:dyDescent="0.2">
      <c r="A2374" s="42">
        <v>2739</v>
      </c>
      <c r="B2374" s="42">
        <v>17345</v>
      </c>
      <c r="C2374" s="34" t="s">
        <v>3355</v>
      </c>
    </row>
    <row r="2375" spans="1:3" ht="15.75" customHeight="1" x14ac:dyDescent="0.2">
      <c r="A2375" s="42">
        <v>2740</v>
      </c>
      <c r="B2375" s="42">
        <v>17345</v>
      </c>
      <c r="C2375" s="34" t="s">
        <v>3336</v>
      </c>
    </row>
    <row r="2376" spans="1:3" ht="15.75" customHeight="1" x14ac:dyDescent="0.2">
      <c r="A2376" s="42">
        <v>2741</v>
      </c>
      <c r="B2376" s="42">
        <v>17345</v>
      </c>
      <c r="C2376" s="34" t="s">
        <v>3356</v>
      </c>
    </row>
    <row r="2377" spans="1:3" ht="15.75" customHeight="1" x14ac:dyDescent="0.2">
      <c r="A2377" s="42">
        <v>2742</v>
      </c>
      <c r="B2377" s="42">
        <v>17345</v>
      </c>
      <c r="C2377" s="34" t="s">
        <v>3357</v>
      </c>
    </row>
    <row r="2378" spans="1:3" ht="15.75" customHeight="1" x14ac:dyDescent="0.2">
      <c r="A2378" s="42">
        <v>2743</v>
      </c>
      <c r="B2378" s="42">
        <v>17345</v>
      </c>
      <c r="C2378" s="34" t="s">
        <v>3353</v>
      </c>
    </row>
    <row r="2379" spans="1:3" ht="15.75" customHeight="1" x14ac:dyDescent="0.2">
      <c r="A2379" s="42">
        <v>2744</v>
      </c>
      <c r="B2379" s="42">
        <v>17345</v>
      </c>
      <c r="C2379" s="34" t="s">
        <v>3358</v>
      </c>
    </row>
    <row r="2380" spans="1:3" ht="15.75" customHeight="1" x14ac:dyDescent="0.2">
      <c r="A2380" s="42">
        <v>2745</v>
      </c>
      <c r="B2380" s="42">
        <v>17345</v>
      </c>
      <c r="C2380" s="34" t="s">
        <v>3359</v>
      </c>
    </row>
    <row r="2381" spans="1:3" ht="15.75" customHeight="1" x14ac:dyDescent="0.2">
      <c r="A2381" s="42">
        <v>2746</v>
      </c>
      <c r="B2381" s="42">
        <v>17345</v>
      </c>
      <c r="C2381" s="34" t="s">
        <v>3360</v>
      </c>
    </row>
    <row r="2382" spans="1:3" ht="15.75" customHeight="1" x14ac:dyDescent="0.2">
      <c r="A2382" s="42">
        <v>2747</v>
      </c>
      <c r="B2382" s="42">
        <v>17345</v>
      </c>
      <c r="C2382" s="34" t="s">
        <v>3361</v>
      </c>
    </row>
    <row r="2383" spans="1:3" ht="15.75" customHeight="1" x14ac:dyDescent="0.2">
      <c r="A2383" s="42">
        <v>2748</v>
      </c>
      <c r="B2383" s="42">
        <v>17345</v>
      </c>
      <c r="C2383" s="34" t="s">
        <v>3362</v>
      </c>
    </row>
    <row r="2384" spans="1:3" ht="15.75" customHeight="1" x14ac:dyDescent="0.2">
      <c r="A2384" s="42">
        <v>2749</v>
      </c>
      <c r="B2384" s="42">
        <v>17345</v>
      </c>
      <c r="C2384" s="34" t="s">
        <v>3363</v>
      </c>
    </row>
    <row r="2385" spans="1:3" ht="15.75" customHeight="1" x14ac:dyDescent="0.2">
      <c r="A2385" s="42">
        <v>2750</v>
      </c>
      <c r="B2385" s="42">
        <v>17345</v>
      </c>
      <c r="C2385" s="34" t="s">
        <v>3340</v>
      </c>
    </row>
    <row r="2386" spans="1:3" ht="15.75" customHeight="1" x14ac:dyDescent="0.2">
      <c r="A2386" s="42">
        <v>2751</v>
      </c>
      <c r="B2386" s="42">
        <v>17345</v>
      </c>
      <c r="C2386" s="34" t="s">
        <v>3364</v>
      </c>
    </row>
    <row r="2387" spans="1:3" ht="15.75" customHeight="1" x14ac:dyDescent="0.2">
      <c r="A2387" s="42">
        <v>2752</v>
      </c>
      <c r="B2387" s="42">
        <v>17345</v>
      </c>
      <c r="C2387" s="34" t="s">
        <v>3365</v>
      </c>
    </row>
    <row r="2388" spans="1:3" ht="15.75" customHeight="1" x14ac:dyDescent="0.2">
      <c r="A2388" s="42">
        <v>2753</v>
      </c>
      <c r="B2388" s="42">
        <v>17345</v>
      </c>
      <c r="C2388" s="34" t="s">
        <v>3366</v>
      </c>
    </row>
    <row r="2389" spans="1:3" ht="15.75" customHeight="1" x14ac:dyDescent="0.2">
      <c r="A2389" s="42">
        <v>2754</v>
      </c>
      <c r="B2389" s="42">
        <v>17345</v>
      </c>
      <c r="C2389" s="34" t="s">
        <v>3367</v>
      </c>
    </row>
    <row r="2390" spans="1:3" ht="15.75" customHeight="1" x14ac:dyDescent="0.2">
      <c r="A2390" s="42">
        <v>2755</v>
      </c>
      <c r="B2390" s="42">
        <v>17345</v>
      </c>
      <c r="C2390" s="34" t="s">
        <v>3368</v>
      </c>
    </row>
    <row r="2391" spans="1:3" ht="15.75" customHeight="1" x14ac:dyDescent="0.2">
      <c r="A2391" s="42">
        <v>2756</v>
      </c>
      <c r="B2391" s="42">
        <v>17345</v>
      </c>
      <c r="C2391" s="34" t="s">
        <v>3369</v>
      </c>
    </row>
    <row r="2392" spans="1:3" ht="15.75" customHeight="1" x14ac:dyDescent="0.2">
      <c r="A2392" s="42">
        <v>2757</v>
      </c>
      <c r="B2392" s="42">
        <v>17345</v>
      </c>
      <c r="C2392" s="34" t="s">
        <v>3370</v>
      </c>
    </row>
    <row r="2393" spans="1:3" ht="15.75" customHeight="1" x14ac:dyDescent="0.2">
      <c r="A2393" s="42">
        <v>2758</v>
      </c>
      <c r="B2393" s="42">
        <v>17345</v>
      </c>
      <c r="C2393" s="34" t="s">
        <v>3371</v>
      </c>
    </row>
    <row r="2394" spans="1:3" ht="15.75" customHeight="1" x14ac:dyDescent="0.2">
      <c r="A2394" s="42">
        <v>2759</v>
      </c>
      <c r="B2394" s="42">
        <v>17345</v>
      </c>
      <c r="C2394" s="34" t="s">
        <v>3372</v>
      </c>
    </row>
    <row r="2395" spans="1:3" ht="15.75" customHeight="1" x14ac:dyDescent="0.2">
      <c r="A2395" s="42">
        <v>2760</v>
      </c>
      <c r="B2395" s="42">
        <v>17345</v>
      </c>
      <c r="C2395" s="34" t="s">
        <v>3373</v>
      </c>
    </row>
    <row r="2396" spans="1:3" ht="15.75" customHeight="1" x14ac:dyDescent="0.2">
      <c r="A2396" s="42">
        <v>2761</v>
      </c>
      <c r="B2396" s="42">
        <v>17345</v>
      </c>
      <c r="C2396" s="34" t="s">
        <v>3374</v>
      </c>
    </row>
    <row r="2397" spans="1:3" ht="15.75" customHeight="1" x14ac:dyDescent="0.2">
      <c r="A2397" s="42">
        <v>2762</v>
      </c>
      <c r="B2397" s="42">
        <v>17345</v>
      </c>
      <c r="C2397" s="34" t="s">
        <v>3375</v>
      </c>
    </row>
    <row r="2398" spans="1:3" ht="15.75" customHeight="1" x14ac:dyDescent="0.2">
      <c r="A2398" s="42">
        <v>2763</v>
      </c>
      <c r="B2398" s="42">
        <v>17345</v>
      </c>
      <c r="C2398" s="34" t="s">
        <v>3376</v>
      </c>
    </row>
    <row r="2399" spans="1:3" ht="15.75" customHeight="1" x14ac:dyDescent="0.2">
      <c r="A2399" s="42">
        <v>2764</v>
      </c>
      <c r="B2399" s="42">
        <v>17345</v>
      </c>
      <c r="C2399" s="34" t="s">
        <v>3377</v>
      </c>
    </row>
    <row r="2400" spans="1:3" ht="15.75" customHeight="1" x14ac:dyDescent="0.2">
      <c r="A2400" s="42">
        <v>2765</v>
      </c>
      <c r="B2400" s="42">
        <v>17345</v>
      </c>
      <c r="C2400" s="34" t="s">
        <v>3378</v>
      </c>
    </row>
    <row r="2401" spans="1:3" ht="15.75" customHeight="1" x14ac:dyDescent="0.2">
      <c r="A2401" s="42">
        <v>2766</v>
      </c>
      <c r="B2401" s="42">
        <v>17345</v>
      </c>
      <c r="C2401" s="34" t="s">
        <v>3379</v>
      </c>
    </row>
    <row r="2402" spans="1:3" ht="15.75" customHeight="1" x14ac:dyDescent="0.2">
      <c r="A2402" s="42">
        <v>2767</v>
      </c>
      <c r="B2402" s="42">
        <v>17345</v>
      </c>
      <c r="C2402" s="34" t="s">
        <v>3380</v>
      </c>
    </row>
    <row r="2403" spans="1:3" ht="15.75" customHeight="1" x14ac:dyDescent="0.2">
      <c r="A2403" s="42">
        <v>2768</v>
      </c>
      <c r="B2403" s="42">
        <v>17345</v>
      </c>
      <c r="C2403" s="34" t="s">
        <v>3381</v>
      </c>
    </row>
    <row r="2404" spans="1:3" ht="15.75" customHeight="1" x14ac:dyDescent="0.2">
      <c r="A2404" s="42">
        <v>2769</v>
      </c>
      <c r="B2404" s="42">
        <v>17345</v>
      </c>
      <c r="C2404" s="34" t="s">
        <v>3339</v>
      </c>
    </row>
    <row r="2405" spans="1:3" ht="15.75" customHeight="1" x14ac:dyDescent="0.2">
      <c r="A2405" s="42">
        <v>2770</v>
      </c>
      <c r="B2405" s="42">
        <v>17345</v>
      </c>
      <c r="C2405" s="34" t="s">
        <v>3382</v>
      </c>
    </row>
    <row r="2406" spans="1:3" ht="15.75" customHeight="1" x14ac:dyDescent="0.2">
      <c r="A2406" s="42">
        <v>2771</v>
      </c>
      <c r="B2406" s="42">
        <v>17345</v>
      </c>
      <c r="C2406" s="34" t="s">
        <v>3383</v>
      </c>
    </row>
    <row r="2407" spans="1:3" ht="15.75" customHeight="1" x14ac:dyDescent="0.2">
      <c r="A2407" s="42">
        <v>2772</v>
      </c>
      <c r="B2407" s="42">
        <v>17345</v>
      </c>
      <c r="C2407" s="34" t="s">
        <v>3339</v>
      </c>
    </row>
    <row r="2408" spans="1:3" ht="15.75" customHeight="1" x14ac:dyDescent="0.2">
      <c r="A2408" s="42">
        <v>2773</v>
      </c>
      <c r="B2408" s="42">
        <v>17345</v>
      </c>
      <c r="C2408" s="34" t="s">
        <v>3384</v>
      </c>
    </row>
    <row r="2409" spans="1:3" ht="15.75" customHeight="1" x14ac:dyDescent="0.2">
      <c r="A2409" s="42">
        <v>2774</v>
      </c>
      <c r="B2409" s="42">
        <v>17345</v>
      </c>
      <c r="C2409" s="34" t="s">
        <v>3385</v>
      </c>
    </row>
    <row r="2410" spans="1:3" ht="15.75" customHeight="1" x14ac:dyDescent="0.2">
      <c r="A2410" s="42">
        <v>2775</v>
      </c>
      <c r="B2410" s="42">
        <v>17345</v>
      </c>
      <c r="C2410" s="34" t="s">
        <v>3386</v>
      </c>
    </row>
    <row r="2411" spans="1:3" ht="15.75" customHeight="1" x14ac:dyDescent="0.2">
      <c r="A2411" s="42">
        <v>2776</v>
      </c>
      <c r="B2411" s="42">
        <v>17345</v>
      </c>
      <c r="C2411" s="34" t="s">
        <v>3387</v>
      </c>
    </row>
    <row r="2412" spans="1:3" ht="15.75" customHeight="1" x14ac:dyDescent="0.2">
      <c r="A2412" s="42">
        <v>2777</v>
      </c>
      <c r="B2412" s="42">
        <v>17345</v>
      </c>
      <c r="C2412" s="34" t="s">
        <v>3388</v>
      </c>
    </row>
    <row r="2413" spans="1:3" ht="15.75" customHeight="1" x14ac:dyDescent="0.2">
      <c r="A2413" s="42">
        <v>2778</v>
      </c>
      <c r="B2413" s="42">
        <v>17345</v>
      </c>
      <c r="C2413" s="34" t="s">
        <v>3389</v>
      </c>
    </row>
    <row r="2414" spans="1:3" ht="15.75" customHeight="1" x14ac:dyDescent="0.2">
      <c r="A2414" s="42">
        <v>2779</v>
      </c>
      <c r="B2414" s="42">
        <v>17345</v>
      </c>
      <c r="C2414" s="34" t="s">
        <v>3390</v>
      </c>
    </row>
    <row r="2415" spans="1:3" ht="15.75" customHeight="1" x14ac:dyDescent="0.2">
      <c r="A2415" s="42">
        <v>2780</v>
      </c>
      <c r="B2415" s="42">
        <v>17345</v>
      </c>
      <c r="C2415" s="34" t="s">
        <v>3391</v>
      </c>
    </row>
    <row r="2416" spans="1:3" ht="15.75" customHeight="1" x14ac:dyDescent="0.2">
      <c r="A2416" s="42">
        <v>2781</v>
      </c>
      <c r="B2416" s="42">
        <v>17345</v>
      </c>
      <c r="C2416" s="34" t="s">
        <v>3392</v>
      </c>
    </row>
    <row r="2417" spans="1:3" ht="15.75" customHeight="1" x14ac:dyDescent="0.2">
      <c r="A2417" s="42">
        <v>2782</v>
      </c>
      <c r="B2417" s="42">
        <v>17345</v>
      </c>
      <c r="C2417" s="34" t="s">
        <v>3393</v>
      </c>
    </row>
    <row r="2418" spans="1:3" ht="15.75" customHeight="1" x14ac:dyDescent="0.2">
      <c r="A2418" s="42">
        <v>2783</v>
      </c>
      <c r="B2418" s="42">
        <v>17345</v>
      </c>
      <c r="C2418" s="34" t="s">
        <v>3394</v>
      </c>
    </row>
    <row r="2419" spans="1:3" ht="15.75" customHeight="1" x14ac:dyDescent="0.2">
      <c r="A2419" s="42">
        <v>2784</v>
      </c>
      <c r="B2419" s="42">
        <v>17345</v>
      </c>
      <c r="C2419" s="34" t="s">
        <v>3395</v>
      </c>
    </row>
    <row r="2420" spans="1:3" ht="15.75" customHeight="1" x14ac:dyDescent="0.2">
      <c r="A2420" s="42">
        <v>2785</v>
      </c>
      <c r="B2420" s="42">
        <v>17345</v>
      </c>
      <c r="C2420" s="34" t="s">
        <v>3396</v>
      </c>
    </row>
    <row r="2421" spans="1:3" ht="15.75" customHeight="1" x14ac:dyDescent="0.2">
      <c r="A2421" s="42">
        <v>2786</v>
      </c>
      <c r="B2421" s="42">
        <v>17345</v>
      </c>
      <c r="C2421" s="34" t="s">
        <v>3394</v>
      </c>
    </row>
    <row r="2422" spans="1:3" ht="15.75" customHeight="1" x14ac:dyDescent="0.2">
      <c r="A2422" s="42">
        <v>2787</v>
      </c>
      <c r="B2422" s="42">
        <v>17345</v>
      </c>
      <c r="C2422" s="34" t="s">
        <v>3397</v>
      </c>
    </row>
    <row r="2423" spans="1:3" ht="15.75" customHeight="1" x14ac:dyDescent="0.2">
      <c r="A2423" s="42">
        <v>2788</v>
      </c>
      <c r="B2423" s="42">
        <v>17345</v>
      </c>
      <c r="C2423" s="34" t="s">
        <v>3398</v>
      </c>
    </row>
    <row r="2424" spans="1:3" ht="15.75" customHeight="1" x14ac:dyDescent="0.2">
      <c r="A2424" s="42">
        <v>2789</v>
      </c>
      <c r="B2424" s="42">
        <v>17345</v>
      </c>
      <c r="C2424" s="34" t="s">
        <v>3399</v>
      </c>
    </row>
    <row r="2425" spans="1:3" ht="15.75" customHeight="1" x14ac:dyDescent="0.2">
      <c r="A2425" s="42">
        <v>2790</v>
      </c>
      <c r="B2425" s="42">
        <v>17345</v>
      </c>
      <c r="C2425" s="34" t="s">
        <v>3384</v>
      </c>
    </row>
    <row r="2426" spans="1:3" ht="15.75" customHeight="1" x14ac:dyDescent="0.2">
      <c r="A2426" s="42">
        <v>2791</v>
      </c>
      <c r="B2426" s="42">
        <v>17345</v>
      </c>
      <c r="C2426" s="34" t="s">
        <v>3400</v>
      </c>
    </row>
    <row r="2427" spans="1:3" ht="15.75" customHeight="1" x14ac:dyDescent="0.2">
      <c r="A2427" s="42">
        <v>2792</v>
      </c>
      <c r="B2427" s="42">
        <v>17345</v>
      </c>
      <c r="C2427" s="34" t="s">
        <v>3401</v>
      </c>
    </row>
    <row r="2428" spans="1:3" ht="15.75" customHeight="1" x14ac:dyDescent="0.2">
      <c r="A2428" s="42">
        <v>2793</v>
      </c>
      <c r="B2428" s="42">
        <v>17345</v>
      </c>
      <c r="C2428" s="34" t="s">
        <v>3402</v>
      </c>
    </row>
    <row r="2429" spans="1:3" ht="15.75" customHeight="1" x14ac:dyDescent="0.2">
      <c r="A2429" s="42">
        <v>2794</v>
      </c>
      <c r="B2429" s="42">
        <v>17345</v>
      </c>
      <c r="C2429" s="34" t="s">
        <v>3403</v>
      </c>
    </row>
    <row r="2430" spans="1:3" ht="15.75" customHeight="1" x14ac:dyDescent="0.2">
      <c r="A2430" s="42">
        <v>2795</v>
      </c>
      <c r="B2430" s="42">
        <v>17345</v>
      </c>
      <c r="C2430" s="34" t="s">
        <v>3404</v>
      </c>
    </row>
    <row r="2431" spans="1:3" ht="15.75" customHeight="1" x14ac:dyDescent="0.2">
      <c r="A2431" s="42">
        <v>2796</v>
      </c>
      <c r="B2431" s="42">
        <v>17345</v>
      </c>
      <c r="C2431" s="34" t="s">
        <v>3405</v>
      </c>
    </row>
    <row r="2432" spans="1:3" ht="15.75" customHeight="1" x14ac:dyDescent="0.2">
      <c r="A2432" s="42">
        <v>2797</v>
      </c>
      <c r="B2432" s="42">
        <v>17345</v>
      </c>
      <c r="C2432" s="34" t="s">
        <v>3406</v>
      </c>
    </row>
    <row r="2433" spans="1:3" ht="15.75" customHeight="1" x14ac:dyDescent="0.2">
      <c r="A2433" s="42">
        <v>2798</v>
      </c>
      <c r="B2433" s="42">
        <v>17345</v>
      </c>
      <c r="C2433" s="34" t="s">
        <v>3407</v>
      </c>
    </row>
    <row r="2434" spans="1:3" ht="15.75" customHeight="1" x14ac:dyDescent="0.2">
      <c r="A2434" s="42">
        <v>2799</v>
      </c>
      <c r="B2434" s="42">
        <v>17345</v>
      </c>
      <c r="C2434" s="34" t="s">
        <v>3405</v>
      </c>
    </row>
    <row r="2435" spans="1:3" ht="15.75" customHeight="1" x14ac:dyDescent="0.2">
      <c r="A2435" s="42">
        <v>2800</v>
      </c>
      <c r="B2435" s="42">
        <v>17345</v>
      </c>
      <c r="C2435" s="34" t="s">
        <v>3408</v>
      </c>
    </row>
    <row r="2436" spans="1:3" ht="15.75" customHeight="1" x14ac:dyDescent="0.2">
      <c r="A2436" s="42">
        <v>2801</v>
      </c>
      <c r="B2436" s="42">
        <v>17345</v>
      </c>
      <c r="C2436" s="34" t="s">
        <v>3339</v>
      </c>
    </row>
    <row r="2437" spans="1:3" ht="15.75" customHeight="1" x14ac:dyDescent="0.2">
      <c r="A2437" s="42">
        <v>2802</v>
      </c>
      <c r="B2437" s="42">
        <v>17345</v>
      </c>
      <c r="C2437" s="34" t="s">
        <v>3409</v>
      </c>
    </row>
    <row r="2438" spans="1:3" ht="15.75" customHeight="1" x14ac:dyDescent="0.2">
      <c r="A2438" s="42">
        <v>2803</v>
      </c>
      <c r="B2438" s="42">
        <v>17345</v>
      </c>
      <c r="C2438" s="34" t="s">
        <v>3410</v>
      </c>
    </row>
    <row r="2439" spans="1:3" ht="15.75" customHeight="1" x14ac:dyDescent="0.2">
      <c r="A2439" s="42">
        <v>2804</v>
      </c>
      <c r="B2439" s="42">
        <v>17345</v>
      </c>
      <c r="C2439" s="34" t="s">
        <v>3338</v>
      </c>
    </row>
    <row r="2440" spans="1:3" ht="15.75" customHeight="1" x14ac:dyDescent="0.2">
      <c r="A2440" s="42">
        <v>2805</v>
      </c>
      <c r="B2440" s="42">
        <v>17346</v>
      </c>
      <c r="C2440" s="34" t="s">
        <v>3411</v>
      </c>
    </row>
    <row r="2441" spans="1:3" ht="15.75" customHeight="1" x14ac:dyDescent="0.2">
      <c r="A2441" s="42">
        <v>2806</v>
      </c>
      <c r="B2441" s="42">
        <v>17346</v>
      </c>
      <c r="C2441" s="34" t="s">
        <v>3412</v>
      </c>
    </row>
    <row r="2442" spans="1:3" ht="15.75" customHeight="1" x14ac:dyDescent="0.2">
      <c r="A2442" s="42">
        <v>2807</v>
      </c>
      <c r="B2442" s="42">
        <v>17346</v>
      </c>
      <c r="C2442" s="34" t="s">
        <v>3412</v>
      </c>
    </row>
    <row r="2443" spans="1:3" ht="15.75" customHeight="1" x14ac:dyDescent="0.2">
      <c r="A2443" s="42">
        <v>2808</v>
      </c>
      <c r="B2443" s="42">
        <v>17346</v>
      </c>
      <c r="C2443" s="34" t="s">
        <v>3412</v>
      </c>
    </row>
    <row r="2444" spans="1:3" ht="15.75" customHeight="1" x14ac:dyDescent="0.2">
      <c r="A2444" s="42">
        <v>2809</v>
      </c>
      <c r="B2444" s="42">
        <v>17346</v>
      </c>
      <c r="C2444" s="34" t="s">
        <v>3413</v>
      </c>
    </row>
    <row r="2445" spans="1:3" ht="15.75" customHeight="1" x14ac:dyDescent="0.2">
      <c r="A2445" s="42">
        <v>2810</v>
      </c>
      <c r="B2445" s="42">
        <v>17346</v>
      </c>
      <c r="C2445" s="34" t="s">
        <v>3414</v>
      </c>
    </row>
    <row r="2446" spans="1:3" ht="15.75" customHeight="1" x14ac:dyDescent="0.2">
      <c r="A2446" s="42">
        <v>2811</v>
      </c>
      <c r="B2446" s="42">
        <v>17346</v>
      </c>
      <c r="C2446" s="34" t="s">
        <v>3412</v>
      </c>
    </row>
    <row r="2447" spans="1:3" ht="15.75" customHeight="1" x14ac:dyDescent="0.2">
      <c r="A2447" s="42">
        <v>2812</v>
      </c>
      <c r="B2447" s="42">
        <v>17346</v>
      </c>
      <c r="C2447" s="34" t="s">
        <v>3412</v>
      </c>
    </row>
    <row r="2448" spans="1:3" ht="15.75" customHeight="1" x14ac:dyDescent="0.2">
      <c r="A2448" s="42">
        <v>2813</v>
      </c>
      <c r="B2448" s="42">
        <v>17346</v>
      </c>
      <c r="C2448" s="34" t="s">
        <v>3412</v>
      </c>
    </row>
    <row r="2449" spans="1:3" ht="15.75" customHeight="1" x14ac:dyDescent="0.2">
      <c r="A2449" s="42">
        <v>2814</v>
      </c>
      <c r="B2449" s="42">
        <v>17346</v>
      </c>
      <c r="C2449" s="34" t="s">
        <v>3415</v>
      </c>
    </row>
    <row r="2450" spans="1:3" ht="15.75" customHeight="1" x14ac:dyDescent="0.2">
      <c r="A2450" s="42">
        <v>2815</v>
      </c>
      <c r="B2450" s="42">
        <v>17346</v>
      </c>
      <c r="C2450" s="34" t="s">
        <v>3412</v>
      </c>
    </row>
    <row r="2451" spans="1:3" ht="15.75" customHeight="1" x14ac:dyDescent="0.2">
      <c r="A2451" s="42">
        <v>2816</v>
      </c>
      <c r="B2451" s="42">
        <v>17346</v>
      </c>
      <c r="C2451" s="34" t="s">
        <v>3412</v>
      </c>
    </row>
    <row r="2452" spans="1:3" ht="15.75" customHeight="1" x14ac:dyDescent="0.2">
      <c r="A2452" s="42">
        <v>2817</v>
      </c>
      <c r="B2452" s="42">
        <v>17346</v>
      </c>
      <c r="C2452" s="34" t="s">
        <v>3412</v>
      </c>
    </row>
    <row r="2453" spans="1:3" ht="15.75" customHeight="1" x14ac:dyDescent="0.2">
      <c r="A2453" s="42">
        <v>2818</v>
      </c>
      <c r="B2453" s="42">
        <v>17346</v>
      </c>
      <c r="C2453" s="34" t="s">
        <v>3412</v>
      </c>
    </row>
    <row r="2454" spans="1:3" ht="15.75" customHeight="1" x14ac:dyDescent="0.2">
      <c r="A2454" s="42">
        <v>2819</v>
      </c>
      <c r="B2454" s="42">
        <v>17346</v>
      </c>
      <c r="C2454" s="34" t="s">
        <v>3416</v>
      </c>
    </row>
    <row r="2455" spans="1:3" ht="15.75" customHeight="1" x14ac:dyDescent="0.2">
      <c r="A2455" s="42">
        <v>2820</v>
      </c>
      <c r="B2455" s="42">
        <v>17346</v>
      </c>
      <c r="C2455" s="34" t="s">
        <v>3412</v>
      </c>
    </row>
    <row r="2456" spans="1:3" ht="15.75" customHeight="1" x14ac:dyDescent="0.2">
      <c r="A2456" s="42">
        <v>2821</v>
      </c>
      <c r="B2456" s="42">
        <v>17346</v>
      </c>
      <c r="C2456" s="34" t="s">
        <v>3412</v>
      </c>
    </row>
    <row r="2457" spans="1:3" ht="15.75" customHeight="1" x14ac:dyDescent="0.2">
      <c r="A2457" s="42">
        <v>2822</v>
      </c>
      <c r="B2457" s="42">
        <v>17346</v>
      </c>
      <c r="C2457" s="34" t="s">
        <v>3412</v>
      </c>
    </row>
    <row r="2458" spans="1:3" ht="15.75" customHeight="1" x14ac:dyDescent="0.2">
      <c r="A2458" s="42">
        <v>2823</v>
      </c>
      <c r="B2458" s="42">
        <v>17346</v>
      </c>
      <c r="C2458" s="34" t="s">
        <v>3412</v>
      </c>
    </row>
    <row r="2459" spans="1:3" ht="15.75" customHeight="1" x14ac:dyDescent="0.2">
      <c r="A2459" s="42">
        <v>2824</v>
      </c>
      <c r="B2459" s="42">
        <v>17346</v>
      </c>
      <c r="C2459" s="34" t="s">
        <v>3417</v>
      </c>
    </row>
    <row r="2460" spans="1:3" ht="15.75" customHeight="1" x14ac:dyDescent="0.2">
      <c r="A2460" s="42">
        <v>2825</v>
      </c>
      <c r="B2460" s="42">
        <v>17346</v>
      </c>
      <c r="C2460" s="34" t="s">
        <v>3412</v>
      </c>
    </row>
    <row r="2461" spans="1:3" ht="15.75" customHeight="1" x14ac:dyDescent="0.2">
      <c r="A2461" s="42">
        <v>2826</v>
      </c>
      <c r="B2461" s="42">
        <v>17346</v>
      </c>
      <c r="C2461" s="34" t="s">
        <v>3412</v>
      </c>
    </row>
    <row r="2462" spans="1:3" ht="15.75" customHeight="1" x14ac:dyDescent="0.2">
      <c r="A2462" s="42">
        <v>2827</v>
      </c>
      <c r="B2462" s="42">
        <v>17346</v>
      </c>
      <c r="C2462" s="34" t="s">
        <v>3412</v>
      </c>
    </row>
    <row r="2463" spans="1:3" ht="15.75" customHeight="1" x14ac:dyDescent="0.2">
      <c r="A2463" s="42">
        <v>2828</v>
      </c>
      <c r="B2463" s="42">
        <v>17346</v>
      </c>
      <c r="C2463" s="34" t="s">
        <v>3418</v>
      </c>
    </row>
    <row r="2464" spans="1:3" ht="15.75" customHeight="1" x14ac:dyDescent="0.2">
      <c r="A2464" s="42">
        <v>2829</v>
      </c>
      <c r="B2464" s="42">
        <v>17346</v>
      </c>
      <c r="C2464" s="34" t="s">
        <v>3412</v>
      </c>
    </row>
    <row r="2465" spans="1:3" ht="15.75" customHeight="1" x14ac:dyDescent="0.2">
      <c r="A2465" s="42">
        <v>2830</v>
      </c>
      <c r="B2465" s="42">
        <v>17346</v>
      </c>
      <c r="C2465" s="34" t="s">
        <v>3412</v>
      </c>
    </row>
    <row r="2466" spans="1:3" ht="15.75" customHeight="1" x14ac:dyDescent="0.2">
      <c r="A2466" s="42">
        <v>2831</v>
      </c>
      <c r="B2466" s="42">
        <v>17346</v>
      </c>
      <c r="C2466" s="34" t="s">
        <v>3412</v>
      </c>
    </row>
    <row r="2467" spans="1:3" ht="15.75" customHeight="1" x14ac:dyDescent="0.2">
      <c r="A2467" s="42">
        <v>2832</v>
      </c>
      <c r="B2467" s="42">
        <v>17346</v>
      </c>
      <c r="C2467" s="34" t="s">
        <v>3412</v>
      </c>
    </row>
    <row r="2468" spans="1:3" ht="15.75" customHeight="1" x14ac:dyDescent="0.2">
      <c r="A2468" s="42">
        <v>2833</v>
      </c>
      <c r="B2468" s="42">
        <v>17346</v>
      </c>
      <c r="C2468" s="34" t="s">
        <v>3412</v>
      </c>
    </row>
    <row r="2469" spans="1:3" ht="15.75" customHeight="1" x14ac:dyDescent="0.2">
      <c r="A2469" s="42">
        <v>2834</v>
      </c>
      <c r="B2469" s="42">
        <v>17346</v>
      </c>
      <c r="C2469" s="34" t="s">
        <v>3412</v>
      </c>
    </row>
    <row r="2470" spans="1:3" ht="15.75" customHeight="1" x14ac:dyDescent="0.2">
      <c r="A2470" s="42">
        <v>2835</v>
      </c>
      <c r="B2470" s="42">
        <v>17346</v>
      </c>
      <c r="C2470" s="34" t="s">
        <v>3412</v>
      </c>
    </row>
    <row r="2471" spans="1:3" ht="15.75" customHeight="1" x14ac:dyDescent="0.2">
      <c r="A2471" s="42">
        <v>2836</v>
      </c>
      <c r="B2471" s="42">
        <v>17346</v>
      </c>
      <c r="C2471" s="34" t="s">
        <v>3412</v>
      </c>
    </row>
    <row r="2472" spans="1:3" ht="15.75" customHeight="1" x14ac:dyDescent="0.2">
      <c r="A2472" s="42">
        <v>2837</v>
      </c>
      <c r="B2472" s="42">
        <v>17346</v>
      </c>
      <c r="C2472" s="34" t="s">
        <v>3412</v>
      </c>
    </row>
    <row r="2473" spans="1:3" ht="15.75" customHeight="1" x14ac:dyDescent="0.2">
      <c r="A2473" s="42">
        <v>2838</v>
      </c>
      <c r="B2473" s="42">
        <v>17346</v>
      </c>
      <c r="C2473" s="34" t="s">
        <v>3412</v>
      </c>
    </row>
    <row r="2474" spans="1:3" ht="15.75" customHeight="1" x14ac:dyDescent="0.2">
      <c r="A2474" s="42">
        <v>2839</v>
      </c>
      <c r="B2474" s="42">
        <v>17346</v>
      </c>
      <c r="C2474" s="34" t="s">
        <v>3412</v>
      </c>
    </row>
    <row r="2475" spans="1:3" ht="15.75" customHeight="1" x14ac:dyDescent="0.2">
      <c r="A2475" s="42">
        <v>2840</v>
      </c>
      <c r="B2475" s="42">
        <v>17346</v>
      </c>
      <c r="C2475" s="34" t="s">
        <v>3419</v>
      </c>
    </row>
    <row r="2476" spans="1:3" ht="15.75" customHeight="1" x14ac:dyDescent="0.2">
      <c r="A2476" s="42">
        <v>2841</v>
      </c>
      <c r="B2476" s="42">
        <v>17346</v>
      </c>
      <c r="C2476" s="34" t="s">
        <v>3412</v>
      </c>
    </row>
    <row r="2477" spans="1:3" ht="15.75" customHeight="1" x14ac:dyDescent="0.2">
      <c r="A2477" s="42">
        <v>2842</v>
      </c>
      <c r="B2477" s="42">
        <v>17346</v>
      </c>
      <c r="C2477" s="34" t="s">
        <v>3412</v>
      </c>
    </row>
    <row r="2478" spans="1:3" ht="15.75" customHeight="1" x14ac:dyDescent="0.2">
      <c r="A2478" s="42">
        <v>2843</v>
      </c>
      <c r="B2478" s="42">
        <v>17346</v>
      </c>
      <c r="C2478" s="34" t="s">
        <v>3412</v>
      </c>
    </row>
    <row r="2479" spans="1:3" ht="15.75" customHeight="1" x14ac:dyDescent="0.2">
      <c r="A2479" s="42">
        <v>2844</v>
      </c>
      <c r="B2479" s="42">
        <v>17346</v>
      </c>
      <c r="C2479" s="34" t="s">
        <v>3418</v>
      </c>
    </row>
    <row r="2480" spans="1:3" ht="15.75" customHeight="1" x14ac:dyDescent="0.2">
      <c r="A2480" s="42">
        <v>2845</v>
      </c>
      <c r="B2480" s="42">
        <v>17346</v>
      </c>
      <c r="C2480" s="34" t="s">
        <v>3412</v>
      </c>
    </row>
    <row r="2481" spans="1:3" ht="15.75" customHeight="1" x14ac:dyDescent="0.2">
      <c r="A2481" s="42">
        <v>2846</v>
      </c>
      <c r="B2481" s="42">
        <v>17346</v>
      </c>
      <c r="C2481" s="34" t="s">
        <v>3412</v>
      </c>
    </row>
    <row r="2482" spans="1:3" ht="15.75" customHeight="1" x14ac:dyDescent="0.2">
      <c r="A2482" s="42">
        <v>2847</v>
      </c>
      <c r="B2482" s="42">
        <v>17346</v>
      </c>
      <c r="C2482" s="34" t="s">
        <v>3412</v>
      </c>
    </row>
    <row r="2483" spans="1:3" ht="15.75" customHeight="1" x14ac:dyDescent="0.2">
      <c r="A2483" s="42">
        <v>2848</v>
      </c>
      <c r="B2483" s="42">
        <v>17346</v>
      </c>
      <c r="C2483" s="34" t="s">
        <v>3412</v>
      </c>
    </row>
    <row r="2484" spans="1:3" ht="15.75" customHeight="1" x14ac:dyDescent="0.2">
      <c r="A2484" s="42">
        <v>2849</v>
      </c>
      <c r="B2484" s="42">
        <v>17346</v>
      </c>
      <c r="C2484" s="34" t="s">
        <v>3412</v>
      </c>
    </row>
    <row r="2485" spans="1:3" ht="15.75" customHeight="1" x14ac:dyDescent="0.2">
      <c r="A2485" s="42">
        <v>2850</v>
      </c>
      <c r="B2485" s="42">
        <v>17346</v>
      </c>
      <c r="C2485" s="34" t="s">
        <v>3412</v>
      </c>
    </row>
    <row r="2486" spans="1:3" ht="15.75" customHeight="1" x14ac:dyDescent="0.2">
      <c r="A2486" s="42">
        <v>2851</v>
      </c>
      <c r="B2486" s="42">
        <v>17346</v>
      </c>
      <c r="C2486" s="34" t="s">
        <v>3412</v>
      </c>
    </row>
    <row r="2487" spans="1:3" ht="15.75" customHeight="1" x14ac:dyDescent="0.2">
      <c r="A2487" s="42">
        <v>2852</v>
      </c>
      <c r="B2487" s="42">
        <v>17346</v>
      </c>
      <c r="C2487" s="34" t="s">
        <v>3413</v>
      </c>
    </row>
    <row r="2488" spans="1:3" ht="15.75" customHeight="1" x14ac:dyDescent="0.2">
      <c r="A2488" s="42">
        <v>2853</v>
      </c>
      <c r="B2488" s="42">
        <v>17346</v>
      </c>
      <c r="C2488" s="34" t="s">
        <v>3412</v>
      </c>
    </row>
    <row r="2489" spans="1:3" ht="15.75" customHeight="1" x14ac:dyDescent="0.2">
      <c r="A2489" s="42">
        <v>2854</v>
      </c>
      <c r="B2489" s="42">
        <v>17346</v>
      </c>
      <c r="C2489" s="34" t="s">
        <v>3420</v>
      </c>
    </row>
    <row r="2490" spans="1:3" ht="15.75" customHeight="1" x14ac:dyDescent="0.2">
      <c r="A2490" s="42">
        <v>2855</v>
      </c>
      <c r="B2490" s="42">
        <v>17346</v>
      </c>
      <c r="C2490" s="34" t="s">
        <v>3412</v>
      </c>
    </row>
    <row r="2491" spans="1:3" ht="15.75" customHeight="1" x14ac:dyDescent="0.2">
      <c r="A2491" s="42">
        <v>2856</v>
      </c>
      <c r="B2491" s="42">
        <v>17346</v>
      </c>
      <c r="C2491" s="34" t="s">
        <v>3412</v>
      </c>
    </row>
    <row r="2492" spans="1:3" ht="15.75" customHeight="1" x14ac:dyDescent="0.2">
      <c r="A2492" s="42">
        <v>2857</v>
      </c>
      <c r="B2492" s="42">
        <v>17346</v>
      </c>
      <c r="C2492" s="34" t="s">
        <v>3412</v>
      </c>
    </row>
    <row r="2493" spans="1:3" ht="15.75" customHeight="1" x14ac:dyDescent="0.2">
      <c r="A2493" s="42">
        <v>2858</v>
      </c>
      <c r="B2493" s="42">
        <v>17346</v>
      </c>
      <c r="C2493" s="34" t="s">
        <v>3412</v>
      </c>
    </row>
    <row r="2494" spans="1:3" ht="15.75" customHeight="1" x14ac:dyDescent="0.2">
      <c r="A2494" s="42">
        <v>2859</v>
      </c>
      <c r="B2494" s="42">
        <v>17346</v>
      </c>
      <c r="C2494" s="34" t="s">
        <v>3412</v>
      </c>
    </row>
    <row r="2495" spans="1:3" ht="15.75" customHeight="1" x14ac:dyDescent="0.2">
      <c r="A2495" s="42">
        <v>2860</v>
      </c>
      <c r="B2495" s="42">
        <v>17346</v>
      </c>
      <c r="C2495" s="34" t="s">
        <v>3412</v>
      </c>
    </row>
    <row r="2496" spans="1:3" ht="15.75" customHeight="1" x14ac:dyDescent="0.2">
      <c r="A2496" s="42">
        <v>2861</v>
      </c>
      <c r="B2496" s="42">
        <v>17346</v>
      </c>
      <c r="C2496" s="34" t="s">
        <v>3412</v>
      </c>
    </row>
    <row r="2497" spans="1:3" ht="15.75" customHeight="1" x14ac:dyDescent="0.2">
      <c r="A2497" s="42">
        <v>2862</v>
      </c>
      <c r="B2497" s="42">
        <v>17346</v>
      </c>
      <c r="C2497" s="34" t="s">
        <v>3412</v>
      </c>
    </row>
    <row r="2498" spans="1:3" ht="15.75" customHeight="1" x14ac:dyDescent="0.2">
      <c r="A2498" s="42">
        <v>2863</v>
      </c>
      <c r="B2498" s="42">
        <v>17346</v>
      </c>
      <c r="C2498" s="34" t="s">
        <v>3412</v>
      </c>
    </row>
    <row r="2499" spans="1:3" ht="15.75" customHeight="1" x14ac:dyDescent="0.2">
      <c r="A2499" s="42">
        <v>2864</v>
      </c>
      <c r="B2499" s="42">
        <v>17346</v>
      </c>
      <c r="C2499" s="34" t="s">
        <v>3412</v>
      </c>
    </row>
    <row r="2500" spans="1:3" ht="15.75" customHeight="1" x14ac:dyDescent="0.2">
      <c r="A2500" s="42">
        <v>2865</v>
      </c>
      <c r="B2500" s="42">
        <v>17346</v>
      </c>
      <c r="C2500" s="34" t="s">
        <v>3412</v>
      </c>
    </row>
    <row r="2501" spans="1:3" ht="15.75" customHeight="1" x14ac:dyDescent="0.2">
      <c r="A2501" s="42">
        <v>2866</v>
      </c>
      <c r="B2501" s="42">
        <v>17346</v>
      </c>
      <c r="C2501" s="34" t="s">
        <v>3412</v>
      </c>
    </row>
    <row r="2502" spans="1:3" ht="15.75" customHeight="1" x14ac:dyDescent="0.2">
      <c r="A2502" s="42">
        <v>2867</v>
      </c>
      <c r="B2502" s="42">
        <v>17346</v>
      </c>
      <c r="C2502" s="34" t="s">
        <v>3412</v>
      </c>
    </row>
    <row r="2503" spans="1:3" ht="15.75" customHeight="1" x14ac:dyDescent="0.2">
      <c r="A2503" s="42">
        <v>2868</v>
      </c>
      <c r="B2503" s="42">
        <v>17346</v>
      </c>
      <c r="C2503" s="34" t="s">
        <v>3412</v>
      </c>
    </row>
    <row r="2504" spans="1:3" ht="15.75" customHeight="1" x14ac:dyDescent="0.2">
      <c r="A2504" s="42">
        <v>2869</v>
      </c>
      <c r="B2504" s="42">
        <v>17346</v>
      </c>
      <c r="C2504" s="34" t="s">
        <v>3412</v>
      </c>
    </row>
    <row r="2505" spans="1:3" ht="15.75" customHeight="1" x14ac:dyDescent="0.2">
      <c r="A2505" s="42">
        <v>2870</v>
      </c>
      <c r="B2505" s="42">
        <v>17346</v>
      </c>
      <c r="C2505" s="34" t="s">
        <v>3412</v>
      </c>
    </row>
    <row r="2506" spans="1:3" ht="15.75" customHeight="1" x14ac:dyDescent="0.2">
      <c r="A2506" s="42">
        <v>2871</v>
      </c>
      <c r="B2506" s="42">
        <v>17346</v>
      </c>
      <c r="C2506" s="34" t="s">
        <v>3412</v>
      </c>
    </row>
    <row r="2507" spans="1:3" ht="15.75" customHeight="1" x14ac:dyDescent="0.2">
      <c r="A2507" s="42">
        <v>2872</v>
      </c>
      <c r="B2507" s="42">
        <v>17346</v>
      </c>
      <c r="C2507" s="34" t="s">
        <v>3412</v>
      </c>
    </row>
    <row r="2508" spans="1:3" ht="15.75" customHeight="1" x14ac:dyDescent="0.2">
      <c r="A2508" s="42">
        <v>2873</v>
      </c>
      <c r="B2508" s="42">
        <v>17346</v>
      </c>
      <c r="C2508" s="34" t="s">
        <v>3412</v>
      </c>
    </row>
    <row r="2509" spans="1:3" ht="15.75" customHeight="1" x14ac:dyDescent="0.2">
      <c r="A2509" s="42">
        <v>2874</v>
      </c>
      <c r="B2509" s="42">
        <v>17346</v>
      </c>
      <c r="C2509" s="34" t="s">
        <v>3412</v>
      </c>
    </row>
    <row r="2510" spans="1:3" ht="15.75" customHeight="1" x14ac:dyDescent="0.2">
      <c r="A2510" s="42">
        <v>2875</v>
      </c>
      <c r="B2510" s="42">
        <v>17346</v>
      </c>
      <c r="C2510" s="34" t="s">
        <v>3412</v>
      </c>
    </row>
    <row r="2511" spans="1:3" ht="15.75" customHeight="1" x14ac:dyDescent="0.2">
      <c r="A2511" s="42">
        <v>2876</v>
      </c>
      <c r="B2511" s="42">
        <v>17346</v>
      </c>
      <c r="C2511" s="34" t="s">
        <v>3412</v>
      </c>
    </row>
    <row r="2512" spans="1:3" ht="15.75" customHeight="1" x14ac:dyDescent="0.2">
      <c r="A2512" s="42">
        <v>2877</v>
      </c>
      <c r="B2512" s="42">
        <v>17346</v>
      </c>
      <c r="C2512" s="34" t="s">
        <v>3421</v>
      </c>
    </row>
    <row r="2513" spans="1:3" ht="15.75" customHeight="1" x14ac:dyDescent="0.2">
      <c r="A2513" s="42">
        <v>2878</v>
      </c>
      <c r="B2513" s="42">
        <v>17346</v>
      </c>
      <c r="C2513" s="34" t="s">
        <v>3412</v>
      </c>
    </row>
    <row r="2514" spans="1:3" ht="15.75" customHeight="1" x14ac:dyDescent="0.2">
      <c r="A2514" s="42">
        <v>2879</v>
      </c>
      <c r="B2514" s="42">
        <v>17346</v>
      </c>
      <c r="C2514" s="34" t="s">
        <v>3412</v>
      </c>
    </row>
    <row r="2515" spans="1:3" ht="15.75" customHeight="1" x14ac:dyDescent="0.2">
      <c r="A2515" s="42">
        <v>2880</v>
      </c>
      <c r="B2515" s="42">
        <v>17346</v>
      </c>
      <c r="C2515" s="34" t="s">
        <v>3422</v>
      </c>
    </row>
    <row r="2516" spans="1:3" ht="15.75" customHeight="1" x14ac:dyDescent="0.2">
      <c r="A2516" s="42">
        <v>2881</v>
      </c>
      <c r="B2516" s="42">
        <v>17346</v>
      </c>
      <c r="C2516" s="34" t="s">
        <v>3412</v>
      </c>
    </row>
    <row r="2517" spans="1:3" ht="15.75" customHeight="1" x14ac:dyDescent="0.2">
      <c r="A2517" s="42">
        <v>2882</v>
      </c>
      <c r="B2517" s="42">
        <v>17346</v>
      </c>
      <c r="C2517" s="34" t="s">
        <v>3416</v>
      </c>
    </row>
    <row r="2518" spans="1:3" ht="15.75" customHeight="1" x14ac:dyDescent="0.2">
      <c r="A2518" s="42">
        <v>2883</v>
      </c>
      <c r="B2518" s="42">
        <v>17346</v>
      </c>
      <c r="C2518" s="34" t="s">
        <v>3412</v>
      </c>
    </row>
    <row r="2519" spans="1:3" ht="15.75" customHeight="1" x14ac:dyDescent="0.2">
      <c r="A2519" s="42">
        <v>2884</v>
      </c>
      <c r="B2519" s="42">
        <v>17346</v>
      </c>
      <c r="C2519" s="34" t="s">
        <v>3412</v>
      </c>
    </row>
    <row r="2520" spans="1:3" ht="15.75" customHeight="1" x14ac:dyDescent="0.2">
      <c r="A2520" s="42">
        <v>2885</v>
      </c>
      <c r="B2520" s="42">
        <v>17346</v>
      </c>
      <c r="C2520" s="34" t="s">
        <v>3412</v>
      </c>
    </row>
    <row r="2521" spans="1:3" ht="15.75" customHeight="1" x14ac:dyDescent="0.2">
      <c r="A2521" s="42">
        <v>2886</v>
      </c>
      <c r="B2521" s="42">
        <v>17346</v>
      </c>
      <c r="C2521" s="34" t="s">
        <v>3412</v>
      </c>
    </row>
    <row r="2522" spans="1:3" ht="15.75" customHeight="1" x14ac:dyDescent="0.2">
      <c r="A2522" s="42">
        <v>2887</v>
      </c>
      <c r="B2522" s="42">
        <v>17346</v>
      </c>
      <c r="C2522" s="34" t="s">
        <v>3412</v>
      </c>
    </row>
    <row r="2523" spans="1:3" ht="15.75" customHeight="1" x14ac:dyDescent="0.2">
      <c r="A2523" s="42">
        <v>2888</v>
      </c>
      <c r="B2523" s="42">
        <v>17346</v>
      </c>
      <c r="C2523" s="34" t="s">
        <v>3412</v>
      </c>
    </row>
    <row r="2524" spans="1:3" ht="15.75" customHeight="1" x14ac:dyDescent="0.2">
      <c r="A2524" s="42">
        <v>2889</v>
      </c>
      <c r="B2524" s="42">
        <v>17346</v>
      </c>
      <c r="C2524" s="34" t="s">
        <v>3412</v>
      </c>
    </row>
    <row r="2525" spans="1:3" ht="15.75" customHeight="1" x14ac:dyDescent="0.2">
      <c r="A2525" s="42">
        <v>2890</v>
      </c>
      <c r="B2525" s="42">
        <v>17346</v>
      </c>
      <c r="C2525" s="34" t="s">
        <v>3412</v>
      </c>
    </row>
    <row r="2526" spans="1:3" ht="15.75" customHeight="1" x14ac:dyDescent="0.2">
      <c r="A2526" s="42">
        <v>2891</v>
      </c>
      <c r="B2526" s="42">
        <v>17346</v>
      </c>
      <c r="C2526" s="34" t="s">
        <v>3412</v>
      </c>
    </row>
    <row r="2527" spans="1:3" ht="15.75" customHeight="1" x14ac:dyDescent="0.2">
      <c r="A2527" s="42">
        <v>2892</v>
      </c>
      <c r="B2527" s="42">
        <v>17346</v>
      </c>
      <c r="C2527" s="34" t="s">
        <v>3412</v>
      </c>
    </row>
    <row r="2528" spans="1:3" ht="15.75" customHeight="1" x14ac:dyDescent="0.2">
      <c r="A2528" s="42">
        <v>2893</v>
      </c>
      <c r="B2528" s="42">
        <v>17346</v>
      </c>
      <c r="C2528" s="34" t="s">
        <v>3412</v>
      </c>
    </row>
    <row r="2529" spans="1:3" ht="15.75" customHeight="1" x14ac:dyDescent="0.2">
      <c r="A2529" s="42">
        <v>2894</v>
      </c>
      <c r="B2529" s="42">
        <v>17346</v>
      </c>
      <c r="C2529" s="34" t="s">
        <v>3412</v>
      </c>
    </row>
    <row r="2530" spans="1:3" ht="15.75" customHeight="1" x14ac:dyDescent="0.2">
      <c r="A2530" s="42">
        <v>2895</v>
      </c>
      <c r="B2530" s="42">
        <v>17346</v>
      </c>
      <c r="C2530" s="34" t="s">
        <v>3412</v>
      </c>
    </row>
    <row r="2531" spans="1:3" ht="15.75" customHeight="1" x14ac:dyDescent="0.2">
      <c r="A2531" s="42">
        <v>2896</v>
      </c>
      <c r="B2531" s="42">
        <v>17346</v>
      </c>
      <c r="C2531" s="34" t="s">
        <v>3412</v>
      </c>
    </row>
    <row r="2532" spans="1:3" ht="15.75" customHeight="1" x14ac:dyDescent="0.2">
      <c r="A2532" s="42">
        <v>2897</v>
      </c>
      <c r="B2532" s="42">
        <v>17346</v>
      </c>
      <c r="C2532" s="34" t="s">
        <v>3412</v>
      </c>
    </row>
    <row r="2533" spans="1:3" ht="15.75" customHeight="1" x14ac:dyDescent="0.2">
      <c r="A2533" s="42">
        <v>2898</v>
      </c>
      <c r="B2533" s="42">
        <v>17347</v>
      </c>
      <c r="C2533" s="34" t="s">
        <v>3423</v>
      </c>
    </row>
    <row r="2534" spans="1:3" ht="15.75" customHeight="1" x14ac:dyDescent="0.2">
      <c r="A2534" s="42">
        <v>2899</v>
      </c>
      <c r="B2534" s="42">
        <v>17347</v>
      </c>
      <c r="C2534" s="34" t="s">
        <v>3424</v>
      </c>
    </row>
    <row r="2535" spans="1:3" ht="15.75" customHeight="1" x14ac:dyDescent="0.2">
      <c r="A2535" s="42">
        <v>2900</v>
      </c>
      <c r="B2535" s="42">
        <v>17347</v>
      </c>
      <c r="C2535" s="34" t="s">
        <v>3425</v>
      </c>
    </row>
    <row r="2536" spans="1:3" ht="15.75" customHeight="1" x14ac:dyDescent="0.2">
      <c r="A2536" s="42">
        <v>2901</v>
      </c>
      <c r="B2536" s="42">
        <v>17347</v>
      </c>
      <c r="C2536" s="34" t="s">
        <v>3426</v>
      </c>
    </row>
    <row r="2537" spans="1:3" ht="15.75" customHeight="1" x14ac:dyDescent="0.2">
      <c r="A2537" s="42">
        <v>2902</v>
      </c>
      <c r="B2537" s="42">
        <v>17347</v>
      </c>
      <c r="C2537" s="34" t="s">
        <v>3427</v>
      </c>
    </row>
    <row r="2538" spans="1:3" ht="15.75" customHeight="1" x14ac:dyDescent="0.2">
      <c r="A2538" s="42">
        <v>2903</v>
      </c>
      <c r="B2538" s="42">
        <v>17347</v>
      </c>
      <c r="C2538" s="34" t="s">
        <v>3428</v>
      </c>
    </row>
    <row r="2539" spans="1:3" ht="15.75" customHeight="1" x14ac:dyDescent="0.2">
      <c r="A2539" s="42">
        <v>2904</v>
      </c>
      <c r="B2539" s="42">
        <v>17347</v>
      </c>
      <c r="C2539" s="34" t="s">
        <v>3429</v>
      </c>
    </row>
    <row r="2540" spans="1:3" ht="15.75" customHeight="1" x14ac:dyDescent="0.2">
      <c r="A2540" s="42">
        <v>2905</v>
      </c>
      <c r="B2540" s="42">
        <v>17347</v>
      </c>
      <c r="C2540" s="34" t="s">
        <v>3430</v>
      </c>
    </row>
    <row r="2541" spans="1:3" ht="15.75" customHeight="1" x14ac:dyDescent="0.2">
      <c r="A2541" s="42">
        <v>2906</v>
      </c>
      <c r="B2541" s="42">
        <v>17347</v>
      </c>
      <c r="C2541" s="34" t="s">
        <v>3431</v>
      </c>
    </row>
    <row r="2542" spans="1:3" ht="15.75" customHeight="1" x14ac:dyDescent="0.2">
      <c r="A2542" s="42">
        <v>2907</v>
      </c>
      <c r="B2542" s="42">
        <v>17347</v>
      </c>
      <c r="C2542" s="34" t="s">
        <v>3432</v>
      </c>
    </row>
    <row r="2543" spans="1:3" ht="15.75" customHeight="1" x14ac:dyDescent="0.2">
      <c r="A2543" s="42">
        <v>2908</v>
      </c>
      <c r="B2543" s="42">
        <v>17347</v>
      </c>
      <c r="C2543" s="34" t="s">
        <v>3433</v>
      </c>
    </row>
    <row r="2544" spans="1:3" ht="15.75" customHeight="1" x14ac:dyDescent="0.2">
      <c r="A2544" s="42">
        <v>2909</v>
      </c>
      <c r="B2544" s="42">
        <v>17347</v>
      </c>
      <c r="C2544" s="34" t="s">
        <v>3434</v>
      </c>
    </row>
    <row r="2545" spans="1:3" ht="15.75" customHeight="1" x14ac:dyDescent="0.2">
      <c r="A2545" s="42">
        <v>2910</v>
      </c>
      <c r="B2545" s="42">
        <v>17347</v>
      </c>
      <c r="C2545" s="34" t="s">
        <v>3435</v>
      </c>
    </row>
    <row r="2546" spans="1:3" ht="15.75" customHeight="1" x14ac:dyDescent="0.2">
      <c r="A2546" s="42">
        <v>2911</v>
      </c>
      <c r="B2546" s="42">
        <v>17347</v>
      </c>
      <c r="C2546" s="34" t="s">
        <v>3436</v>
      </c>
    </row>
    <row r="2547" spans="1:3" ht="15.75" customHeight="1" x14ac:dyDescent="0.2">
      <c r="A2547" s="42">
        <v>2912</v>
      </c>
      <c r="B2547" s="42">
        <v>17347</v>
      </c>
      <c r="C2547" s="34" t="s">
        <v>3437</v>
      </c>
    </row>
    <row r="2548" spans="1:3" ht="15.75" customHeight="1" x14ac:dyDescent="0.2">
      <c r="A2548" s="42">
        <v>2913</v>
      </c>
      <c r="B2548" s="42">
        <v>17347</v>
      </c>
      <c r="C2548" s="34" t="s">
        <v>3438</v>
      </c>
    </row>
    <row r="2549" spans="1:3" ht="15.75" customHeight="1" x14ac:dyDescent="0.2">
      <c r="A2549" s="42">
        <v>2914</v>
      </c>
      <c r="B2549" s="42">
        <v>17347</v>
      </c>
      <c r="C2549" s="34" t="s">
        <v>3439</v>
      </c>
    </row>
    <row r="2550" spans="1:3" ht="15.75" customHeight="1" x14ac:dyDescent="0.2">
      <c r="A2550" s="42">
        <v>2915</v>
      </c>
      <c r="B2550" s="42">
        <v>17347</v>
      </c>
      <c r="C2550" s="34" t="s">
        <v>3440</v>
      </c>
    </row>
    <row r="2551" spans="1:3" ht="15.75" customHeight="1" x14ac:dyDescent="0.2">
      <c r="A2551" s="42">
        <v>2916</v>
      </c>
      <c r="B2551" s="42">
        <v>17347</v>
      </c>
      <c r="C2551" s="34" t="s">
        <v>3441</v>
      </c>
    </row>
    <row r="2552" spans="1:3" ht="15.75" customHeight="1" x14ac:dyDescent="0.2">
      <c r="A2552" s="42">
        <v>2917</v>
      </c>
      <c r="B2552" s="42">
        <v>17347</v>
      </c>
      <c r="C2552" s="34" t="s">
        <v>3442</v>
      </c>
    </row>
    <row r="2553" spans="1:3" ht="15.75" customHeight="1" x14ac:dyDescent="0.2">
      <c r="A2553" s="42">
        <v>2918</v>
      </c>
      <c r="B2553" s="42">
        <v>17347</v>
      </c>
      <c r="C2553" s="34" t="s">
        <v>3443</v>
      </c>
    </row>
    <row r="2554" spans="1:3" ht="15.75" customHeight="1" x14ac:dyDescent="0.2">
      <c r="A2554" s="42">
        <v>2919</v>
      </c>
      <c r="B2554" s="42">
        <v>17347</v>
      </c>
      <c r="C2554" s="34" t="s">
        <v>3444</v>
      </c>
    </row>
    <row r="2555" spans="1:3" ht="15.75" customHeight="1" x14ac:dyDescent="0.2">
      <c r="A2555" s="42">
        <v>2920</v>
      </c>
      <c r="B2555" s="42">
        <v>17347</v>
      </c>
      <c r="C2555" s="34" t="s">
        <v>3445</v>
      </c>
    </row>
    <row r="2556" spans="1:3" ht="15.75" customHeight="1" x14ac:dyDescent="0.2">
      <c r="A2556" s="42">
        <v>2921</v>
      </c>
      <c r="B2556" s="42">
        <v>17347</v>
      </c>
      <c r="C2556" s="34" t="s">
        <v>3446</v>
      </c>
    </row>
    <row r="2557" spans="1:3" ht="15.75" customHeight="1" x14ac:dyDescent="0.2">
      <c r="A2557" s="42">
        <v>2922</v>
      </c>
      <c r="B2557" s="42">
        <v>17347</v>
      </c>
      <c r="C2557" s="34" t="s">
        <v>3447</v>
      </c>
    </row>
    <row r="2558" spans="1:3" ht="15.75" customHeight="1" x14ac:dyDescent="0.2">
      <c r="A2558" s="42">
        <v>2923</v>
      </c>
      <c r="B2558" s="42">
        <v>17347</v>
      </c>
      <c r="C2558" s="34" t="s">
        <v>3448</v>
      </c>
    </row>
    <row r="2559" spans="1:3" ht="15.75" customHeight="1" x14ac:dyDescent="0.2">
      <c r="A2559" s="42">
        <v>2924</v>
      </c>
      <c r="B2559" s="42">
        <v>17347</v>
      </c>
      <c r="C2559" s="34" t="s">
        <v>3449</v>
      </c>
    </row>
    <row r="2560" spans="1:3" ht="15.75" customHeight="1" x14ac:dyDescent="0.2">
      <c r="A2560" s="42">
        <v>2925</v>
      </c>
      <c r="B2560" s="42">
        <v>17347</v>
      </c>
      <c r="C2560" s="34" t="s">
        <v>3450</v>
      </c>
    </row>
    <row r="2561" spans="1:3" ht="15.75" customHeight="1" x14ac:dyDescent="0.2">
      <c r="A2561" s="42">
        <v>2926</v>
      </c>
      <c r="B2561" s="42">
        <v>17347</v>
      </c>
      <c r="C2561" s="34" t="s">
        <v>3451</v>
      </c>
    </row>
    <row r="2562" spans="1:3" ht="15.75" customHeight="1" x14ac:dyDescent="0.2">
      <c r="A2562" s="42">
        <v>2927</v>
      </c>
      <c r="B2562" s="42">
        <v>17347</v>
      </c>
      <c r="C2562" s="34" t="s">
        <v>3452</v>
      </c>
    </row>
    <row r="2563" spans="1:3" ht="15.75" customHeight="1" x14ac:dyDescent="0.2">
      <c r="A2563" s="42">
        <v>2928</v>
      </c>
      <c r="B2563" s="42">
        <v>17347</v>
      </c>
      <c r="C2563" s="34" t="s">
        <v>3453</v>
      </c>
    </row>
    <row r="2564" spans="1:3" ht="15.75" customHeight="1" x14ac:dyDescent="0.2">
      <c r="A2564" s="42">
        <v>2929</v>
      </c>
      <c r="B2564" s="42">
        <v>17347</v>
      </c>
      <c r="C2564" s="34" t="s">
        <v>3454</v>
      </c>
    </row>
    <row r="2565" spans="1:3" ht="15.75" customHeight="1" x14ac:dyDescent="0.2">
      <c r="A2565" s="42">
        <v>2930</v>
      </c>
      <c r="B2565" s="42">
        <v>17347</v>
      </c>
      <c r="C2565" s="34" t="s">
        <v>3455</v>
      </c>
    </row>
    <row r="2566" spans="1:3" ht="15.75" customHeight="1" x14ac:dyDescent="0.2">
      <c r="A2566" s="42">
        <v>2931</v>
      </c>
      <c r="B2566" s="42">
        <v>17347</v>
      </c>
      <c r="C2566" s="34" t="s">
        <v>3456</v>
      </c>
    </row>
    <row r="2567" spans="1:3" ht="15.75" customHeight="1" x14ac:dyDescent="0.2">
      <c r="A2567" s="42">
        <v>2932</v>
      </c>
      <c r="B2567" s="42">
        <v>17347</v>
      </c>
      <c r="C2567" s="34" t="s">
        <v>3457</v>
      </c>
    </row>
    <row r="2568" spans="1:3" ht="15.75" customHeight="1" x14ac:dyDescent="0.2">
      <c r="A2568" s="42">
        <v>2933</v>
      </c>
      <c r="B2568" s="42">
        <v>17347</v>
      </c>
      <c r="C2568" s="34" t="s">
        <v>3458</v>
      </c>
    </row>
    <row r="2569" spans="1:3" ht="15.75" customHeight="1" x14ac:dyDescent="0.2">
      <c r="A2569" s="42">
        <v>2934</v>
      </c>
      <c r="B2569" s="42">
        <v>17347</v>
      </c>
      <c r="C2569" s="34" t="s">
        <v>3459</v>
      </c>
    </row>
    <row r="2570" spans="1:3" ht="15.75" customHeight="1" x14ac:dyDescent="0.2">
      <c r="A2570" s="42">
        <v>2935</v>
      </c>
      <c r="B2570" s="42">
        <v>17347</v>
      </c>
      <c r="C2570" s="34" t="s">
        <v>3460</v>
      </c>
    </row>
    <row r="2571" spans="1:3" ht="15.75" customHeight="1" x14ac:dyDescent="0.2">
      <c r="A2571" s="42">
        <v>2936</v>
      </c>
      <c r="B2571" s="42">
        <v>17347</v>
      </c>
      <c r="C2571" s="34" t="s">
        <v>3461</v>
      </c>
    </row>
    <row r="2572" spans="1:3" ht="15.75" customHeight="1" x14ac:dyDescent="0.2">
      <c r="A2572" s="42">
        <v>2937</v>
      </c>
      <c r="B2572" s="42">
        <v>17347</v>
      </c>
      <c r="C2572" s="34" t="s">
        <v>3462</v>
      </c>
    </row>
    <row r="2573" spans="1:3" ht="15.75" customHeight="1" x14ac:dyDescent="0.2">
      <c r="A2573" s="42">
        <v>2938</v>
      </c>
      <c r="B2573" s="42">
        <v>17347</v>
      </c>
      <c r="C2573" s="34" t="s">
        <v>3463</v>
      </c>
    </row>
    <row r="2574" spans="1:3" ht="15.75" customHeight="1" x14ac:dyDescent="0.2">
      <c r="A2574" s="42">
        <v>2939</v>
      </c>
      <c r="B2574" s="42">
        <v>17347</v>
      </c>
      <c r="C2574" s="34" t="s">
        <v>3464</v>
      </c>
    </row>
    <row r="2575" spans="1:3" ht="15.75" customHeight="1" x14ac:dyDescent="0.2">
      <c r="A2575" s="42">
        <v>2940</v>
      </c>
      <c r="B2575" s="42">
        <v>17347</v>
      </c>
      <c r="C2575" s="34" t="s">
        <v>3465</v>
      </c>
    </row>
    <row r="2576" spans="1:3" ht="15.75" customHeight="1" x14ac:dyDescent="0.2">
      <c r="A2576" s="42">
        <v>2941</v>
      </c>
      <c r="B2576" s="42">
        <v>17347</v>
      </c>
      <c r="C2576" s="34" t="s">
        <v>3466</v>
      </c>
    </row>
    <row r="2577" spans="1:3" ht="15.75" customHeight="1" x14ac:dyDescent="0.2">
      <c r="A2577" s="42">
        <v>2942</v>
      </c>
      <c r="B2577" s="42">
        <v>17347</v>
      </c>
      <c r="C2577" s="34" t="s">
        <v>3467</v>
      </c>
    </row>
    <row r="2578" spans="1:3" ht="15.75" customHeight="1" x14ac:dyDescent="0.2">
      <c r="A2578" s="42">
        <v>2943</v>
      </c>
      <c r="B2578" s="42">
        <v>17347</v>
      </c>
      <c r="C2578" s="34" t="s">
        <v>3468</v>
      </c>
    </row>
    <row r="2579" spans="1:3" ht="15.75" customHeight="1" x14ac:dyDescent="0.2">
      <c r="A2579" s="42">
        <v>2944</v>
      </c>
      <c r="B2579" s="42">
        <v>17347</v>
      </c>
      <c r="C2579" s="34" t="s">
        <v>3469</v>
      </c>
    </row>
    <row r="2580" spans="1:3" ht="15.75" customHeight="1" x14ac:dyDescent="0.2">
      <c r="A2580" s="42">
        <v>2945</v>
      </c>
      <c r="B2580" s="42">
        <v>17347</v>
      </c>
      <c r="C2580" s="34" t="s">
        <v>3470</v>
      </c>
    </row>
    <row r="2581" spans="1:3" ht="15.75" customHeight="1" x14ac:dyDescent="0.2">
      <c r="A2581" s="42">
        <v>2946</v>
      </c>
      <c r="B2581" s="42">
        <v>17347</v>
      </c>
      <c r="C2581" s="34" t="s">
        <v>3471</v>
      </c>
    </row>
    <row r="2582" spans="1:3" ht="15.75" customHeight="1" x14ac:dyDescent="0.2">
      <c r="A2582" s="42">
        <v>2947</v>
      </c>
      <c r="B2582" s="42">
        <v>17347</v>
      </c>
      <c r="C2582" s="34" t="s">
        <v>3472</v>
      </c>
    </row>
    <row r="2583" spans="1:3" ht="15.75" customHeight="1" x14ac:dyDescent="0.2">
      <c r="A2583" s="42">
        <v>2948</v>
      </c>
      <c r="B2583" s="42">
        <v>17347</v>
      </c>
      <c r="C2583" s="34" t="s">
        <v>3473</v>
      </c>
    </row>
    <row r="2584" spans="1:3" ht="15.75" customHeight="1" x14ac:dyDescent="0.2">
      <c r="A2584" s="42">
        <v>2949</v>
      </c>
      <c r="B2584" s="42">
        <v>17347</v>
      </c>
      <c r="C2584" s="34" t="s">
        <v>3474</v>
      </c>
    </row>
    <row r="2585" spans="1:3" ht="15.75" customHeight="1" x14ac:dyDescent="0.2">
      <c r="A2585" s="42">
        <v>2950</v>
      </c>
      <c r="B2585" s="42">
        <v>17347</v>
      </c>
      <c r="C2585" s="34" t="s">
        <v>3475</v>
      </c>
    </row>
    <row r="2586" spans="1:3" ht="15.75" customHeight="1" x14ac:dyDescent="0.2">
      <c r="A2586" s="42">
        <v>2951</v>
      </c>
      <c r="B2586" s="42">
        <v>17347</v>
      </c>
      <c r="C2586" s="34" t="s">
        <v>3476</v>
      </c>
    </row>
    <row r="2587" spans="1:3" ht="15.75" customHeight="1" x14ac:dyDescent="0.2">
      <c r="A2587" s="42">
        <v>2952</v>
      </c>
      <c r="B2587" s="42">
        <v>17347</v>
      </c>
      <c r="C2587" s="34" t="s">
        <v>3477</v>
      </c>
    </row>
    <row r="2588" spans="1:3" ht="15.75" customHeight="1" x14ac:dyDescent="0.2">
      <c r="A2588" s="42">
        <v>2953</v>
      </c>
      <c r="B2588" s="42">
        <v>17347</v>
      </c>
      <c r="C2588" s="34" t="s">
        <v>3478</v>
      </c>
    </row>
    <row r="2589" spans="1:3" ht="15.75" customHeight="1" x14ac:dyDescent="0.2">
      <c r="A2589" s="42">
        <v>2954</v>
      </c>
      <c r="B2589" s="42">
        <v>17347</v>
      </c>
      <c r="C2589" s="34" t="s">
        <v>3479</v>
      </c>
    </row>
    <row r="2590" spans="1:3" ht="15.75" customHeight="1" x14ac:dyDescent="0.2">
      <c r="A2590" s="42">
        <v>2955</v>
      </c>
      <c r="B2590" s="42">
        <v>17347</v>
      </c>
      <c r="C2590" s="34" t="s">
        <v>3480</v>
      </c>
    </row>
    <row r="2591" spans="1:3" ht="15.75" customHeight="1" x14ac:dyDescent="0.2">
      <c r="A2591" s="42">
        <v>2956</v>
      </c>
      <c r="B2591" s="42">
        <v>17347</v>
      </c>
      <c r="C2591" s="34" t="s">
        <v>3481</v>
      </c>
    </row>
    <row r="2592" spans="1:3" ht="15.75" customHeight="1" x14ac:dyDescent="0.2">
      <c r="A2592" s="42">
        <v>2957</v>
      </c>
      <c r="B2592" s="42">
        <v>17347</v>
      </c>
      <c r="C2592" s="34" t="s">
        <v>3482</v>
      </c>
    </row>
    <row r="2593" spans="1:3" ht="15.75" customHeight="1" x14ac:dyDescent="0.2">
      <c r="A2593" s="42">
        <v>2958</v>
      </c>
      <c r="B2593" s="42">
        <v>17347</v>
      </c>
      <c r="C2593" s="34" t="s">
        <v>3483</v>
      </c>
    </row>
    <row r="2594" spans="1:3" ht="15.75" customHeight="1" x14ac:dyDescent="0.2">
      <c r="A2594" s="42">
        <v>2959</v>
      </c>
      <c r="B2594" s="42">
        <v>17347</v>
      </c>
      <c r="C2594" s="34" t="s">
        <v>3484</v>
      </c>
    </row>
    <row r="2595" spans="1:3" ht="15.75" customHeight="1" x14ac:dyDescent="0.2">
      <c r="A2595" s="42">
        <v>2960</v>
      </c>
      <c r="B2595" s="42">
        <v>17347</v>
      </c>
      <c r="C2595" s="34" t="s">
        <v>3485</v>
      </c>
    </row>
    <row r="2596" spans="1:3" ht="15.75" customHeight="1" x14ac:dyDescent="0.2">
      <c r="A2596" s="42">
        <v>2961</v>
      </c>
      <c r="B2596" s="42">
        <v>17347</v>
      </c>
      <c r="C2596" s="34" t="s">
        <v>3486</v>
      </c>
    </row>
    <row r="2597" spans="1:3" ht="15.75" customHeight="1" x14ac:dyDescent="0.2">
      <c r="A2597" s="42">
        <v>2962</v>
      </c>
      <c r="B2597" s="42">
        <v>17347</v>
      </c>
      <c r="C2597" s="34" t="s">
        <v>3487</v>
      </c>
    </row>
    <row r="2598" spans="1:3" ht="15.75" customHeight="1" x14ac:dyDescent="0.2">
      <c r="A2598" s="42">
        <v>2963</v>
      </c>
      <c r="B2598" s="42">
        <v>17347</v>
      </c>
      <c r="C2598" s="34" t="s">
        <v>3488</v>
      </c>
    </row>
    <row r="2599" spans="1:3" ht="15.75" customHeight="1" x14ac:dyDescent="0.2">
      <c r="A2599" s="42">
        <v>2964</v>
      </c>
      <c r="B2599" s="42">
        <v>17347</v>
      </c>
      <c r="C2599" s="34" t="s">
        <v>3489</v>
      </c>
    </row>
    <row r="2600" spans="1:3" ht="15.75" customHeight="1" x14ac:dyDescent="0.2">
      <c r="A2600" s="42">
        <v>2965</v>
      </c>
      <c r="B2600" s="42">
        <v>17347</v>
      </c>
      <c r="C2600" s="34" t="s">
        <v>3490</v>
      </c>
    </row>
    <row r="2601" spans="1:3" ht="15.75" customHeight="1" x14ac:dyDescent="0.2">
      <c r="A2601" s="42">
        <v>2966</v>
      </c>
      <c r="B2601" s="42">
        <v>17347</v>
      </c>
      <c r="C2601" s="34" t="s">
        <v>3491</v>
      </c>
    </row>
    <row r="2602" spans="1:3" ht="15.75" customHeight="1" x14ac:dyDescent="0.2">
      <c r="A2602" s="42">
        <v>2967</v>
      </c>
      <c r="B2602" s="42">
        <v>17347</v>
      </c>
      <c r="C2602" s="34" t="s">
        <v>3492</v>
      </c>
    </row>
    <row r="2603" spans="1:3" ht="15.75" customHeight="1" x14ac:dyDescent="0.2">
      <c r="A2603" s="42">
        <v>2968</v>
      </c>
      <c r="B2603" s="42">
        <v>17347</v>
      </c>
      <c r="C2603" s="34" t="s">
        <v>3493</v>
      </c>
    </row>
    <row r="2604" spans="1:3" ht="15.75" customHeight="1" x14ac:dyDescent="0.2">
      <c r="A2604" s="42">
        <v>2969</v>
      </c>
      <c r="B2604" s="42">
        <v>17347</v>
      </c>
      <c r="C2604" s="34" t="s">
        <v>3494</v>
      </c>
    </row>
    <row r="2605" spans="1:3" ht="15.75" customHeight="1" x14ac:dyDescent="0.2">
      <c r="A2605" s="42">
        <v>2970</v>
      </c>
      <c r="B2605" s="42">
        <v>17347</v>
      </c>
      <c r="C2605" s="34" t="s">
        <v>3495</v>
      </c>
    </row>
    <row r="2606" spans="1:3" ht="15.75" customHeight="1" x14ac:dyDescent="0.2">
      <c r="A2606" s="42">
        <v>2971</v>
      </c>
      <c r="B2606" s="42">
        <v>17347</v>
      </c>
      <c r="C2606" s="34" t="s">
        <v>3496</v>
      </c>
    </row>
    <row r="2607" spans="1:3" ht="15.75" customHeight="1" x14ac:dyDescent="0.2">
      <c r="A2607" s="42">
        <v>2972</v>
      </c>
      <c r="B2607" s="42">
        <v>17347</v>
      </c>
      <c r="C2607" s="34" t="s">
        <v>3497</v>
      </c>
    </row>
    <row r="2608" spans="1:3" ht="15.75" customHeight="1" x14ac:dyDescent="0.2">
      <c r="A2608" s="42">
        <v>2973</v>
      </c>
      <c r="B2608" s="42">
        <v>17347</v>
      </c>
      <c r="C2608" s="34" t="s">
        <v>3498</v>
      </c>
    </row>
    <row r="2609" spans="1:3" ht="15.75" customHeight="1" x14ac:dyDescent="0.2">
      <c r="A2609" s="42">
        <v>2974</v>
      </c>
      <c r="B2609" s="42">
        <v>17347</v>
      </c>
      <c r="C2609" s="34" t="s">
        <v>3499</v>
      </c>
    </row>
    <row r="2610" spans="1:3" ht="15.75" customHeight="1" x14ac:dyDescent="0.2">
      <c r="A2610" s="42">
        <v>2975</v>
      </c>
      <c r="B2610" s="42">
        <v>17347</v>
      </c>
      <c r="C2610" s="34" t="s">
        <v>3500</v>
      </c>
    </row>
    <row r="2611" spans="1:3" ht="15.75" customHeight="1" x14ac:dyDescent="0.2">
      <c r="A2611" s="42">
        <v>2976</v>
      </c>
      <c r="B2611" s="42">
        <v>17347</v>
      </c>
      <c r="C2611" s="34" t="s">
        <v>3501</v>
      </c>
    </row>
    <row r="2612" spans="1:3" ht="15.75" customHeight="1" x14ac:dyDescent="0.2">
      <c r="A2612" s="42">
        <v>2977</v>
      </c>
      <c r="B2612" s="42">
        <v>17347</v>
      </c>
      <c r="C2612" s="34" t="s">
        <v>3502</v>
      </c>
    </row>
    <row r="2613" spans="1:3" ht="15.75" customHeight="1" x14ac:dyDescent="0.2">
      <c r="A2613" s="42">
        <v>2978</v>
      </c>
      <c r="B2613" s="42">
        <v>17347</v>
      </c>
      <c r="C2613" s="34" t="s">
        <v>3503</v>
      </c>
    </row>
    <row r="2614" spans="1:3" ht="15.75" customHeight="1" x14ac:dyDescent="0.2">
      <c r="A2614" s="42">
        <v>2979</v>
      </c>
      <c r="B2614" s="42">
        <v>17347</v>
      </c>
      <c r="C2614" s="34" t="s">
        <v>3504</v>
      </c>
    </row>
    <row r="2615" spans="1:3" ht="15.75" customHeight="1" x14ac:dyDescent="0.2">
      <c r="A2615" s="42">
        <v>2980</v>
      </c>
      <c r="B2615" s="42">
        <v>17347</v>
      </c>
      <c r="C2615" s="34" t="s">
        <v>3505</v>
      </c>
    </row>
    <row r="2616" spans="1:3" ht="15.75" customHeight="1" x14ac:dyDescent="0.2">
      <c r="A2616" s="42">
        <v>2981</v>
      </c>
      <c r="B2616" s="42">
        <v>17347</v>
      </c>
      <c r="C2616" s="34" t="s">
        <v>3506</v>
      </c>
    </row>
    <row r="2617" spans="1:3" ht="15.75" customHeight="1" x14ac:dyDescent="0.2">
      <c r="A2617" s="42">
        <v>2982</v>
      </c>
      <c r="B2617" s="42">
        <v>17347</v>
      </c>
      <c r="C2617" s="34" t="s">
        <v>3507</v>
      </c>
    </row>
    <row r="2618" spans="1:3" ht="15.75" customHeight="1" x14ac:dyDescent="0.2">
      <c r="A2618" s="42">
        <v>2983</v>
      </c>
      <c r="B2618" s="42">
        <v>17347</v>
      </c>
      <c r="C2618" s="34" t="s">
        <v>3508</v>
      </c>
    </row>
    <row r="2619" spans="1:3" ht="15.75" customHeight="1" x14ac:dyDescent="0.2">
      <c r="A2619" s="42">
        <v>2984</v>
      </c>
      <c r="B2619" s="42">
        <v>17347</v>
      </c>
      <c r="C2619" s="34" t="s">
        <v>3509</v>
      </c>
    </row>
    <row r="2620" spans="1:3" ht="15.75" customHeight="1" x14ac:dyDescent="0.2">
      <c r="A2620" s="42">
        <v>2985</v>
      </c>
      <c r="B2620" s="42">
        <v>17347</v>
      </c>
      <c r="C2620" s="34" t="s">
        <v>3510</v>
      </c>
    </row>
    <row r="2621" spans="1:3" ht="15.75" customHeight="1" x14ac:dyDescent="0.2">
      <c r="A2621" s="42">
        <v>2986</v>
      </c>
      <c r="B2621" s="42">
        <v>17347</v>
      </c>
      <c r="C2621" s="34" t="s">
        <v>3511</v>
      </c>
    </row>
    <row r="2622" spans="1:3" ht="15.75" customHeight="1" x14ac:dyDescent="0.2">
      <c r="A2622" s="42">
        <v>2987</v>
      </c>
      <c r="B2622" s="42">
        <v>17347</v>
      </c>
      <c r="C2622" s="34" t="s">
        <v>3512</v>
      </c>
    </row>
    <row r="2623" spans="1:3" ht="15.75" customHeight="1" x14ac:dyDescent="0.2">
      <c r="A2623" s="42">
        <v>2988</v>
      </c>
      <c r="B2623" s="42">
        <v>17347</v>
      </c>
      <c r="C2623" s="34" t="s">
        <v>3513</v>
      </c>
    </row>
    <row r="2624" spans="1:3" ht="15.75" customHeight="1" x14ac:dyDescent="0.2">
      <c r="A2624" s="42">
        <v>2989</v>
      </c>
      <c r="B2624" s="42">
        <v>17347</v>
      </c>
      <c r="C2624" s="34" t="s">
        <v>3514</v>
      </c>
    </row>
    <row r="2625" spans="1:3" ht="15.75" customHeight="1" x14ac:dyDescent="0.2">
      <c r="A2625" s="42">
        <v>2990</v>
      </c>
      <c r="B2625" s="42">
        <v>17347</v>
      </c>
      <c r="C2625" s="34" t="s">
        <v>3515</v>
      </c>
    </row>
    <row r="2626" spans="1:3" ht="15.75" customHeight="1" x14ac:dyDescent="0.2">
      <c r="A2626" s="42">
        <v>2991</v>
      </c>
      <c r="B2626" s="42">
        <v>17348</v>
      </c>
      <c r="C2626" s="34" t="s">
        <v>3516</v>
      </c>
    </row>
    <row r="2627" spans="1:3" ht="15.75" customHeight="1" x14ac:dyDescent="0.2">
      <c r="A2627" s="42">
        <v>2992</v>
      </c>
      <c r="B2627" s="42">
        <v>17348</v>
      </c>
      <c r="C2627" s="34" t="s">
        <v>3517</v>
      </c>
    </row>
    <row r="2628" spans="1:3" ht="15.75" customHeight="1" x14ac:dyDescent="0.2">
      <c r="A2628" s="42">
        <v>2993</v>
      </c>
      <c r="B2628" s="42">
        <v>17348</v>
      </c>
      <c r="C2628" s="34" t="s">
        <v>3518</v>
      </c>
    </row>
    <row r="2629" spans="1:3" ht="15.75" customHeight="1" x14ac:dyDescent="0.2">
      <c r="A2629" s="42">
        <v>2994</v>
      </c>
      <c r="B2629" s="42">
        <v>17348</v>
      </c>
      <c r="C2629" s="34" t="s">
        <v>3519</v>
      </c>
    </row>
    <row r="2630" spans="1:3" ht="15.75" customHeight="1" x14ac:dyDescent="0.2">
      <c r="A2630" s="42">
        <v>2995</v>
      </c>
      <c r="B2630" s="42">
        <v>17348</v>
      </c>
      <c r="C2630" s="34" t="s">
        <v>3520</v>
      </c>
    </row>
    <row r="2631" spans="1:3" ht="15.75" customHeight="1" x14ac:dyDescent="0.2">
      <c r="A2631" s="42">
        <v>2996</v>
      </c>
      <c r="B2631" s="42">
        <v>17348</v>
      </c>
      <c r="C2631" s="34" t="s">
        <v>3521</v>
      </c>
    </row>
    <row r="2632" spans="1:3" ht="15.75" customHeight="1" x14ac:dyDescent="0.2">
      <c r="A2632" s="42">
        <v>2997</v>
      </c>
      <c r="B2632" s="42">
        <v>17348</v>
      </c>
      <c r="C2632" s="34" t="s">
        <v>3522</v>
      </c>
    </row>
    <row r="2633" spans="1:3" ht="15.75" customHeight="1" x14ac:dyDescent="0.2">
      <c r="A2633" s="42">
        <v>2998</v>
      </c>
      <c r="B2633" s="42">
        <v>17348</v>
      </c>
      <c r="C2633" s="34" t="s">
        <v>3523</v>
      </c>
    </row>
    <row r="2634" spans="1:3" ht="15.75" customHeight="1" x14ac:dyDescent="0.2">
      <c r="A2634" s="42">
        <v>2999</v>
      </c>
      <c r="B2634" s="42">
        <v>17348</v>
      </c>
      <c r="C2634" s="34" t="s">
        <v>3524</v>
      </c>
    </row>
    <row r="2635" spans="1:3" ht="15.75" customHeight="1" x14ac:dyDescent="0.2">
      <c r="A2635" s="42">
        <v>3000</v>
      </c>
      <c r="B2635" s="42">
        <v>17348</v>
      </c>
      <c r="C2635" s="34" t="s">
        <v>3525</v>
      </c>
    </row>
    <row r="2636" spans="1:3" ht="15.75" customHeight="1" x14ac:dyDescent="0.2">
      <c r="A2636" s="42">
        <v>3001</v>
      </c>
      <c r="B2636" s="42">
        <v>17348</v>
      </c>
      <c r="C2636" s="34" t="s">
        <v>3526</v>
      </c>
    </row>
    <row r="2637" spans="1:3" ht="15.75" customHeight="1" x14ac:dyDescent="0.2">
      <c r="A2637" s="42">
        <v>3002</v>
      </c>
      <c r="B2637" s="42">
        <v>17348</v>
      </c>
      <c r="C2637" s="34" t="s">
        <v>3527</v>
      </c>
    </row>
    <row r="2638" spans="1:3" ht="15.75" customHeight="1" x14ac:dyDescent="0.2">
      <c r="A2638" s="42">
        <v>3003</v>
      </c>
      <c r="B2638" s="42">
        <v>17348</v>
      </c>
      <c r="C2638" s="34" t="s">
        <v>3528</v>
      </c>
    </row>
    <row r="2639" spans="1:3" ht="15.75" customHeight="1" x14ac:dyDescent="0.2">
      <c r="A2639" s="42">
        <v>3004</v>
      </c>
      <c r="B2639" s="42">
        <v>17348</v>
      </c>
      <c r="C2639" s="34" t="s">
        <v>3529</v>
      </c>
    </row>
    <row r="2640" spans="1:3" ht="15.75" customHeight="1" x14ac:dyDescent="0.2">
      <c r="A2640" s="42">
        <v>3005</v>
      </c>
      <c r="B2640" s="42">
        <v>17348</v>
      </c>
      <c r="C2640" s="34" t="s">
        <v>3530</v>
      </c>
    </row>
    <row r="2641" spans="1:3" ht="15.75" customHeight="1" x14ac:dyDescent="0.2">
      <c r="A2641" s="42">
        <v>3006</v>
      </c>
      <c r="B2641" s="42">
        <v>17348</v>
      </c>
      <c r="C2641" s="34" t="s">
        <v>3531</v>
      </c>
    </row>
    <row r="2642" spans="1:3" ht="15.75" customHeight="1" x14ac:dyDescent="0.2">
      <c r="A2642" s="42">
        <v>3007</v>
      </c>
      <c r="B2642" s="42">
        <v>17348</v>
      </c>
      <c r="C2642" s="34" t="s">
        <v>3532</v>
      </c>
    </row>
    <row r="2643" spans="1:3" ht="15.75" customHeight="1" x14ac:dyDescent="0.2">
      <c r="A2643" s="42">
        <v>3008</v>
      </c>
      <c r="B2643" s="42">
        <v>17348</v>
      </c>
      <c r="C2643" s="34" t="s">
        <v>3533</v>
      </c>
    </row>
    <row r="2644" spans="1:3" ht="15.75" customHeight="1" x14ac:dyDescent="0.2">
      <c r="A2644" s="42">
        <v>3009</v>
      </c>
      <c r="B2644" s="42">
        <v>17348</v>
      </c>
      <c r="C2644" s="34" t="s">
        <v>3534</v>
      </c>
    </row>
    <row r="2645" spans="1:3" ht="15.75" customHeight="1" x14ac:dyDescent="0.2">
      <c r="A2645" s="42">
        <v>3010</v>
      </c>
      <c r="B2645" s="42">
        <v>17348</v>
      </c>
      <c r="C2645" s="34" t="s">
        <v>3535</v>
      </c>
    </row>
    <row r="2646" spans="1:3" ht="15.75" customHeight="1" x14ac:dyDescent="0.2">
      <c r="A2646" s="42">
        <v>3011</v>
      </c>
      <c r="B2646" s="42">
        <v>17348</v>
      </c>
      <c r="C2646" s="34" t="s">
        <v>3536</v>
      </c>
    </row>
    <row r="2647" spans="1:3" ht="15.75" customHeight="1" x14ac:dyDescent="0.2">
      <c r="A2647" s="42">
        <v>3012</v>
      </c>
      <c r="B2647" s="42">
        <v>17348</v>
      </c>
      <c r="C2647" s="34" t="s">
        <v>3537</v>
      </c>
    </row>
    <row r="2648" spans="1:3" ht="15.75" customHeight="1" x14ac:dyDescent="0.2">
      <c r="A2648" s="42">
        <v>3013</v>
      </c>
      <c r="B2648" s="42">
        <v>17348</v>
      </c>
      <c r="C2648" s="34" t="s">
        <v>3538</v>
      </c>
    </row>
    <row r="2649" spans="1:3" ht="15.75" customHeight="1" x14ac:dyDescent="0.2">
      <c r="A2649" s="42">
        <v>3014</v>
      </c>
      <c r="B2649" s="42">
        <v>17348</v>
      </c>
      <c r="C2649" s="34" t="s">
        <v>3539</v>
      </c>
    </row>
    <row r="2650" spans="1:3" ht="15.75" customHeight="1" x14ac:dyDescent="0.2">
      <c r="A2650" s="42">
        <v>3015</v>
      </c>
      <c r="B2650" s="42">
        <v>17348</v>
      </c>
      <c r="C2650" s="34" t="s">
        <v>3540</v>
      </c>
    </row>
    <row r="2651" spans="1:3" ht="15.75" customHeight="1" x14ac:dyDescent="0.2">
      <c r="A2651" s="42">
        <v>3016</v>
      </c>
      <c r="B2651" s="42">
        <v>17348</v>
      </c>
      <c r="C2651" s="34" t="s">
        <v>3541</v>
      </c>
    </row>
    <row r="2652" spans="1:3" ht="15.75" customHeight="1" x14ac:dyDescent="0.2">
      <c r="A2652" s="42">
        <v>3017</v>
      </c>
      <c r="B2652" s="42">
        <v>17348</v>
      </c>
      <c r="C2652" s="34" t="s">
        <v>3542</v>
      </c>
    </row>
    <row r="2653" spans="1:3" ht="15.75" customHeight="1" x14ac:dyDescent="0.2">
      <c r="A2653" s="42">
        <v>3018</v>
      </c>
      <c r="B2653" s="42">
        <v>17348</v>
      </c>
      <c r="C2653" s="34" t="s">
        <v>3543</v>
      </c>
    </row>
    <row r="2654" spans="1:3" ht="15.75" customHeight="1" x14ac:dyDescent="0.2">
      <c r="A2654" s="42">
        <v>3019</v>
      </c>
      <c r="B2654" s="42">
        <v>17348</v>
      </c>
      <c r="C2654" s="34" t="s">
        <v>3544</v>
      </c>
    </row>
    <row r="2655" spans="1:3" ht="15.75" customHeight="1" x14ac:dyDescent="0.2">
      <c r="A2655" s="42">
        <v>3020</v>
      </c>
      <c r="B2655" s="42">
        <v>17348</v>
      </c>
      <c r="C2655" s="34" t="s">
        <v>3545</v>
      </c>
    </row>
    <row r="2656" spans="1:3" ht="15.75" customHeight="1" x14ac:dyDescent="0.2">
      <c r="A2656" s="42">
        <v>3021</v>
      </c>
      <c r="B2656" s="42">
        <v>17348</v>
      </c>
      <c r="C2656" s="34" t="s">
        <v>3546</v>
      </c>
    </row>
    <row r="2657" spans="1:3" ht="15.75" customHeight="1" x14ac:dyDescent="0.2">
      <c r="A2657" s="42">
        <v>3022</v>
      </c>
      <c r="B2657" s="42">
        <v>17348</v>
      </c>
      <c r="C2657" s="34" t="s">
        <v>3547</v>
      </c>
    </row>
    <row r="2658" spans="1:3" ht="15.75" customHeight="1" x14ac:dyDescent="0.2">
      <c r="A2658" s="42">
        <v>3023</v>
      </c>
      <c r="B2658" s="42">
        <v>17348</v>
      </c>
      <c r="C2658" s="34" t="s">
        <v>3548</v>
      </c>
    </row>
    <row r="2659" spans="1:3" ht="15.75" customHeight="1" x14ac:dyDescent="0.2">
      <c r="A2659" s="42">
        <v>3024</v>
      </c>
      <c r="B2659" s="42">
        <v>17348</v>
      </c>
      <c r="C2659" s="34" t="s">
        <v>3549</v>
      </c>
    </row>
    <row r="2660" spans="1:3" ht="15.75" customHeight="1" x14ac:dyDescent="0.2">
      <c r="A2660" s="42">
        <v>3025</v>
      </c>
      <c r="B2660" s="42">
        <v>17348</v>
      </c>
      <c r="C2660" s="34" t="s">
        <v>3550</v>
      </c>
    </row>
    <row r="2661" spans="1:3" ht="15.75" customHeight="1" x14ac:dyDescent="0.2">
      <c r="A2661" s="42">
        <v>3026</v>
      </c>
      <c r="B2661" s="42">
        <v>17348</v>
      </c>
      <c r="C2661" s="34" t="s">
        <v>3551</v>
      </c>
    </row>
    <row r="2662" spans="1:3" ht="15.75" customHeight="1" x14ac:dyDescent="0.2">
      <c r="A2662" s="42">
        <v>3027</v>
      </c>
      <c r="B2662" s="42">
        <v>17348</v>
      </c>
      <c r="C2662" s="34" t="s">
        <v>3552</v>
      </c>
    </row>
    <row r="2663" spans="1:3" ht="15.75" customHeight="1" x14ac:dyDescent="0.2">
      <c r="A2663" s="42">
        <v>3028</v>
      </c>
      <c r="B2663" s="42">
        <v>17348</v>
      </c>
      <c r="C2663" s="34" t="s">
        <v>3553</v>
      </c>
    </row>
    <row r="2664" spans="1:3" ht="15.75" customHeight="1" x14ac:dyDescent="0.2">
      <c r="A2664" s="42">
        <v>3029</v>
      </c>
      <c r="B2664" s="42">
        <v>17348</v>
      </c>
      <c r="C2664" s="34" t="s">
        <v>3554</v>
      </c>
    </row>
    <row r="2665" spans="1:3" ht="15.75" customHeight="1" x14ac:dyDescent="0.2">
      <c r="A2665" s="42">
        <v>3030</v>
      </c>
      <c r="B2665" s="42">
        <v>17348</v>
      </c>
      <c r="C2665" s="34" t="s">
        <v>3555</v>
      </c>
    </row>
    <row r="2666" spans="1:3" ht="15.75" customHeight="1" x14ac:dyDescent="0.2">
      <c r="A2666" s="42">
        <v>3031</v>
      </c>
      <c r="B2666" s="42">
        <v>17348</v>
      </c>
      <c r="C2666" s="34" t="s">
        <v>3556</v>
      </c>
    </row>
    <row r="2667" spans="1:3" ht="15.75" customHeight="1" x14ac:dyDescent="0.2">
      <c r="A2667" s="42">
        <v>3032</v>
      </c>
      <c r="B2667" s="42">
        <v>17348</v>
      </c>
      <c r="C2667" s="34" t="s">
        <v>3557</v>
      </c>
    </row>
    <row r="2668" spans="1:3" ht="15.75" customHeight="1" x14ac:dyDescent="0.2">
      <c r="A2668" s="42">
        <v>3033</v>
      </c>
      <c r="B2668" s="42">
        <v>17348</v>
      </c>
      <c r="C2668" s="34" t="s">
        <v>3558</v>
      </c>
    </row>
    <row r="2669" spans="1:3" ht="15.75" customHeight="1" x14ac:dyDescent="0.2">
      <c r="A2669" s="42">
        <v>3034</v>
      </c>
      <c r="B2669" s="42">
        <v>17348</v>
      </c>
      <c r="C2669" s="34" t="s">
        <v>3559</v>
      </c>
    </row>
    <row r="2670" spans="1:3" ht="15.75" customHeight="1" x14ac:dyDescent="0.2">
      <c r="A2670" s="42">
        <v>3035</v>
      </c>
      <c r="B2670" s="42">
        <v>17348</v>
      </c>
      <c r="C2670" s="34" t="s">
        <v>3560</v>
      </c>
    </row>
    <row r="2671" spans="1:3" ht="15.75" customHeight="1" x14ac:dyDescent="0.2">
      <c r="A2671" s="42">
        <v>3036</v>
      </c>
      <c r="B2671" s="42">
        <v>17348</v>
      </c>
      <c r="C2671" s="34" t="s">
        <v>3561</v>
      </c>
    </row>
    <row r="2672" spans="1:3" ht="15.75" customHeight="1" x14ac:dyDescent="0.2">
      <c r="A2672" s="42">
        <v>3037</v>
      </c>
      <c r="B2672" s="42">
        <v>17348</v>
      </c>
      <c r="C2672" s="34" t="s">
        <v>3562</v>
      </c>
    </row>
    <row r="2673" spans="1:3" ht="15.75" customHeight="1" x14ac:dyDescent="0.2">
      <c r="A2673" s="42">
        <v>3038</v>
      </c>
      <c r="B2673" s="42">
        <v>17348</v>
      </c>
      <c r="C2673" s="34" t="s">
        <v>3563</v>
      </c>
    </row>
    <row r="2674" spans="1:3" ht="15.75" customHeight="1" x14ac:dyDescent="0.2">
      <c r="A2674" s="42">
        <v>3039</v>
      </c>
      <c r="B2674" s="42">
        <v>17348</v>
      </c>
      <c r="C2674" s="34" t="s">
        <v>3564</v>
      </c>
    </row>
    <row r="2675" spans="1:3" ht="15.75" customHeight="1" x14ac:dyDescent="0.2">
      <c r="A2675" s="42">
        <v>3040</v>
      </c>
      <c r="B2675" s="42">
        <v>17348</v>
      </c>
      <c r="C2675" s="34" t="s">
        <v>3565</v>
      </c>
    </row>
    <row r="2676" spans="1:3" ht="15.75" customHeight="1" x14ac:dyDescent="0.2">
      <c r="A2676" s="42">
        <v>3041</v>
      </c>
      <c r="B2676" s="42">
        <v>17348</v>
      </c>
      <c r="C2676" s="34" t="s">
        <v>3566</v>
      </c>
    </row>
    <row r="2677" spans="1:3" ht="15.75" customHeight="1" x14ac:dyDescent="0.2">
      <c r="A2677" s="42">
        <v>3042</v>
      </c>
      <c r="B2677" s="42">
        <v>17348</v>
      </c>
      <c r="C2677" s="34" t="s">
        <v>3567</v>
      </c>
    </row>
    <row r="2678" spans="1:3" ht="15.75" customHeight="1" x14ac:dyDescent="0.2">
      <c r="A2678" s="42">
        <v>3043</v>
      </c>
      <c r="B2678" s="42">
        <v>17348</v>
      </c>
      <c r="C2678" s="34" t="s">
        <v>3568</v>
      </c>
    </row>
    <row r="2679" spans="1:3" ht="15.75" customHeight="1" x14ac:dyDescent="0.2">
      <c r="A2679" s="42">
        <v>3044</v>
      </c>
      <c r="B2679" s="42">
        <v>17348</v>
      </c>
      <c r="C2679" s="34" t="s">
        <v>3569</v>
      </c>
    </row>
    <row r="2680" spans="1:3" ht="15.75" customHeight="1" x14ac:dyDescent="0.2">
      <c r="A2680" s="42">
        <v>3045</v>
      </c>
      <c r="B2680" s="42">
        <v>17348</v>
      </c>
      <c r="C2680" s="34" t="s">
        <v>3570</v>
      </c>
    </row>
    <row r="2681" spans="1:3" ht="15.75" customHeight="1" x14ac:dyDescent="0.2">
      <c r="A2681" s="42">
        <v>3046</v>
      </c>
      <c r="B2681" s="42">
        <v>17348</v>
      </c>
      <c r="C2681" s="34" t="s">
        <v>3571</v>
      </c>
    </row>
    <row r="2682" spans="1:3" ht="15.75" customHeight="1" x14ac:dyDescent="0.2">
      <c r="A2682" s="42">
        <v>3047</v>
      </c>
      <c r="B2682" s="42">
        <v>17348</v>
      </c>
      <c r="C2682" s="34" t="s">
        <v>3572</v>
      </c>
    </row>
    <row r="2683" spans="1:3" ht="15.75" customHeight="1" x14ac:dyDescent="0.2">
      <c r="A2683" s="42">
        <v>3048</v>
      </c>
      <c r="B2683" s="42">
        <v>17348</v>
      </c>
      <c r="C2683" s="34" t="s">
        <v>3573</v>
      </c>
    </row>
    <row r="2684" spans="1:3" ht="15.75" customHeight="1" x14ac:dyDescent="0.2">
      <c r="A2684" s="42">
        <v>3049</v>
      </c>
      <c r="B2684" s="42">
        <v>17348</v>
      </c>
      <c r="C2684" s="34" t="s">
        <v>3574</v>
      </c>
    </row>
    <row r="2685" spans="1:3" ht="15.75" customHeight="1" x14ac:dyDescent="0.2">
      <c r="A2685" s="42">
        <v>3050</v>
      </c>
      <c r="B2685" s="42">
        <v>17348</v>
      </c>
      <c r="C2685" s="34" t="s">
        <v>3575</v>
      </c>
    </row>
    <row r="2686" spans="1:3" ht="15.75" customHeight="1" x14ac:dyDescent="0.2">
      <c r="A2686" s="42">
        <v>3051</v>
      </c>
      <c r="B2686" s="42">
        <v>17348</v>
      </c>
      <c r="C2686" s="34" t="s">
        <v>3576</v>
      </c>
    </row>
    <row r="2687" spans="1:3" ht="15.75" customHeight="1" x14ac:dyDescent="0.2">
      <c r="A2687" s="42">
        <v>3052</v>
      </c>
      <c r="B2687" s="42">
        <v>17348</v>
      </c>
      <c r="C2687" s="34" t="s">
        <v>3577</v>
      </c>
    </row>
    <row r="2688" spans="1:3" ht="15.75" customHeight="1" x14ac:dyDescent="0.2">
      <c r="A2688" s="42">
        <v>3053</v>
      </c>
      <c r="B2688" s="42">
        <v>17348</v>
      </c>
      <c r="C2688" s="34" t="s">
        <v>3578</v>
      </c>
    </row>
    <row r="2689" spans="1:3" ht="15.75" customHeight="1" x14ac:dyDescent="0.2">
      <c r="A2689" s="42">
        <v>3054</v>
      </c>
      <c r="B2689" s="42">
        <v>17348</v>
      </c>
      <c r="C2689" s="34" t="s">
        <v>3579</v>
      </c>
    </row>
    <row r="2690" spans="1:3" ht="15.75" customHeight="1" x14ac:dyDescent="0.2">
      <c r="A2690" s="42">
        <v>3055</v>
      </c>
      <c r="B2690" s="42">
        <v>17348</v>
      </c>
      <c r="C2690" s="34" t="s">
        <v>3580</v>
      </c>
    </row>
    <row r="2691" spans="1:3" ht="15.75" customHeight="1" x14ac:dyDescent="0.2">
      <c r="A2691" s="42">
        <v>3056</v>
      </c>
      <c r="B2691" s="42">
        <v>17348</v>
      </c>
      <c r="C2691" s="34" t="s">
        <v>3581</v>
      </c>
    </row>
    <row r="2692" spans="1:3" ht="15.75" customHeight="1" x14ac:dyDescent="0.2">
      <c r="A2692" s="42">
        <v>3057</v>
      </c>
      <c r="B2692" s="42">
        <v>17348</v>
      </c>
      <c r="C2692" s="34" t="s">
        <v>3582</v>
      </c>
    </row>
    <row r="2693" spans="1:3" ht="15.75" customHeight="1" x14ac:dyDescent="0.2">
      <c r="A2693" s="42">
        <v>3058</v>
      </c>
      <c r="B2693" s="42">
        <v>17348</v>
      </c>
      <c r="C2693" s="34" t="s">
        <v>3583</v>
      </c>
    </row>
    <row r="2694" spans="1:3" ht="15.75" customHeight="1" x14ac:dyDescent="0.2">
      <c r="A2694" s="42">
        <v>3059</v>
      </c>
      <c r="B2694" s="42">
        <v>17348</v>
      </c>
      <c r="C2694" s="34" t="s">
        <v>3584</v>
      </c>
    </row>
    <row r="2695" spans="1:3" ht="15.75" customHeight="1" x14ac:dyDescent="0.2">
      <c r="A2695" s="42">
        <v>3060</v>
      </c>
      <c r="B2695" s="42">
        <v>17348</v>
      </c>
      <c r="C2695" s="34" t="s">
        <v>3585</v>
      </c>
    </row>
    <row r="2696" spans="1:3" ht="15.75" customHeight="1" x14ac:dyDescent="0.2">
      <c r="A2696" s="42">
        <v>3061</v>
      </c>
      <c r="B2696" s="42">
        <v>17348</v>
      </c>
      <c r="C2696" s="34" t="s">
        <v>3586</v>
      </c>
    </row>
    <row r="2697" spans="1:3" ht="15.75" customHeight="1" x14ac:dyDescent="0.2">
      <c r="A2697" s="42">
        <v>3062</v>
      </c>
      <c r="B2697" s="42">
        <v>17348</v>
      </c>
      <c r="C2697" s="34" t="s">
        <v>3587</v>
      </c>
    </row>
    <row r="2698" spans="1:3" ht="15.75" customHeight="1" x14ac:dyDescent="0.2">
      <c r="A2698" s="42">
        <v>3063</v>
      </c>
      <c r="B2698" s="42">
        <v>17348</v>
      </c>
      <c r="C2698" s="34" t="s">
        <v>3588</v>
      </c>
    </row>
    <row r="2699" spans="1:3" ht="15.75" customHeight="1" x14ac:dyDescent="0.2">
      <c r="A2699" s="42">
        <v>3064</v>
      </c>
      <c r="B2699" s="42">
        <v>17348</v>
      </c>
      <c r="C2699" s="34" t="s">
        <v>3589</v>
      </c>
    </row>
    <row r="2700" spans="1:3" ht="15.75" customHeight="1" x14ac:dyDescent="0.2">
      <c r="A2700" s="42">
        <v>3065</v>
      </c>
      <c r="B2700" s="42">
        <v>17348</v>
      </c>
      <c r="C2700" s="34" t="s">
        <v>3590</v>
      </c>
    </row>
    <row r="2701" spans="1:3" ht="15.75" customHeight="1" x14ac:dyDescent="0.2">
      <c r="A2701" s="42">
        <v>3066</v>
      </c>
      <c r="B2701" s="42">
        <v>17348</v>
      </c>
      <c r="C2701" s="34" t="s">
        <v>3591</v>
      </c>
    </row>
    <row r="2702" spans="1:3" ht="15.75" customHeight="1" x14ac:dyDescent="0.2">
      <c r="A2702" s="42">
        <v>3067</v>
      </c>
      <c r="B2702" s="42">
        <v>17348</v>
      </c>
      <c r="C2702" s="34" t="s">
        <v>3592</v>
      </c>
    </row>
    <row r="2703" spans="1:3" ht="15.75" customHeight="1" x14ac:dyDescent="0.2">
      <c r="A2703" s="42">
        <v>3068</v>
      </c>
      <c r="B2703" s="42">
        <v>17348</v>
      </c>
      <c r="C2703" s="34" t="s">
        <v>3593</v>
      </c>
    </row>
    <row r="2704" spans="1:3" ht="15.75" customHeight="1" x14ac:dyDescent="0.2">
      <c r="A2704" s="42">
        <v>3069</v>
      </c>
      <c r="B2704" s="42">
        <v>17348</v>
      </c>
      <c r="C2704" s="34" t="s">
        <v>3594</v>
      </c>
    </row>
    <row r="2705" spans="1:3" ht="15.75" customHeight="1" x14ac:dyDescent="0.2">
      <c r="A2705" s="42">
        <v>3070</v>
      </c>
      <c r="B2705" s="42">
        <v>17348</v>
      </c>
      <c r="C2705" s="34" t="s">
        <v>3595</v>
      </c>
    </row>
    <row r="2706" spans="1:3" ht="15.75" customHeight="1" x14ac:dyDescent="0.2">
      <c r="A2706" s="42">
        <v>3071</v>
      </c>
      <c r="B2706" s="42">
        <v>17348</v>
      </c>
      <c r="C2706" s="34" t="s">
        <v>3596</v>
      </c>
    </row>
    <row r="2707" spans="1:3" ht="15.75" customHeight="1" x14ac:dyDescent="0.2">
      <c r="A2707" s="42">
        <v>3072</v>
      </c>
      <c r="B2707" s="42">
        <v>17348</v>
      </c>
      <c r="C2707" s="34" t="s">
        <v>3597</v>
      </c>
    </row>
    <row r="2708" spans="1:3" ht="15.75" customHeight="1" x14ac:dyDescent="0.2">
      <c r="A2708" s="42">
        <v>3073</v>
      </c>
      <c r="B2708" s="42">
        <v>17348</v>
      </c>
      <c r="C2708" s="34" t="s">
        <v>3598</v>
      </c>
    </row>
    <row r="2709" spans="1:3" ht="15.75" customHeight="1" x14ac:dyDescent="0.2">
      <c r="A2709" s="42">
        <v>3074</v>
      </c>
      <c r="B2709" s="42">
        <v>17348</v>
      </c>
      <c r="C2709" s="34" t="s">
        <v>3599</v>
      </c>
    </row>
    <row r="2710" spans="1:3" ht="15.75" customHeight="1" x14ac:dyDescent="0.2">
      <c r="A2710" s="42">
        <v>3075</v>
      </c>
      <c r="B2710" s="42">
        <v>17348</v>
      </c>
      <c r="C2710" s="34" t="s">
        <v>3600</v>
      </c>
    </row>
    <row r="2711" spans="1:3" ht="15.75" customHeight="1" x14ac:dyDescent="0.2">
      <c r="A2711" s="42">
        <v>3076</v>
      </c>
      <c r="B2711" s="42">
        <v>17348</v>
      </c>
      <c r="C2711" s="34" t="s">
        <v>3601</v>
      </c>
    </row>
    <row r="2712" spans="1:3" ht="15.75" customHeight="1" x14ac:dyDescent="0.2">
      <c r="A2712" s="42">
        <v>3077</v>
      </c>
      <c r="B2712" s="42">
        <v>17348</v>
      </c>
      <c r="C2712" s="34" t="s">
        <v>3602</v>
      </c>
    </row>
    <row r="2713" spans="1:3" ht="15.75" customHeight="1" x14ac:dyDescent="0.2">
      <c r="A2713" s="42">
        <v>3078</v>
      </c>
      <c r="B2713" s="42">
        <v>17348</v>
      </c>
      <c r="C2713" s="34" t="s">
        <v>3603</v>
      </c>
    </row>
    <row r="2714" spans="1:3" ht="15.75" customHeight="1" x14ac:dyDescent="0.2">
      <c r="A2714" s="42">
        <v>3079</v>
      </c>
      <c r="B2714" s="42">
        <v>17348</v>
      </c>
      <c r="C2714" s="34" t="s">
        <v>3604</v>
      </c>
    </row>
    <row r="2715" spans="1:3" ht="15.75" customHeight="1" x14ac:dyDescent="0.2">
      <c r="A2715" s="42">
        <v>3080</v>
      </c>
      <c r="B2715" s="42">
        <v>17348</v>
      </c>
      <c r="C2715" s="34" t="s">
        <v>3605</v>
      </c>
    </row>
    <row r="2716" spans="1:3" ht="15.75" customHeight="1" x14ac:dyDescent="0.2">
      <c r="A2716" s="42">
        <v>3081</v>
      </c>
      <c r="B2716" s="42">
        <v>17348</v>
      </c>
      <c r="C2716" s="34" t="s">
        <v>3606</v>
      </c>
    </row>
    <row r="2717" spans="1:3" ht="15.75" customHeight="1" x14ac:dyDescent="0.2">
      <c r="A2717" s="42">
        <v>3082</v>
      </c>
      <c r="B2717" s="42">
        <v>17348</v>
      </c>
      <c r="C2717" s="34" t="s">
        <v>3607</v>
      </c>
    </row>
    <row r="2718" spans="1:3" ht="15.75" customHeight="1" x14ac:dyDescent="0.2">
      <c r="A2718" s="42">
        <v>3083</v>
      </c>
      <c r="B2718" s="42">
        <v>17349</v>
      </c>
      <c r="C2718" s="34" t="s">
        <v>3608</v>
      </c>
    </row>
    <row r="2719" spans="1:3" ht="15.75" customHeight="1" x14ac:dyDescent="0.2">
      <c r="A2719" s="42">
        <v>3084</v>
      </c>
      <c r="B2719" s="42">
        <v>17349</v>
      </c>
      <c r="C2719" s="34" t="s">
        <v>3609</v>
      </c>
    </row>
    <row r="2720" spans="1:3" ht="15.75" customHeight="1" x14ac:dyDescent="0.2">
      <c r="A2720" s="42">
        <v>3085</v>
      </c>
      <c r="B2720" s="42">
        <v>17349</v>
      </c>
      <c r="C2720" s="34" t="s">
        <v>3610</v>
      </c>
    </row>
    <row r="2721" spans="1:3" ht="15.75" customHeight="1" x14ac:dyDescent="0.2">
      <c r="A2721" s="42">
        <v>3086</v>
      </c>
      <c r="B2721" s="42">
        <v>17349</v>
      </c>
      <c r="C2721" s="34" t="s">
        <v>3611</v>
      </c>
    </row>
    <row r="2722" spans="1:3" ht="15.75" customHeight="1" x14ac:dyDescent="0.2">
      <c r="A2722" s="42">
        <v>3087</v>
      </c>
      <c r="B2722" s="42">
        <v>17349</v>
      </c>
      <c r="C2722" s="34" t="s">
        <v>3612</v>
      </c>
    </row>
    <row r="2723" spans="1:3" ht="15.75" customHeight="1" x14ac:dyDescent="0.2">
      <c r="A2723" s="42">
        <v>3088</v>
      </c>
      <c r="B2723" s="42">
        <v>17349</v>
      </c>
      <c r="C2723" s="34" t="s">
        <v>3613</v>
      </c>
    </row>
    <row r="2724" spans="1:3" ht="15.75" customHeight="1" x14ac:dyDescent="0.2">
      <c r="A2724" s="42">
        <v>3089</v>
      </c>
      <c r="B2724" s="42">
        <v>17349</v>
      </c>
      <c r="C2724" s="34" t="s">
        <v>3614</v>
      </c>
    </row>
    <row r="2725" spans="1:3" ht="15.75" customHeight="1" x14ac:dyDescent="0.2">
      <c r="A2725" s="42">
        <v>3090</v>
      </c>
      <c r="B2725" s="42">
        <v>17349</v>
      </c>
      <c r="C2725" s="34" t="s">
        <v>3615</v>
      </c>
    </row>
    <row r="2726" spans="1:3" ht="15.75" customHeight="1" x14ac:dyDescent="0.2">
      <c r="A2726" s="42">
        <v>3091</v>
      </c>
      <c r="B2726" s="42">
        <v>17349</v>
      </c>
      <c r="C2726" s="34" t="s">
        <v>3616</v>
      </c>
    </row>
    <row r="2727" spans="1:3" ht="15.75" customHeight="1" x14ac:dyDescent="0.2">
      <c r="A2727" s="42">
        <v>3092</v>
      </c>
      <c r="B2727" s="42">
        <v>17349</v>
      </c>
      <c r="C2727" s="34" t="s">
        <v>3617</v>
      </c>
    </row>
    <row r="2728" spans="1:3" ht="15.75" customHeight="1" x14ac:dyDescent="0.2">
      <c r="A2728" s="42">
        <v>3093</v>
      </c>
      <c r="B2728" s="42">
        <v>17349</v>
      </c>
      <c r="C2728" s="34" t="s">
        <v>3618</v>
      </c>
    </row>
    <row r="2729" spans="1:3" ht="15.75" customHeight="1" x14ac:dyDescent="0.2">
      <c r="A2729" s="42">
        <v>3094</v>
      </c>
      <c r="B2729" s="42">
        <v>17349</v>
      </c>
      <c r="C2729" s="34" t="s">
        <v>3619</v>
      </c>
    </row>
    <row r="2730" spans="1:3" ht="15.75" customHeight="1" x14ac:dyDescent="0.2">
      <c r="A2730" s="42">
        <v>3095</v>
      </c>
      <c r="B2730" s="42">
        <v>17349</v>
      </c>
      <c r="C2730" s="34" t="s">
        <v>3620</v>
      </c>
    </row>
    <row r="2731" spans="1:3" ht="15.75" customHeight="1" x14ac:dyDescent="0.2">
      <c r="A2731" s="42">
        <v>3096</v>
      </c>
      <c r="B2731" s="42">
        <v>17349</v>
      </c>
      <c r="C2731" s="34" t="s">
        <v>3621</v>
      </c>
    </row>
    <row r="2732" spans="1:3" ht="15.75" customHeight="1" x14ac:dyDescent="0.2">
      <c r="A2732" s="42">
        <v>3097</v>
      </c>
      <c r="B2732" s="42">
        <v>17349</v>
      </c>
      <c r="C2732" s="34" t="s">
        <v>3622</v>
      </c>
    </row>
    <row r="2733" spans="1:3" ht="15.75" customHeight="1" x14ac:dyDescent="0.2">
      <c r="A2733" s="42">
        <v>3098</v>
      </c>
      <c r="B2733" s="42">
        <v>17349</v>
      </c>
      <c r="C2733" s="34" t="s">
        <v>3623</v>
      </c>
    </row>
    <row r="2734" spans="1:3" ht="15.75" customHeight="1" x14ac:dyDescent="0.2">
      <c r="A2734" s="42">
        <v>3099</v>
      </c>
      <c r="B2734" s="42">
        <v>17349</v>
      </c>
      <c r="C2734" s="34" t="s">
        <v>3624</v>
      </c>
    </row>
    <row r="2735" spans="1:3" ht="15.75" customHeight="1" x14ac:dyDescent="0.2">
      <c r="A2735" s="42">
        <v>3100</v>
      </c>
      <c r="B2735" s="42">
        <v>17349</v>
      </c>
      <c r="C2735" s="34" t="s">
        <v>3625</v>
      </c>
    </row>
    <row r="2736" spans="1:3" ht="15.75" customHeight="1" x14ac:dyDescent="0.2">
      <c r="A2736" s="42">
        <v>3101</v>
      </c>
      <c r="B2736" s="42">
        <v>17349</v>
      </c>
      <c r="C2736" s="34" t="s">
        <v>3626</v>
      </c>
    </row>
    <row r="2737" spans="1:3" ht="15.75" customHeight="1" x14ac:dyDescent="0.2">
      <c r="A2737" s="42">
        <v>3102</v>
      </c>
      <c r="B2737" s="42">
        <v>17349</v>
      </c>
      <c r="C2737" s="34" t="s">
        <v>3627</v>
      </c>
    </row>
    <row r="2738" spans="1:3" ht="15.75" customHeight="1" x14ac:dyDescent="0.2">
      <c r="A2738" s="42">
        <v>3103</v>
      </c>
      <c r="B2738" s="42">
        <v>17349</v>
      </c>
      <c r="C2738" s="34" t="s">
        <v>3628</v>
      </c>
    </row>
    <row r="2739" spans="1:3" ht="15.75" customHeight="1" x14ac:dyDescent="0.2">
      <c r="A2739" s="42">
        <v>3104</v>
      </c>
      <c r="B2739" s="42">
        <v>17349</v>
      </c>
      <c r="C2739" s="34" t="s">
        <v>3629</v>
      </c>
    </row>
    <row r="2740" spans="1:3" ht="15.75" customHeight="1" x14ac:dyDescent="0.2">
      <c r="A2740" s="42">
        <v>3105</v>
      </c>
      <c r="B2740" s="42">
        <v>17349</v>
      </c>
      <c r="C2740" s="34" t="s">
        <v>3630</v>
      </c>
    </row>
    <row r="2741" spans="1:3" ht="15.75" customHeight="1" x14ac:dyDescent="0.2">
      <c r="A2741" s="42">
        <v>3106</v>
      </c>
      <c r="B2741" s="42">
        <v>17349</v>
      </c>
      <c r="C2741" s="34" t="s">
        <v>3631</v>
      </c>
    </row>
    <row r="2742" spans="1:3" ht="15.75" customHeight="1" x14ac:dyDescent="0.2">
      <c r="A2742" s="42">
        <v>3107</v>
      </c>
      <c r="B2742" s="42">
        <v>17349</v>
      </c>
      <c r="C2742" s="34" t="s">
        <v>3609</v>
      </c>
    </row>
    <row r="2743" spans="1:3" ht="15.75" customHeight="1" x14ac:dyDescent="0.2">
      <c r="A2743" s="42">
        <v>3108</v>
      </c>
      <c r="B2743" s="42">
        <v>17349</v>
      </c>
      <c r="C2743" s="34" t="s">
        <v>3632</v>
      </c>
    </row>
    <row r="2744" spans="1:3" ht="15.75" customHeight="1" x14ac:dyDescent="0.2">
      <c r="A2744" s="42">
        <v>3109</v>
      </c>
      <c r="B2744" s="42">
        <v>17349</v>
      </c>
      <c r="C2744" s="34" t="s">
        <v>3633</v>
      </c>
    </row>
    <row r="2745" spans="1:3" ht="15.75" customHeight="1" x14ac:dyDescent="0.2">
      <c r="A2745" s="42">
        <v>3110</v>
      </c>
      <c r="B2745" s="42">
        <v>17349</v>
      </c>
      <c r="C2745" s="34" t="s">
        <v>3634</v>
      </c>
    </row>
    <row r="2746" spans="1:3" ht="15.75" customHeight="1" x14ac:dyDescent="0.2">
      <c r="A2746" s="42">
        <v>3111</v>
      </c>
      <c r="B2746" s="42">
        <v>17349</v>
      </c>
      <c r="C2746" s="34" t="s">
        <v>3635</v>
      </c>
    </row>
    <row r="2747" spans="1:3" ht="15.75" customHeight="1" x14ac:dyDescent="0.2">
      <c r="A2747" s="42">
        <v>3112</v>
      </c>
      <c r="B2747" s="42">
        <v>17349</v>
      </c>
      <c r="C2747" s="34" t="s">
        <v>3636</v>
      </c>
    </row>
    <row r="2748" spans="1:3" ht="15.75" customHeight="1" x14ac:dyDescent="0.2">
      <c r="A2748" s="42">
        <v>3113</v>
      </c>
      <c r="B2748" s="42">
        <v>17349</v>
      </c>
      <c r="C2748" s="34" t="s">
        <v>3637</v>
      </c>
    </row>
    <row r="2749" spans="1:3" ht="15.75" customHeight="1" x14ac:dyDescent="0.2">
      <c r="A2749" s="42">
        <v>3114</v>
      </c>
      <c r="B2749" s="42">
        <v>17349</v>
      </c>
      <c r="C2749" s="34" t="s">
        <v>3638</v>
      </c>
    </row>
    <row r="2750" spans="1:3" ht="15.75" customHeight="1" x14ac:dyDescent="0.2">
      <c r="A2750" s="42">
        <v>3115</v>
      </c>
      <c r="B2750" s="42">
        <v>17349</v>
      </c>
      <c r="C2750" s="34" t="s">
        <v>3639</v>
      </c>
    </row>
    <row r="2751" spans="1:3" ht="15.75" customHeight="1" x14ac:dyDescent="0.2">
      <c r="A2751" s="42">
        <v>3116</v>
      </c>
      <c r="B2751" s="42">
        <v>17349</v>
      </c>
      <c r="C2751" s="34" t="s">
        <v>3640</v>
      </c>
    </row>
    <row r="2752" spans="1:3" ht="15.75" customHeight="1" x14ac:dyDescent="0.2">
      <c r="A2752" s="42">
        <v>3117</v>
      </c>
      <c r="B2752" s="42">
        <v>17349</v>
      </c>
      <c r="C2752" s="34" t="s">
        <v>3641</v>
      </c>
    </row>
    <row r="2753" spans="1:3" ht="15.75" customHeight="1" x14ac:dyDescent="0.2">
      <c r="A2753" s="42">
        <v>3118</v>
      </c>
      <c r="B2753" s="42">
        <v>17349</v>
      </c>
      <c r="C2753" s="34" t="s">
        <v>3642</v>
      </c>
    </row>
    <row r="2754" spans="1:3" ht="15.75" customHeight="1" x14ac:dyDescent="0.2">
      <c r="A2754" s="42">
        <v>3119</v>
      </c>
      <c r="B2754" s="42">
        <v>17349</v>
      </c>
      <c r="C2754" s="34" t="s">
        <v>3643</v>
      </c>
    </row>
    <row r="2755" spans="1:3" ht="15.75" customHeight="1" x14ac:dyDescent="0.2">
      <c r="A2755" s="42">
        <v>3120</v>
      </c>
      <c r="B2755" s="42">
        <v>17349</v>
      </c>
      <c r="C2755" s="34" t="s">
        <v>3644</v>
      </c>
    </row>
    <row r="2756" spans="1:3" ht="15.75" customHeight="1" x14ac:dyDescent="0.2">
      <c r="A2756" s="42">
        <v>3121</v>
      </c>
      <c r="B2756" s="42">
        <v>17349</v>
      </c>
      <c r="C2756" s="34" t="s">
        <v>3645</v>
      </c>
    </row>
    <row r="2757" spans="1:3" ht="15.75" customHeight="1" x14ac:dyDescent="0.2">
      <c r="A2757" s="42">
        <v>3122</v>
      </c>
      <c r="B2757" s="42">
        <v>17349</v>
      </c>
      <c r="C2757" s="34" t="s">
        <v>3646</v>
      </c>
    </row>
    <row r="2758" spans="1:3" ht="15.75" customHeight="1" x14ac:dyDescent="0.2">
      <c r="A2758" s="42">
        <v>3123</v>
      </c>
      <c r="B2758" s="42">
        <v>17349</v>
      </c>
      <c r="C2758" s="34" t="s">
        <v>3647</v>
      </c>
    </row>
    <row r="2759" spans="1:3" ht="15.75" customHeight="1" x14ac:dyDescent="0.2">
      <c r="A2759" s="42">
        <v>3124</v>
      </c>
      <c r="B2759" s="42">
        <v>17349</v>
      </c>
      <c r="C2759" s="34" t="s">
        <v>3648</v>
      </c>
    </row>
    <row r="2760" spans="1:3" ht="15.75" customHeight="1" x14ac:dyDescent="0.2">
      <c r="A2760" s="42">
        <v>3125</v>
      </c>
      <c r="B2760" s="42">
        <v>17349</v>
      </c>
      <c r="C2760" s="34" t="s">
        <v>3649</v>
      </c>
    </row>
    <row r="2761" spans="1:3" ht="15.75" customHeight="1" x14ac:dyDescent="0.2">
      <c r="A2761" s="42">
        <v>3126</v>
      </c>
      <c r="B2761" s="42">
        <v>17349</v>
      </c>
      <c r="C2761" s="34" t="s">
        <v>3650</v>
      </c>
    </row>
    <row r="2762" spans="1:3" ht="15.75" customHeight="1" x14ac:dyDescent="0.2">
      <c r="A2762" s="42">
        <v>3127</v>
      </c>
      <c r="B2762" s="42">
        <v>17349</v>
      </c>
      <c r="C2762" s="34" t="s">
        <v>3651</v>
      </c>
    </row>
    <row r="2763" spans="1:3" ht="15.75" customHeight="1" x14ac:dyDescent="0.2">
      <c r="A2763" s="42">
        <v>3128</v>
      </c>
      <c r="B2763" s="42">
        <v>17349</v>
      </c>
      <c r="C2763" s="34" t="s">
        <v>3652</v>
      </c>
    </row>
    <row r="2764" spans="1:3" ht="15.75" customHeight="1" x14ac:dyDescent="0.2">
      <c r="A2764" s="42">
        <v>3129</v>
      </c>
      <c r="B2764" s="42">
        <v>17349</v>
      </c>
      <c r="C2764" s="34" t="s">
        <v>3653</v>
      </c>
    </row>
    <row r="2765" spans="1:3" ht="15.75" customHeight="1" x14ac:dyDescent="0.2">
      <c r="A2765" s="42">
        <v>3130</v>
      </c>
      <c r="B2765" s="42">
        <v>17349</v>
      </c>
      <c r="C2765" s="34" t="s">
        <v>3654</v>
      </c>
    </row>
    <row r="2766" spans="1:3" ht="15.75" customHeight="1" x14ac:dyDescent="0.2">
      <c r="A2766" s="42">
        <v>3131</v>
      </c>
      <c r="B2766" s="42">
        <v>17349</v>
      </c>
      <c r="C2766" s="34" t="s">
        <v>3655</v>
      </c>
    </row>
    <row r="2767" spans="1:3" ht="15.75" customHeight="1" x14ac:dyDescent="0.2">
      <c r="A2767" s="42">
        <v>3132</v>
      </c>
      <c r="B2767" s="42">
        <v>17349</v>
      </c>
      <c r="C2767" s="34" t="s">
        <v>3656</v>
      </c>
    </row>
    <row r="2768" spans="1:3" ht="15.75" customHeight="1" x14ac:dyDescent="0.2">
      <c r="A2768" s="42">
        <v>3133</v>
      </c>
      <c r="B2768" s="42">
        <v>17349</v>
      </c>
      <c r="C2768" s="34" t="s">
        <v>3657</v>
      </c>
    </row>
    <row r="2769" spans="1:3" ht="15.75" customHeight="1" x14ac:dyDescent="0.2">
      <c r="A2769" s="42">
        <v>3134</v>
      </c>
      <c r="B2769" s="42">
        <v>17349</v>
      </c>
      <c r="C2769" s="34" t="s">
        <v>3658</v>
      </c>
    </row>
    <row r="2770" spans="1:3" ht="15.75" customHeight="1" x14ac:dyDescent="0.2">
      <c r="A2770" s="42">
        <v>3135</v>
      </c>
      <c r="B2770" s="42">
        <v>17349</v>
      </c>
      <c r="C2770" s="34" t="s">
        <v>3628</v>
      </c>
    </row>
    <row r="2771" spans="1:3" ht="15.75" customHeight="1" x14ac:dyDescent="0.2">
      <c r="A2771" s="42">
        <v>3136</v>
      </c>
      <c r="B2771" s="42">
        <v>17349</v>
      </c>
      <c r="C2771" s="34" t="s">
        <v>3659</v>
      </c>
    </row>
    <row r="2772" spans="1:3" ht="15.75" customHeight="1" x14ac:dyDescent="0.2">
      <c r="A2772" s="42">
        <v>3137</v>
      </c>
      <c r="B2772" s="42">
        <v>17349</v>
      </c>
      <c r="C2772" s="34" t="s">
        <v>3660</v>
      </c>
    </row>
    <row r="2773" spans="1:3" ht="15.75" customHeight="1" x14ac:dyDescent="0.2">
      <c r="A2773" s="42">
        <v>3138</v>
      </c>
      <c r="B2773" s="42">
        <v>17349</v>
      </c>
      <c r="C2773" s="34" t="s">
        <v>3661</v>
      </c>
    </row>
    <row r="2774" spans="1:3" ht="15.75" customHeight="1" x14ac:dyDescent="0.2">
      <c r="A2774" s="42">
        <v>3139</v>
      </c>
      <c r="B2774" s="42">
        <v>17349</v>
      </c>
      <c r="C2774" s="34" t="s">
        <v>3659</v>
      </c>
    </row>
    <row r="2775" spans="1:3" ht="15.75" customHeight="1" x14ac:dyDescent="0.2">
      <c r="A2775" s="42">
        <v>3140</v>
      </c>
      <c r="B2775" s="42">
        <v>17349</v>
      </c>
      <c r="C2775" s="34" t="s">
        <v>3662</v>
      </c>
    </row>
    <row r="2776" spans="1:3" ht="15.75" customHeight="1" x14ac:dyDescent="0.2">
      <c r="A2776" s="42">
        <v>3141</v>
      </c>
      <c r="B2776" s="42">
        <v>17349</v>
      </c>
      <c r="C2776" s="34" t="s">
        <v>3663</v>
      </c>
    </row>
    <row r="2777" spans="1:3" ht="15.75" customHeight="1" x14ac:dyDescent="0.2">
      <c r="A2777" s="42">
        <v>3142</v>
      </c>
      <c r="B2777" s="42">
        <v>17349</v>
      </c>
      <c r="C2777" s="34" t="s">
        <v>3664</v>
      </c>
    </row>
    <row r="2778" spans="1:3" ht="15.75" customHeight="1" x14ac:dyDescent="0.2">
      <c r="A2778" s="42">
        <v>3143</v>
      </c>
      <c r="B2778" s="42">
        <v>17349</v>
      </c>
      <c r="C2778" s="34" t="s">
        <v>3665</v>
      </c>
    </row>
    <row r="2779" spans="1:3" ht="15.75" customHeight="1" x14ac:dyDescent="0.2">
      <c r="A2779" s="42">
        <v>3144</v>
      </c>
      <c r="B2779" s="42">
        <v>17349</v>
      </c>
      <c r="C2779" s="34" t="s">
        <v>3666</v>
      </c>
    </row>
    <row r="2780" spans="1:3" ht="15.75" customHeight="1" x14ac:dyDescent="0.2">
      <c r="A2780" s="42">
        <v>3145</v>
      </c>
      <c r="B2780" s="42">
        <v>17349</v>
      </c>
      <c r="C2780" s="34" t="s">
        <v>3667</v>
      </c>
    </row>
    <row r="2781" spans="1:3" ht="15.75" customHeight="1" x14ac:dyDescent="0.2">
      <c r="A2781" s="42">
        <v>3146</v>
      </c>
      <c r="B2781" s="42">
        <v>17349</v>
      </c>
      <c r="C2781" s="34" t="s">
        <v>3668</v>
      </c>
    </row>
    <row r="2782" spans="1:3" ht="15.75" customHeight="1" x14ac:dyDescent="0.2">
      <c r="A2782" s="42">
        <v>3147</v>
      </c>
      <c r="B2782" s="42">
        <v>17349</v>
      </c>
      <c r="C2782" s="34" t="s">
        <v>3669</v>
      </c>
    </row>
    <row r="2783" spans="1:3" ht="15.75" customHeight="1" x14ac:dyDescent="0.2">
      <c r="A2783" s="42">
        <v>3148</v>
      </c>
      <c r="B2783" s="42">
        <v>17349</v>
      </c>
      <c r="C2783" s="34" t="s">
        <v>3612</v>
      </c>
    </row>
    <row r="2784" spans="1:3" ht="15.75" customHeight="1" x14ac:dyDescent="0.2">
      <c r="A2784" s="42">
        <v>3149</v>
      </c>
      <c r="B2784" s="42">
        <v>17349</v>
      </c>
      <c r="C2784" s="34" t="s">
        <v>3612</v>
      </c>
    </row>
    <row r="2785" spans="1:3" ht="15.75" customHeight="1" x14ac:dyDescent="0.2">
      <c r="A2785" s="42">
        <v>3150</v>
      </c>
      <c r="B2785" s="42">
        <v>17349</v>
      </c>
      <c r="C2785" s="34" t="s">
        <v>3670</v>
      </c>
    </row>
    <row r="2786" spans="1:3" ht="15.75" customHeight="1" x14ac:dyDescent="0.2">
      <c r="A2786" s="42">
        <v>3151</v>
      </c>
      <c r="B2786" s="42">
        <v>17349</v>
      </c>
      <c r="C2786" s="34" t="s">
        <v>3671</v>
      </c>
    </row>
    <row r="2787" spans="1:3" ht="15.75" customHeight="1" x14ac:dyDescent="0.2">
      <c r="A2787" s="42">
        <v>3152</v>
      </c>
      <c r="B2787" s="42">
        <v>17349</v>
      </c>
      <c r="C2787" s="34" t="s">
        <v>3672</v>
      </c>
    </row>
    <row r="2788" spans="1:3" ht="15.75" customHeight="1" x14ac:dyDescent="0.2">
      <c r="A2788" s="42">
        <v>3153</v>
      </c>
      <c r="B2788" s="42">
        <v>17349</v>
      </c>
      <c r="C2788" s="34" t="s">
        <v>3673</v>
      </c>
    </row>
    <row r="2789" spans="1:3" ht="15.75" customHeight="1" x14ac:dyDescent="0.2">
      <c r="A2789" s="42">
        <v>3154</v>
      </c>
      <c r="B2789" s="42">
        <v>17349</v>
      </c>
      <c r="C2789" s="34" t="s">
        <v>3627</v>
      </c>
    </row>
    <row r="2790" spans="1:3" ht="15.75" customHeight="1" x14ac:dyDescent="0.2">
      <c r="A2790" s="42">
        <v>3155</v>
      </c>
      <c r="B2790" s="42">
        <v>17349</v>
      </c>
      <c r="C2790" s="34" t="s">
        <v>3674</v>
      </c>
    </row>
    <row r="2791" spans="1:3" ht="15.75" customHeight="1" x14ac:dyDescent="0.2">
      <c r="A2791" s="42">
        <v>3156</v>
      </c>
      <c r="B2791" s="42">
        <v>17349</v>
      </c>
      <c r="C2791" s="34" t="s">
        <v>3675</v>
      </c>
    </row>
    <row r="2792" spans="1:3" ht="15.75" customHeight="1" x14ac:dyDescent="0.2">
      <c r="A2792" s="42">
        <v>3157</v>
      </c>
      <c r="B2792" s="42">
        <v>17349</v>
      </c>
      <c r="C2792" s="34" t="s">
        <v>3676</v>
      </c>
    </row>
    <row r="2793" spans="1:3" ht="15.75" customHeight="1" x14ac:dyDescent="0.2">
      <c r="A2793" s="42">
        <v>3158</v>
      </c>
      <c r="B2793" s="42">
        <v>17349</v>
      </c>
      <c r="C2793" s="34" t="s">
        <v>3677</v>
      </c>
    </row>
    <row r="2794" spans="1:3" ht="15.75" customHeight="1" x14ac:dyDescent="0.2">
      <c r="A2794" s="42">
        <v>3159</v>
      </c>
      <c r="B2794" s="42">
        <v>17349</v>
      </c>
      <c r="C2794" s="34" t="s">
        <v>3611</v>
      </c>
    </row>
    <row r="2795" spans="1:3" ht="15.75" customHeight="1" x14ac:dyDescent="0.2">
      <c r="A2795" s="42">
        <v>3160</v>
      </c>
      <c r="B2795" s="42">
        <v>17349</v>
      </c>
      <c r="C2795" s="34" t="s">
        <v>3678</v>
      </c>
    </row>
    <row r="2796" spans="1:3" ht="15.75" customHeight="1" x14ac:dyDescent="0.2">
      <c r="A2796" s="42">
        <v>3161</v>
      </c>
      <c r="B2796" s="42">
        <v>17349</v>
      </c>
      <c r="C2796" s="34" t="s">
        <v>3679</v>
      </c>
    </row>
    <row r="2797" spans="1:3" ht="15.75" customHeight="1" x14ac:dyDescent="0.2">
      <c r="A2797" s="42">
        <v>3162</v>
      </c>
      <c r="B2797" s="42">
        <v>17349</v>
      </c>
      <c r="C2797" s="34" t="s">
        <v>3637</v>
      </c>
    </row>
    <row r="2798" spans="1:3" ht="15.75" customHeight="1" x14ac:dyDescent="0.2">
      <c r="A2798" s="42">
        <v>3163</v>
      </c>
      <c r="B2798" s="42">
        <v>17349</v>
      </c>
      <c r="C2798" s="34" t="s">
        <v>3673</v>
      </c>
    </row>
    <row r="2799" spans="1:3" ht="15.75" customHeight="1" x14ac:dyDescent="0.2">
      <c r="A2799" s="42">
        <v>3164</v>
      </c>
      <c r="B2799" s="42">
        <v>17349</v>
      </c>
      <c r="C2799" s="34" t="s">
        <v>3680</v>
      </c>
    </row>
    <row r="2800" spans="1:3" ht="15.75" customHeight="1" x14ac:dyDescent="0.2">
      <c r="A2800" s="42">
        <v>3165</v>
      </c>
      <c r="B2800" s="42">
        <v>17349</v>
      </c>
      <c r="C2800" s="34" t="s">
        <v>3681</v>
      </c>
    </row>
    <row r="2801" spans="1:3" ht="15.75" customHeight="1" x14ac:dyDescent="0.2">
      <c r="A2801" s="42">
        <v>3166</v>
      </c>
      <c r="B2801" s="42">
        <v>17349</v>
      </c>
      <c r="C2801" s="34" t="s">
        <v>3682</v>
      </c>
    </row>
    <row r="2802" spans="1:3" ht="15.75" customHeight="1" x14ac:dyDescent="0.2">
      <c r="A2802" s="42">
        <v>3167</v>
      </c>
      <c r="B2802" s="42">
        <v>17349</v>
      </c>
      <c r="C2802" s="34" t="s">
        <v>3683</v>
      </c>
    </row>
    <row r="2803" spans="1:3" ht="15.75" customHeight="1" x14ac:dyDescent="0.2">
      <c r="A2803" s="42">
        <v>3168</v>
      </c>
      <c r="B2803" s="42">
        <v>17349</v>
      </c>
      <c r="C2803" s="34" t="s">
        <v>3615</v>
      </c>
    </row>
    <row r="2804" spans="1:3" ht="15.75" customHeight="1" x14ac:dyDescent="0.2">
      <c r="A2804" s="42">
        <v>3169</v>
      </c>
      <c r="B2804" s="42">
        <v>17349</v>
      </c>
      <c r="C2804" s="34" t="s">
        <v>3684</v>
      </c>
    </row>
    <row r="2805" spans="1:3" ht="15.75" customHeight="1" x14ac:dyDescent="0.2">
      <c r="A2805" s="42">
        <v>3170</v>
      </c>
      <c r="B2805" s="42">
        <v>17349</v>
      </c>
      <c r="C2805" s="34" t="s">
        <v>3685</v>
      </c>
    </row>
    <row r="2806" spans="1:3" ht="15.75" customHeight="1" x14ac:dyDescent="0.2">
      <c r="A2806" s="42">
        <v>3171</v>
      </c>
      <c r="B2806" s="42">
        <v>17349</v>
      </c>
      <c r="C2806" s="34" t="s">
        <v>3686</v>
      </c>
    </row>
    <row r="2807" spans="1:3" ht="15.75" customHeight="1" x14ac:dyDescent="0.2">
      <c r="A2807" s="42">
        <v>3172</v>
      </c>
      <c r="B2807" s="42">
        <v>17349</v>
      </c>
      <c r="C2807" s="34" t="s">
        <v>3687</v>
      </c>
    </row>
    <row r="2808" spans="1:3" ht="15.75" customHeight="1" x14ac:dyDescent="0.2">
      <c r="A2808" s="42">
        <v>3173</v>
      </c>
      <c r="B2808" s="42">
        <v>17349</v>
      </c>
      <c r="C2808" s="34" t="s">
        <v>3688</v>
      </c>
    </row>
    <row r="2809" spans="1:3" ht="15.75" customHeight="1" x14ac:dyDescent="0.2">
      <c r="A2809" s="42">
        <v>3174</v>
      </c>
      <c r="B2809" s="42">
        <v>17349</v>
      </c>
      <c r="C2809" s="34" t="s">
        <v>3689</v>
      </c>
    </row>
    <row r="2810" spans="1:3" ht="15.75" customHeight="1" x14ac:dyDescent="0.2">
      <c r="A2810" s="42">
        <v>3175</v>
      </c>
      <c r="B2810" s="42">
        <v>17350</v>
      </c>
      <c r="C2810" s="34" t="s">
        <v>3690</v>
      </c>
    </row>
    <row r="2811" spans="1:3" ht="15.75" customHeight="1" x14ac:dyDescent="0.2">
      <c r="A2811" s="42">
        <v>3176</v>
      </c>
      <c r="B2811" s="42">
        <v>17350</v>
      </c>
      <c r="C2811" s="34" t="s">
        <v>3691</v>
      </c>
    </row>
    <row r="2812" spans="1:3" ht="15.75" customHeight="1" x14ac:dyDescent="0.2">
      <c r="A2812" s="42">
        <v>3177</v>
      </c>
      <c r="B2812" s="42">
        <v>17350</v>
      </c>
      <c r="C2812" s="34" t="s">
        <v>3692</v>
      </c>
    </row>
    <row r="2813" spans="1:3" ht="15.75" customHeight="1" x14ac:dyDescent="0.2">
      <c r="A2813" s="42">
        <v>3178</v>
      </c>
      <c r="B2813" s="42">
        <v>17350</v>
      </c>
      <c r="C2813" s="34" t="s">
        <v>3693</v>
      </c>
    </row>
    <row r="2814" spans="1:3" ht="15.75" customHeight="1" x14ac:dyDescent="0.2">
      <c r="A2814" s="42">
        <v>3179</v>
      </c>
      <c r="B2814" s="42">
        <v>17350</v>
      </c>
      <c r="C2814" s="34" t="s">
        <v>3694</v>
      </c>
    </row>
    <row r="2815" spans="1:3" ht="15.75" customHeight="1" x14ac:dyDescent="0.2">
      <c r="A2815" s="42">
        <v>3180</v>
      </c>
      <c r="B2815" s="42">
        <v>17350</v>
      </c>
      <c r="C2815" s="34" t="s">
        <v>3695</v>
      </c>
    </row>
    <row r="2816" spans="1:3" ht="15.75" customHeight="1" x14ac:dyDescent="0.2">
      <c r="A2816" s="42">
        <v>3181</v>
      </c>
      <c r="B2816" s="42">
        <v>17350</v>
      </c>
      <c r="C2816" s="34" t="s">
        <v>3696</v>
      </c>
    </row>
    <row r="2817" spans="1:3" ht="15.75" customHeight="1" x14ac:dyDescent="0.2">
      <c r="A2817" s="42">
        <v>3182</v>
      </c>
      <c r="B2817" s="42">
        <v>17350</v>
      </c>
      <c r="C2817" s="34" t="s">
        <v>3697</v>
      </c>
    </row>
    <row r="2818" spans="1:3" ht="15.75" customHeight="1" x14ac:dyDescent="0.2">
      <c r="A2818" s="42">
        <v>3183</v>
      </c>
      <c r="B2818" s="42">
        <v>17350</v>
      </c>
      <c r="C2818" s="34" t="s">
        <v>3698</v>
      </c>
    </row>
    <row r="2819" spans="1:3" ht="15.75" customHeight="1" x14ac:dyDescent="0.2">
      <c r="A2819" s="42">
        <v>3184</v>
      </c>
      <c r="B2819" s="42">
        <v>17350</v>
      </c>
      <c r="C2819" s="34" t="s">
        <v>3699</v>
      </c>
    </row>
    <row r="2820" spans="1:3" ht="15.75" customHeight="1" x14ac:dyDescent="0.2">
      <c r="A2820" s="42">
        <v>3185</v>
      </c>
      <c r="B2820" s="42">
        <v>17350</v>
      </c>
      <c r="C2820" s="34" t="s">
        <v>3700</v>
      </c>
    </row>
    <row r="2821" spans="1:3" ht="15.75" customHeight="1" x14ac:dyDescent="0.2">
      <c r="A2821" s="42">
        <v>3186</v>
      </c>
      <c r="B2821" s="42">
        <v>17350</v>
      </c>
      <c r="C2821" s="34" t="s">
        <v>3701</v>
      </c>
    </row>
    <row r="2822" spans="1:3" ht="15.75" customHeight="1" x14ac:dyDescent="0.2">
      <c r="A2822" s="42">
        <v>3187</v>
      </c>
      <c r="B2822" s="42">
        <v>17350</v>
      </c>
      <c r="C2822" s="34" t="s">
        <v>3702</v>
      </c>
    </row>
    <row r="2823" spans="1:3" ht="15.75" customHeight="1" x14ac:dyDescent="0.2">
      <c r="A2823" s="42">
        <v>3188</v>
      </c>
      <c r="B2823" s="42">
        <v>17350</v>
      </c>
      <c r="C2823" s="34" t="s">
        <v>3703</v>
      </c>
    </row>
    <row r="2824" spans="1:3" ht="15.75" customHeight="1" x14ac:dyDescent="0.2">
      <c r="A2824" s="42">
        <v>3189</v>
      </c>
      <c r="B2824" s="42">
        <v>17350</v>
      </c>
      <c r="C2824" s="34" t="s">
        <v>3704</v>
      </c>
    </row>
    <row r="2825" spans="1:3" ht="15.75" customHeight="1" x14ac:dyDescent="0.2">
      <c r="A2825" s="42">
        <v>3190</v>
      </c>
      <c r="B2825" s="42">
        <v>17350</v>
      </c>
      <c r="C2825" s="34" t="s">
        <v>3705</v>
      </c>
    </row>
    <row r="2826" spans="1:3" ht="15.75" customHeight="1" x14ac:dyDescent="0.2">
      <c r="A2826" s="42">
        <v>3191</v>
      </c>
      <c r="B2826" s="42">
        <v>17350</v>
      </c>
      <c r="C2826" s="34" t="s">
        <v>3706</v>
      </c>
    </row>
    <row r="2827" spans="1:3" ht="15.75" customHeight="1" x14ac:dyDescent="0.2">
      <c r="A2827" s="42">
        <v>3192</v>
      </c>
      <c r="B2827" s="42">
        <v>17350</v>
      </c>
      <c r="C2827" s="34" t="s">
        <v>3707</v>
      </c>
    </row>
    <row r="2828" spans="1:3" ht="15.75" customHeight="1" x14ac:dyDescent="0.2">
      <c r="A2828" s="42">
        <v>3193</v>
      </c>
      <c r="B2828" s="42">
        <v>17350</v>
      </c>
      <c r="C2828" s="34" t="s">
        <v>3708</v>
      </c>
    </row>
    <row r="2829" spans="1:3" ht="15.75" customHeight="1" x14ac:dyDescent="0.2">
      <c r="A2829" s="42">
        <v>3194</v>
      </c>
      <c r="B2829" s="42">
        <v>17350</v>
      </c>
      <c r="C2829" s="34" t="s">
        <v>3709</v>
      </c>
    </row>
    <row r="2830" spans="1:3" ht="15.75" customHeight="1" x14ac:dyDescent="0.2">
      <c r="A2830" s="42">
        <v>3195</v>
      </c>
      <c r="B2830" s="42">
        <v>17350</v>
      </c>
      <c r="C2830" s="34" t="s">
        <v>3710</v>
      </c>
    </row>
    <row r="2831" spans="1:3" ht="15.75" customHeight="1" x14ac:dyDescent="0.2">
      <c r="A2831" s="42">
        <v>3196</v>
      </c>
      <c r="B2831" s="42">
        <v>17350</v>
      </c>
      <c r="C2831" s="34" t="s">
        <v>3711</v>
      </c>
    </row>
    <row r="2832" spans="1:3" ht="15.75" customHeight="1" x14ac:dyDescent="0.2">
      <c r="A2832" s="42">
        <v>3197</v>
      </c>
      <c r="B2832" s="42">
        <v>17350</v>
      </c>
      <c r="C2832" s="34" t="s">
        <v>3712</v>
      </c>
    </row>
    <row r="2833" spans="1:3" ht="15.75" customHeight="1" x14ac:dyDescent="0.2">
      <c r="A2833" s="42">
        <v>3198</v>
      </c>
      <c r="B2833" s="42">
        <v>17350</v>
      </c>
      <c r="C2833" s="34" t="s">
        <v>3713</v>
      </c>
    </row>
    <row r="2834" spans="1:3" ht="15.75" customHeight="1" x14ac:dyDescent="0.2">
      <c r="A2834" s="42">
        <v>3199</v>
      </c>
      <c r="B2834" s="42">
        <v>17350</v>
      </c>
      <c r="C2834" s="34" t="s">
        <v>3714</v>
      </c>
    </row>
    <row r="2835" spans="1:3" ht="15.75" customHeight="1" x14ac:dyDescent="0.2">
      <c r="A2835" s="42">
        <v>3200</v>
      </c>
      <c r="B2835" s="42">
        <v>17350</v>
      </c>
      <c r="C2835" s="34" t="s">
        <v>3715</v>
      </c>
    </row>
    <row r="2836" spans="1:3" ht="15.75" customHeight="1" x14ac:dyDescent="0.2">
      <c r="A2836" s="42">
        <v>3201</v>
      </c>
      <c r="B2836" s="42">
        <v>17350</v>
      </c>
      <c r="C2836" s="34" t="s">
        <v>3716</v>
      </c>
    </row>
    <row r="2837" spans="1:3" ht="15.75" customHeight="1" x14ac:dyDescent="0.2">
      <c r="A2837" s="42">
        <v>3202</v>
      </c>
      <c r="B2837" s="42">
        <v>17350</v>
      </c>
      <c r="C2837" s="34" t="s">
        <v>3717</v>
      </c>
    </row>
    <row r="2838" spans="1:3" ht="15.75" customHeight="1" x14ac:dyDescent="0.2">
      <c r="A2838" s="42">
        <v>3203</v>
      </c>
      <c r="B2838" s="42">
        <v>17350</v>
      </c>
      <c r="C2838" s="34" t="s">
        <v>3718</v>
      </c>
    </row>
    <row r="2839" spans="1:3" ht="15.75" customHeight="1" x14ac:dyDescent="0.2">
      <c r="A2839" s="42">
        <v>3204</v>
      </c>
      <c r="B2839" s="42">
        <v>17350</v>
      </c>
      <c r="C2839" s="34" t="s">
        <v>3719</v>
      </c>
    </row>
    <row r="2840" spans="1:3" ht="15.75" customHeight="1" x14ac:dyDescent="0.2">
      <c r="A2840" s="42">
        <v>3205</v>
      </c>
      <c r="B2840" s="42">
        <v>17350</v>
      </c>
      <c r="C2840" s="34" t="s">
        <v>3720</v>
      </c>
    </row>
    <row r="2841" spans="1:3" ht="15.75" customHeight="1" x14ac:dyDescent="0.2">
      <c r="A2841" s="42">
        <v>3206</v>
      </c>
      <c r="B2841" s="42">
        <v>17350</v>
      </c>
      <c r="C2841" s="34" t="s">
        <v>3721</v>
      </c>
    </row>
    <row r="2842" spans="1:3" ht="15.75" customHeight="1" x14ac:dyDescent="0.2">
      <c r="A2842" s="42">
        <v>3207</v>
      </c>
      <c r="B2842" s="42">
        <v>17350</v>
      </c>
      <c r="C2842" s="34" t="s">
        <v>3722</v>
      </c>
    </row>
    <row r="2843" spans="1:3" ht="15.75" customHeight="1" x14ac:dyDescent="0.2">
      <c r="A2843" s="42">
        <v>3208</v>
      </c>
      <c r="B2843" s="42">
        <v>17350</v>
      </c>
      <c r="C2843" s="34" t="s">
        <v>3723</v>
      </c>
    </row>
    <row r="2844" spans="1:3" ht="15.75" customHeight="1" x14ac:dyDescent="0.2">
      <c r="A2844" s="42">
        <v>3209</v>
      </c>
      <c r="B2844" s="42">
        <v>17350</v>
      </c>
      <c r="C2844" s="34" t="s">
        <v>3724</v>
      </c>
    </row>
    <row r="2845" spans="1:3" ht="15.75" customHeight="1" x14ac:dyDescent="0.2">
      <c r="A2845" s="42">
        <v>3210</v>
      </c>
      <c r="B2845" s="42">
        <v>17350</v>
      </c>
      <c r="C2845" s="34" t="s">
        <v>3725</v>
      </c>
    </row>
    <row r="2846" spans="1:3" ht="15.75" customHeight="1" x14ac:dyDescent="0.2">
      <c r="A2846" s="42">
        <v>3211</v>
      </c>
      <c r="B2846" s="42">
        <v>17350</v>
      </c>
      <c r="C2846" s="34" t="s">
        <v>3726</v>
      </c>
    </row>
    <row r="2847" spans="1:3" ht="15.75" customHeight="1" x14ac:dyDescent="0.2">
      <c r="A2847" s="42">
        <v>3212</v>
      </c>
      <c r="B2847" s="42">
        <v>17350</v>
      </c>
      <c r="C2847" s="34" t="s">
        <v>3727</v>
      </c>
    </row>
    <row r="2848" spans="1:3" ht="15.75" customHeight="1" x14ac:dyDescent="0.2">
      <c r="A2848" s="42">
        <v>3213</v>
      </c>
      <c r="B2848" s="42">
        <v>17350</v>
      </c>
      <c r="C2848" s="34" t="s">
        <v>3728</v>
      </c>
    </row>
    <row r="2849" spans="1:3" ht="15.75" customHeight="1" x14ac:dyDescent="0.2">
      <c r="A2849" s="42">
        <v>3214</v>
      </c>
      <c r="B2849" s="42">
        <v>17350</v>
      </c>
      <c r="C2849" s="34" t="s">
        <v>3729</v>
      </c>
    </row>
    <row r="2850" spans="1:3" ht="15.75" customHeight="1" x14ac:dyDescent="0.2">
      <c r="A2850" s="42">
        <v>3215</v>
      </c>
      <c r="B2850" s="42">
        <v>17350</v>
      </c>
      <c r="C2850" s="34" t="s">
        <v>3730</v>
      </c>
    </row>
    <row r="2851" spans="1:3" ht="15.75" customHeight="1" x14ac:dyDescent="0.2">
      <c r="A2851" s="42">
        <v>3216</v>
      </c>
      <c r="B2851" s="42">
        <v>17350</v>
      </c>
      <c r="C2851" s="34" t="s">
        <v>3731</v>
      </c>
    </row>
    <row r="2852" spans="1:3" ht="15.75" customHeight="1" x14ac:dyDescent="0.2">
      <c r="A2852" s="42">
        <v>3217</v>
      </c>
      <c r="B2852" s="42">
        <v>17350</v>
      </c>
      <c r="C2852" s="34" t="s">
        <v>3732</v>
      </c>
    </row>
    <row r="2853" spans="1:3" ht="15.75" customHeight="1" x14ac:dyDescent="0.2">
      <c r="A2853" s="42">
        <v>3218</v>
      </c>
      <c r="B2853" s="42">
        <v>17350</v>
      </c>
      <c r="C2853" s="34" t="s">
        <v>3733</v>
      </c>
    </row>
    <row r="2854" spans="1:3" ht="15.75" customHeight="1" x14ac:dyDescent="0.2">
      <c r="A2854" s="42">
        <v>3219</v>
      </c>
      <c r="B2854" s="42">
        <v>17350</v>
      </c>
      <c r="C2854" s="34" t="s">
        <v>3734</v>
      </c>
    </row>
    <row r="2855" spans="1:3" ht="15.75" customHeight="1" x14ac:dyDescent="0.2">
      <c r="A2855" s="42">
        <v>3220</v>
      </c>
      <c r="B2855" s="42">
        <v>17350</v>
      </c>
      <c r="C2855" s="34" t="s">
        <v>3735</v>
      </c>
    </row>
    <row r="2856" spans="1:3" ht="15.75" customHeight="1" x14ac:dyDescent="0.2">
      <c r="A2856" s="42">
        <v>3221</v>
      </c>
      <c r="B2856" s="42">
        <v>17350</v>
      </c>
      <c r="C2856" s="34" t="s">
        <v>3736</v>
      </c>
    </row>
    <row r="2857" spans="1:3" ht="15.75" customHeight="1" x14ac:dyDescent="0.2">
      <c r="A2857" s="42">
        <v>3222</v>
      </c>
      <c r="B2857" s="42">
        <v>17350</v>
      </c>
      <c r="C2857" s="34" t="s">
        <v>3737</v>
      </c>
    </row>
    <row r="2858" spans="1:3" ht="15.75" customHeight="1" x14ac:dyDescent="0.2">
      <c r="A2858" s="42">
        <v>3223</v>
      </c>
      <c r="B2858" s="42">
        <v>17350</v>
      </c>
      <c r="C2858" s="34" t="s">
        <v>3738</v>
      </c>
    </row>
    <row r="2859" spans="1:3" ht="15.75" customHeight="1" x14ac:dyDescent="0.2">
      <c r="A2859" s="42">
        <v>3224</v>
      </c>
      <c r="B2859" s="42">
        <v>17350</v>
      </c>
      <c r="C2859" s="34" t="s">
        <v>3739</v>
      </c>
    </row>
    <row r="2860" spans="1:3" ht="15.75" customHeight="1" x14ac:dyDescent="0.2">
      <c r="A2860" s="42">
        <v>3225</v>
      </c>
      <c r="B2860" s="42">
        <v>17350</v>
      </c>
      <c r="C2860" s="34" t="s">
        <v>3740</v>
      </c>
    </row>
    <row r="2861" spans="1:3" ht="15.75" customHeight="1" x14ac:dyDescent="0.2">
      <c r="A2861" s="42">
        <v>3226</v>
      </c>
      <c r="B2861" s="42">
        <v>17350</v>
      </c>
      <c r="C2861" s="34" t="s">
        <v>3741</v>
      </c>
    </row>
    <row r="2862" spans="1:3" ht="15.75" customHeight="1" x14ac:dyDescent="0.2">
      <c r="A2862" s="42">
        <v>3227</v>
      </c>
      <c r="B2862" s="42">
        <v>17350</v>
      </c>
      <c r="C2862" s="34" t="s">
        <v>3742</v>
      </c>
    </row>
    <row r="2863" spans="1:3" ht="15.75" customHeight="1" x14ac:dyDescent="0.2">
      <c r="A2863" s="42">
        <v>3228</v>
      </c>
      <c r="B2863" s="42">
        <v>17350</v>
      </c>
      <c r="C2863" s="34" t="s">
        <v>3743</v>
      </c>
    </row>
    <row r="2864" spans="1:3" ht="15.75" customHeight="1" x14ac:dyDescent="0.2">
      <c r="A2864" s="42">
        <v>3229</v>
      </c>
      <c r="B2864" s="42">
        <v>17350</v>
      </c>
      <c r="C2864" s="34" t="s">
        <v>3744</v>
      </c>
    </row>
    <row r="2865" spans="1:3" ht="15.75" customHeight="1" x14ac:dyDescent="0.2">
      <c r="A2865" s="42">
        <v>3230</v>
      </c>
      <c r="B2865" s="42">
        <v>17350</v>
      </c>
      <c r="C2865" s="34" t="s">
        <v>3745</v>
      </c>
    </row>
    <row r="2866" spans="1:3" ht="15.75" customHeight="1" x14ac:dyDescent="0.2">
      <c r="A2866" s="42">
        <v>3231</v>
      </c>
      <c r="B2866" s="42">
        <v>17350</v>
      </c>
      <c r="C2866" s="34" t="s">
        <v>3746</v>
      </c>
    </row>
    <row r="2867" spans="1:3" ht="15.75" customHeight="1" x14ac:dyDescent="0.2">
      <c r="A2867" s="42">
        <v>3232</v>
      </c>
      <c r="B2867" s="42">
        <v>17350</v>
      </c>
      <c r="C2867" s="34" t="s">
        <v>3747</v>
      </c>
    </row>
    <row r="2868" spans="1:3" ht="15.75" customHeight="1" x14ac:dyDescent="0.2">
      <c r="A2868" s="42">
        <v>3233</v>
      </c>
      <c r="B2868" s="42">
        <v>17350</v>
      </c>
      <c r="C2868" s="34" t="s">
        <v>3748</v>
      </c>
    </row>
    <row r="2869" spans="1:3" ht="15.75" customHeight="1" x14ac:dyDescent="0.2">
      <c r="A2869" s="42">
        <v>3234</v>
      </c>
      <c r="B2869" s="42">
        <v>17350</v>
      </c>
      <c r="C2869" s="34" t="s">
        <v>3749</v>
      </c>
    </row>
    <row r="2870" spans="1:3" ht="15.75" customHeight="1" x14ac:dyDescent="0.2">
      <c r="A2870" s="42">
        <v>3235</v>
      </c>
      <c r="B2870" s="42">
        <v>17350</v>
      </c>
      <c r="C2870" s="34" t="s">
        <v>3750</v>
      </c>
    </row>
    <row r="2871" spans="1:3" ht="15.75" customHeight="1" x14ac:dyDescent="0.2">
      <c r="A2871" s="42">
        <v>3236</v>
      </c>
      <c r="B2871" s="42">
        <v>17350</v>
      </c>
      <c r="C2871" s="34" t="s">
        <v>3751</v>
      </c>
    </row>
    <row r="2872" spans="1:3" ht="15.75" customHeight="1" x14ac:dyDescent="0.2">
      <c r="A2872" s="42">
        <v>3237</v>
      </c>
      <c r="B2872" s="42">
        <v>17350</v>
      </c>
      <c r="C2872" s="34" t="s">
        <v>3752</v>
      </c>
    </row>
    <row r="2873" spans="1:3" ht="15.75" customHeight="1" x14ac:dyDescent="0.2">
      <c r="A2873" s="42">
        <v>3238</v>
      </c>
      <c r="B2873" s="42">
        <v>17350</v>
      </c>
      <c r="C2873" s="34" t="s">
        <v>3753</v>
      </c>
    </row>
    <row r="2874" spans="1:3" ht="15.75" customHeight="1" x14ac:dyDescent="0.2">
      <c r="A2874" s="42">
        <v>3239</v>
      </c>
      <c r="B2874" s="42">
        <v>17350</v>
      </c>
      <c r="C2874" s="34" t="s">
        <v>3754</v>
      </c>
    </row>
    <row r="2875" spans="1:3" ht="15.75" customHeight="1" x14ac:dyDescent="0.2">
      <c r="A2875" s="42">
        <v>3240</v>
      </c>
      <c r="B2875" s="42">
        <v>17350</v>
      </c>
      <c r="C2875" s="34" t="s">
        <v>3755</v>
      </c>
    </row>
    <row r="2876" spans="1:3" ht="15.75" customHeight="1" x14ac:dyDescent="0.2">
      <c r="A2876" s="42">
        <v>3241</v>
      </c>
      <c r="B2876" s="42">
        <v>17350</v>
      </c>
      <c r="C2876" s="34" t="s">
        <v>3699</v>
      </c>
    </row>
    <row r="2877" spans="1:3" ht="15.75" customHeight="1" x14ac:dyDescent="0.2">
      <c r="A2877" s="42">
        <v>3242</v>
      </c>
      <c r="B2877" s="42">
        <v>17350</v>
      </c>
      <c r="C2877" s="34" t="s">
        <v>3756</v>
      </c>
    </row>
    <row r="2878" spans="1:3" ht="15.75" customHeight="1" x14ac:dyDescent="0.2">
      <c r="A2878" s="42">
        <v>3243</v>
      </c>
      <c r="B2878" s="42">
        <v>17350</v>
      </c>
      <c r="C2878" s="34" t="s">
        <v>3757</v>
      </c>
    </row>
    <row r="2879" spans="1:3" ht="15.75" customHeight="1" x14ac:dyDescent="0.2">
      <c r="A2879" s="42">
        <v>3244</v>
      </c>
      <c r="B2879" s="42">
        <v>17350</v>
      </c>
      <c r="C2879" s="34" t="s">
        <v>3758</v>
      </c>
    </row>
    <row r="2880" spans="1:3" ht="15.75" customHeight="1" x14ac:dyDescent="0.2">
      <c r="A2880" s="42">
        <v>3245</v>
      </c>
      <c r="B2880" s="42">
        <v>17350</v>
      </c>
      <c r="C2880" s="34" t="s">
        <v>3759</v>
      </c>
    </row>
    <row r="2881" spans="1:3" ht="15.75" customHeight="1" x14ac:dyDescent="0.2">
      <c r="A2881" s="42">
        <v>3246</v>
      </c>
      <c r="B2881" s="42">
        <v>17350</v>
      </c>
      <c r="C2881" s="34" t="s">
        <v>3760</v>
      </c>
    </row>
    <row r="2882" spans="1:3" ht="15.75" customHeight="1" x14ac:dyDescent="0.2">
      <c r="A2882" s="42">
        <v>3247</v>
      </c>
      <c r="B2882" s="42">
        <v>17350</v>
      </c>
      <c r="C2882" s="34" t="s">
        <v>3761</v>
      </c>
    </row>
    <row r="2883" spans="1:3" ht="15.75" customHeight="1" x14ac:dyDescent="0.2">
      <c r="A2883" s="42">
        <v>3248</v>
      </c>
      <c r="B2883" s="42">
        <v>17350</v>
      </c>
      <c r="C2883" s="34" t="s">
        <v>3762</v>
      </c>
    </row>
    <row r="2884" spans="1:3" ht="15.75" customHeight="1" x14ac:dyDescent="0.2">
      <c r="A2884" s="42">
        <v>3249</v>
      </c>
      <c r="B2884" s="42">
        <v>17350</v>
      </c>
      <c r="C2884" s="34" t="s">
        <v>3763</v>
      </c>
    </row>
    <row r="2885" spans="1:3" ht="15.75" customHeight="1" x14ac:dyDescent="0.2">
      <c r="A2885" s="42">
        <v>3250</v>
      </c>
      <c r="B2885" s="42">
        <v>17350</v>
      </c>
      <c r="C2885" s="34" t="s">
        <v>3764</v>
      </c>
    </row>
    <row r="2886" spans="1:3" ht="15.75" customHeight="1" x14ac:dyDescent="0.2">
      <c r="A2886" s="42">
        <v>3251</v>
      </c>
      <c r="B2886" s="42">
        <v>17350</v>
      </c>
      <c r="C2886" s="34" t="s">
        <v>3765</v>
      </c>
    </row>
    <row r="2887" spans="1:3" ht="15.75" customHeight="1" x14ac:dyDescent="0.2">
      <c r="A2887" s="42">
        <v>3252</v>
      </c>
      <c r="B2887" s="42">
        <v>17350</v>
      </c>
      <c r="C2887" s="34" t="s">
        <v>3766</v>
      </c>
    </row>
    <row r="2888" spans="1:3" ht="15.75" customHeight="1" x14ac:dyDescent="0.2">
      <c r="A2888" s="42">
        <v>3253</v>
      </c>
      <c r="B2888" s="42">
        <v>17350</v>
      </c>
      <c r="C2888" s="34" t="s">
        <v>3767</v>
      </c>
    </row>
    <row r="2889" spans="1:3" ht="15.75" customHeight="1" x14ac:dyDescent="0.2">
      <c r="A2889" s="42">
        <v>3254</v>
      </c>
      <c r="B2889" s="42">
        <v>17350</v>
      </c>
      <c r="C2889" s="34" t="s">
        <v>3768</v>
      </c>
    </row>
    <row r="2890" spans="1:3" ht="15.75" customHeight="1" x14ac:dyDescent="0.2">
      <c r="A2890" s="42">
        <v>3255</v>
      </c>
      <c r="B2890" s="42">
        <v>17350</v>
      </c>
      <c r="C2890" s="34" t="s">
        <v>3769</v>
      </c>
    </row>
    <row r="2891" spans="1:3" ht="15.75" customHeight="1" x14ac:dyDescent="0.2">
      <c r="A2891" s="42">
        <v>3256</v>
      </c>
      <c r="B2891" s="42">
        <v>17350</v>
      </c>
      <c r="C2891" s="34" t="s">
        <v>3770</v>
      </c>
    </row>
    <row r="2892" spans="1:3" ht="15.75" customHeight="1" x14ac:dyDescent="0.2">
      <c r="A2892" s="42">
        <v>3257</v>
      </c>
      <c r="B2892" s="42">
        <v>17350</v>
      </c>
      <c r="C2892" s="34" t="s">
        <v>3771</v>
      </c>
    </row>
    <row r="2893" spans="1:3" ht="15.75" customHeight="1" x14ac:dyDescent="0.2">
      <c r="A2893" s="42">
        <v>3258</v>
      </c>
      <c r="B2893" s="42">
        <v>17350</v>
      </c>
      <c r="C2893" s="34" t="s">
        <v>3772</v>
      </c>
    </row>
    <row r="2894" spans="1:3" ht="15.75" customHeight="1" x14ac:dyDescent="0.2">
      <c r="A2894" s="42">
        <v>3259</v>
      </c>
      <c r="B2894" s="42">
        <v>17350</v>
      </c>
      <c r="C2894" s="34" t="s">
        <v>3773</v>
      </c>
    </row>
    <row r="2895" spans="1:3" ht="15.75" customHeight="1" x14ac:dyDescent="0.2">
      <c r="A2895" s="42">
        <v>3260</v>
      </c>
      <c r="B2895" s="42">
        <v>17350</v>
      </c>
      <c r="C2895" s="34" t="s">
        <v>3774</v>
      </c>
    </row>
    <row r="2896" spans="1:3" ht="15.75" customHeight="1" x14ac:dyDescent="0.2">
      <c r="A2896" s="42">
        <v>3261</v>
      </c>
      <c r="B2896" s="42">
        <v>17350</v>
      </c>
      <c r="C2896" s="34" t="s">
        <v>3775</v>
      </c>
    </row>
    <row r="2897" spans="1:3" ht="15.75" customHeight="1" x14ac:dyDescent="0.2">
      <c r="A2897" s="42">
        <v>3262</v>
      </c>
      <c r="B2897" s="42">
        <v>17350</v>
      </c>
      <c r="C2897" s="34" t="s">
        <v>3776</v>
      </c>
    </row>
    <row r="2898" spans="1:3" ht="15.75" customHeight="1" x14ac:dyDescent="0.2">
      <c r="A2898" s="42">
        <v>3263</v>
      </c>
      <c r="B2898" s="42">
        <v>17350</v>
      </c>
      <c r="C2898" s="34" t="s">
        <v>3777</v>
      </c>
    </row>
    <row r="2899" spans="1:3" ht="15.75" customHeight="1" x14ac:dyDescent="0.2">
      <c r="A2899" s="42">
        <v>3264</v>
      </c>
      <c r="B2899" s="42">
        <v>17350</v>
      </c>
      <c r="C2899" s="34" t="s">
        <v>3778</v>
      </c>
    </row>
    <row r="2900" spans="1:3" ht="15.75" customHeight="1" x14ac:dyDescent="0.2">
      <c r="A2900" s="42">
        <v>3265</v>
      </c>
      <c r="B2900" s="42">
        <v>17350</v>
      </c>
      <c r="C2900" s="34" t="s">
        <v>3779</v>
      </c>
    </row>
    <row r="2901" spans="1:3" ht="15.75" customHeight="1" x14ac:dyDescent="0.2">
      <c r="A2901" s="42">
        <v>3266</v>
      </c>
      <c r="B2901" s="42">
        <v>17350</v>
      </c>
      <c r="C2901" s="34" t="s">
        <v>3780</v>
      </c>
    </row>
    <row r="2902" spans="1:3" ht="15.75" customHeight="1" x14ac:dyDescent="0.2">
      <c r="A2902" s="42">
        <v>3267</v>
      </c>
      <c r="B2902" s="42">
        <v>17350</v>
      </c>
      <c r="C2902" s="34" t="s">
        <v>3781</v>
      </c>
    </row>
    <row r="2903" spans="1:3" ht="15.75" customHeight="1" x14ac:dyDescent="0.2">
      <c r="A2903" s="42">
        <v>3268</v>
      </c>
      <c r="B2903" s="42">
        <v>17351</v>
      </c>
      <c r="C2903" s="34" t="s">
        <v>3782</v>
      </c>
    </row>
    <row r="2904" spans="1:3" ht="15.75" customHeight="1" x14ac:dyDescent="0.2">
      <c r="A2904" s="42">
        <v>3269</v>
      </c>
      <c r="B2904" s="42">
        <v>17351</v>
      </c>
      <c r="C2904" s="34" t="s">
        <v>3783</v>
      </c>
    </row>
    <row r="2905" spans="1:3" ht="15.75" customHeight="1" x14ac:dyDescent="0.2">
      <c r="A2905" s="42">
        <v>3270</v>
      </c>
      <c r="B2905" s="42">
        <v>17351</v>
      </c>
      <c r="C2905" s="34" t="s">
        <v>3784</v>
      </c>
    </row>
    <row r="2906" spans="1:3" ht="15.75" customHeight="1" x14ac:dyDescent="0.2">
      <c r="A2906" s="42">
        <v>3271</v>
      </c>
      <c r="B2906" s="42">
        <v>17351</v>
      </c>
      <c r="C2906" s="34" t="s">
        <v>3785</v>
      </c>
    </row>
    <row r="2907" spans="1:3" ht="15.75" customHeight="1" x14ac:dyDescent="0.2">
      <c r="A2907" s="42">
        <v>3272</v>
      </c>
      <c r="B2907" s="42">
        <v>17351</v>
      </c>
      <c r="C2907" s="34" t="s">
        <v>3786</v>
      </c>
    </row>
    <row r="2908" spans="1:3" ht="15.75" customHeight="1" x14ac:dyDescent="0.2">
      <c r="A2908" s="42">
        <v>3273</v>
      </c>
      <c r="B2908" s="42">
        <v>17351</v>
      </c>
      <c r="C2908" s="34" t="s">
        <v>3787</v>
      </c>
    </row>
    <row r="2909" spans="1:3" ht="15.75" customHeight="1" x14ac:dyDescent="0.2">
      <c r="A2909" s="42">
        <v>3274</v>
      </c>
      <c r="B2909" s="42">
        <v>17351</v>
      </c>
      <c r="C2909" s="34" t="s">
        <v>3788</v>
      </c>
    </row>
    <row r="2910" spans="1:3" ht="15.75" customHeight="1" x14ac:dyDescent="0.2">
      <c r="A2910" s="42">
        <v>3275</v>
      </c>
      <c r="B2910" s="42">
        <v>17351</v>
      </c>
      <c r="C2910" s="34" t="s">
        <v>3789</v>
      </c>
    </row>
    <row r="2911" spans="1:3" ht="15.75" customHeight="1" x14ac:dyDescent="0.2">
      <c r="A2911" s="42">
        <v>3276</v>
      </c>
      <c r="B2911" s="42">
        <v>17351</v>
      </c>
      <c r="C2911" s="34" t="s">
        <v>3790</v>
      </c>
    </row>
    <row r="2912" spans="1:3" ht="15.75" customHeight="1" x14ac:dyDescent="0.2">
      <c r="A2912" s="42">
        <v>3277</v>
      </c>
      <c r="B2912" s="42">
        <v>17351</v>
      </c>
      <c r="C2912" s="34" t="s">
        <v>3791</v>
      </c>
    </row>
    <row r="2913" spans="1:3" ht="15.75" customHeight="1" x14ac:dyDescent="0.2">
      <c r="A2913" s="42">
        <v>3278</v>
      </c>
      <c r="B2913" s="42">
        <v>17351</v>
      </c>
      <c r="C2913" s="34" t="s">
        <v>3792</v>
      </c>
    </row>
    <row r="2914" spans="1:3" ht="15.75" customHeight="1" x14ac:dyDescent="0.2">
      <c r="A2914" s="42">
        <v>3279</v>
      </c>
      <c r="B2914" s="42">
        <v>17351</v>
      </c>
      <c r="C2914" s="34" t="s">
        <v>3793</v>
      </c>
    </row>
    <row r="2915" spans="1:3" ht="15.75" customHeight="1" x14ac:dyDescent="0.2">
      <c r="A2915" s="42">
        <v>3280</v>
      </c>
      <c r="B2915" s="42">
        <v>17351</v>
      </c>
      <c r="C2915" s="34" t="s">
        <v>3794</v>
      </c>
    </row>
    <row r="2916" spans="1:3" ht="15.75" customHeight="1" x14ac:dyDescent="0.2">
      <c r="A2916" s="42">
        <v>3281</v>
      </c>
      <c r="B2916" s="42">
        <v>17351</v>
      </c>
      <c r="C2916" s="34" t="s">
        <v>3795</v>
      </c>
    </row>
    <row r="2917" spans="1:3" ht="15.75" customHeight="1" x14ac:dyDescent="0.2">
      <c r="A2917" s="42">
        <v>3282</v>
      </c>
      <c r="B2917" s="42">
        <v>17351</v>
      </c>
      <c r="C2917" s="34" t="s">
        <v>3796</v>
      </c>
    </row>
    <row r="2918" spans="1:3" ht="15.75" customHeight="1" x14ac:dyDescent="0.2">
      <c r="A2918" s="42">
        <v>3283</v>
      </c>
      <c r="B2918" s="42">
        <v>17351</v>
      </c>
      <c r="C2918" s="34" t="s">
        <v>3797</v>
      </c>
    </row>
    <row r="2919" spans="1:3" ht="15.75" customHeight="1" x14ac:dyDescent="0.2">
      <c r="A2919" s="42">
        <v>3284</v>
      </c>
      <c r="B2919" s="42">
        <v>17351</v>
      </c>
      <c r="C2919" s="34" t="s">
        <v>3798</v>
      </c>
    </row>
    <row r="2920" spans="1:3" ht="15.75" customHeight="1" x14ac:dyDescent="0.2">
      <c r="A2920" s="42">
        <v>3285</v>
      </c>
      <c r="B2920" s="42">
        <v>17351</v>
      </c>
      <c r="C2920" s="34" t="s">
        <v>3799</v>
      </c>
    </row>
    <row r="2921" spans="1:3" ht="15.75" customHeight="1" x14ac:dyDescent="0.2">
      <c r="A2921" s="42">
        <v>3286</v>
      </c>
      <c r="B2921" s="42">
        <v>17351</v>
      </c>
      <c r="C2921" s="34" t="s">
        <v>3800</v>
      </c>
    </row>
    <row r="2922" spans="1:3" ht="15.75" customHeight="1" x14ac:dyDescent="0.2">
      <c r="A2922" s="42">
        <v>3287</v>
      </c>
      <c r="B2922" s="42">
        <v>17351</v>
      </c>
      <c r="C2922" s="34" t="s">
        <v>3801</v>
      </c>
    </row>
    <row r="2923" spans="1:3" ht="15.75" customHeight="1" x14ac:dyDescent="0.2">
      <c r="A2923" s="42">
        <v>3288</v>
      </c>
      <c r="B2923" s="42">
        <v>17351</v>
      </c>
      <c r="C2923" s="34" t="s">
        <v>3802</v>
      </c>
    </row>
    <row r="2924" spans="1:3" ht="15.75" customHeight="1" x14ac:dyDescent="0.2">
      <c r="A2924" s="42">
        <v>3289</v>
      </c>
      <c r="B2924" s="42">
        <v>17351</v>
      </c>
      <c r="C2924" s="34" t="s">
        <v>3803</v>
      </c>
    </row>
    <row r="2925" spans="1:3" ht="15.75" customHeight="1" x14ac:dyDescent="0.2">
      <c r="A2925" s="42">
        <v>3290</v>
      </c>
      <c r="B2925" s="42">
        <v>17351</v>
      </c>
      <c r="C2925" s="34" t="s">
        <v>3804</v>
      </c>
    </row>
    <row r="2926" spans="1:3" ht="15.75" customHeight="1" x14ac:dyDescent="0.2">
      <c r="A2926" s="42">
        <v>3291</v>
      </c>
      <c r="B2926" s="42">
        <v>17351</v>
      </c>
      <c r="C2926" s="34" t="s">
        <v>3801</v>
      </c>
    </row>
    <row r="2927" spans="1:3" ht="15.75" customHeight="1" x14ac:dyDescent="0.2">
      <c r="A2927" s="42">
        <v>3292</v>
      </c>
      <c r="B2927" s="42">
        <v>17351</v>
      </c>
      <c r="C2927" s="34" t="s">
        <v>3805</v>
      </c>
    </row>
    <row r="2928" spans="1:3" ht="15.75" customHeight="1" x14ac:dyDescent="0.2">
      <c r="A2928" s="42">
        <v>3293</v>
      </c>
      <c r="B2928" s="42">
        <v>17351</v>
      </c>
      <c r="C2928" s="34" t="s">
        <v>3806</v>
      </c>
    </row>
    <row r="2929" spans="1:3" ht="15.75" customHeight="1" x14ac:dyDescent="0.2">
      <c r="A2929" s="42">
        <v>3294</v>
      </c>
      <c r="B2929" s="42">
        <v>17351</v>
      </c>
      <c r="C2929" s="34" t="s">
        <v>3807</v>
      </c>
    </row>
    <row r="2930" spans="1:3" ht="15.75" customHeight="1" x14ac:dyDescent="0.2">
      <c r="A2930" s="42">
        <v>3295</v>
      </c>
      <c r="B2930" s="42">
        <v>17351</v>
      </c>
      <c r="C2930" s="34" t="s">
        <v>3808</v>
      </c>
    </row>
    <row r="2931" spans="1:3" ht="15.75" customHeight="1" x14ac:dyDescent="0.2">
      <c r="A2931" s="42">
        <v>3296</v>
      </c>
      <c r="B2931" s="42">
        <v>17351</v>
      </c>
      <c r="C2931" s="34" t="s">
        <v>3809</v>
      </c>
    </row>
    <row r="2932" spans="1:3" ht="15.75" customHeight="1" x14ac:dyDescent="0.2">
      <c r="A2932" s="42">
        <v>3297</v>
      </c>
      <c r="B2932" s="42">
        <v>17351</v>
      </c>
      <c r="C2932" s="34" t="s">
        <v>3810</v>
      </c>
    </row>
    <row r="2933" spans="1:3" ht="15.75" customHeight="1" x14ac:dyDescent="0.2">
      <c r="A2933" s="42">
        <v>3298</v>
      </c>
      <c r="B2933" s="42">
        <v>17351</v>
      </c>
      <c r="C2933" s="34" t="s">
        <v>3811</v>
      </c>
    </row>
    <row r="2934" spans="1:3" ht="15.75" customHeight="1" x14ac:dyDescent="0.2">
      <c r="A2934" s="42">
        <v>3299</v>
      </c>
      <c r="B2934" s="42">
        <v>17351</v>
      </c>
      <c r="C2934" s="34" t="s">
        <v>3812</v>
      </c>
    </row>
    <row r="2935" spans="1:3" ht="15.75" customHeight="1" x14ac:dyDescent="0.2">
      <c r="A2935" s="42">
        <v>3300</v>
      </c>
      <c r="B2935" s="42">
        <v>17351</v>
      </c>
      <c r="C2935" s="34" t="s">
        <v>3813</v>
      </c>
    </row>
    <row r="2936" spans="1:3" ht="15.75" customHeight="1" x14ac:dyDescent="0.2">
      <c r="A2936" s="42">
        <v>3301</v>
      </c>
      <c r="B2936" s="42">
        <v>17351</v>
      </c>
      <c r="C2936" s="34" t="s">
        <v>3814</v>
      </c>
    </row>
    <row r="2937" spans="1:3" ht="15.75" customHeight="1" x14ac:dyDescent="0.2">
      <c r="A2937" s="42">
        <v>3302</v>
      </c>
      <c r="B2937" s="42">
        <v>17351</v>
      </c>
      <c r="C2937" s="34" t="s">
        <v>3815</v>
      </c>
    </row>
    <row r="2938" spans="1:3" ht="15.75" customHeight="1" x14ac:dyDescent="0.2">
      <c r="A2938" s="42">
        <v>3303</v>
      </c>
      <c r="B2938" s="42">
        <v>17351</v>
      </c>
      <c r="C2938" s="34" t="s">
        <v>3816</v>
      </c>
    </row>
    <row r="2939" spans="1:3" ht="15.75" customHeight="1" x14ac:dyDescent="0.2">
      <c r="A2939" s="42">
        <v>3304</v>
      </c>
      <c r="B2939" s="42">
        <v>17351</v>
      </c>
      <c r="C2939" s="34" t="s">
        <v>3817</v>
      </c>
    </row>
    <row r="2940" spans="1:3" ht="15.75" customHeight="1" x14ac:dyDescent="0.2">
      <c r="A2940" s="42">
        <v>3305</v>
      </c>
      <c r="B2940" s="42">
        <v>17351</v>
      </c>
      <c r="C2940" s="34" t="s">
        <v>3818</v>
      </c>
    </row>
    <row r="2941" spans="1:3" ht="15.75" customHeight="1" x14ac:dyDescent="0.2">
      <c r="A2941" s="42">
        <v>3306</v>
      </c>
      <c r="B2941" s="42">
        <v>17351</v>
      </c>
      <c r="C2941" s="34" t="s">
        <v>3819</v>
      </c>
    </row>
    <row r="2942" spans="1:3" ht="15.75" customHeight="1" x14ac:dyDescent="0.2">
      <c r="A2942" s="42">
        <v>3307</v>
      </c>
      <c r="B2942" s="42">
        <v>17351</v>
      </c>
      <c r="C2942" s="34" t="s">
        <v>3820</v>
      </c>
    </row>
    <row r="2943" spans="1:3" ht="15.75" customHeight="1" x14ac:dyDescent="0.2">
      <c r="A2943" s="42">
        <v>3308</v>
      </c>
      <c r="B2943" s="42">
        <v>17351</v>
      </c>
      <c r="C2943" s="34" t="s">
        <v>3821</v>
      </c>
    </row>
    <row r="2944" spans="1:3" ht="15.75" customHeight="1" x14ac:dyDescent="0.2">
      <c r="A2944" s="42">
        <v>3309</v>
      </c>
      <c r="B2944" s="42">
        <v>17351</v>
      </c>
      <c r="C2944" s="34" t="s">
        <v>3822</v>
      </c>
    </row>
    <row r="2945" spans="1:3" ht="15.75" customHeight="1" x14ac:dyDescent="0.2">
      <c r="A2945" s="42">
        <v>3310</v>
      </c>
      <c r="B2945" s="42">
        <v>17351</v>
      </c>
      <c r="C2945" s="34" t="s">
        <v>3823</v>
      </c>
    </row>
    <row r="2946" spans="1:3" ht="15.75" customHeight="1" x14ac:dyDescent="0.2">
      <c r="A2946" s="42">
        <v>3311</v>
      </c>
      <c r="B2946" s="42">
        <v>17351</v>
      </c>
      <c r="C2946" s="34" t="s">
        <v>3824</v>
      </c>
    </row>
    <row r="2947" spans="1:3" ht="15.75" customHeight="1" x14ac:dyDescent="0.2">
      <c r="A2947" s="42">
        <v>3312</v>
      </c>
      <c r="B2947" s="42">
        <v>17351</v>
      </c>
      <c r="C2947" s="34" t="s">
        <v>3825</v>
      </c>
    </row>
    <row r="2948" spans="1:3" ht="15.75" customHeight="1" x14ac:dyDescent="0.2">
      <c r="A2948" s="42">
        <v>3313</v>
      </c>
      <c r="B2948" s="42">
        <v>17351</v>
      </c>
      <c r="C2948" s="34" t="s">
        <v>3826</v>
      </c>
    </row>
    <row r="2949" spans="1:3" ht="15.75" customHeight="1" x14ac:dyDescent="0.2">
      <c r="A2949" s="42">
        <v>3314</v>
      </c>
      <c r="B2949" s="42">
        <v>17351</v>
      </c>
      <c r="C2949" s="34" t="s">
        <v>3827</v>
      </c>
    </row>
    <row r="2950" spans="1:3" ht="15.75" customHeight="1" x14ac:dyDescent="0.2">
      <c r="A2950" s="42">
        <v>3315</v>
      </c>
      <c r="B2950" s="42">
        <v>17351</v>
      </c>
      <c r="C2950" s="34" t="s">
        <v>3828</v>
      </c>
    </row>
    <row r="2951" spans="1:3" ht="15.75" customHeight="1" x14ac:dyDescent="0.2">
      <c r="A2951" s="42">
        <v>3316</v>
      </c>
      <c r="B2951" s="42">
        <v>17351</v>
      </c>
      <c r="C2951" s="34" t="s">
        <v>3829</v>
      </c>
    </row>
    <row r="2952" spans="1:3" ht="15.75" customHeight="1" x14ac:dyDescent="0.2">
      <c r="A2952" s="42">
        <v>3317</v>
      </c>
      <c r="B2952" s="42">
        <v>17351</v>
      </c>
      <c r="C2952" s="34" t="s">
        <v>3830</v>
      </c>
    </row>
    <row r="2953" spans="1:3" ht="15.75" customHeight="1" x14ac:dyDescent="0.2">
      <c r="A2953" s="42">
        <v>3318</v>
      </c>
      <c r="B2953" s="42">
        <v>17351</v>
      </c>
      <c r="C2953" s="34" t="s">
        <v>3831</v>
      </c>
    </row>
    <row r="2954" spans="1:3" ht="15.75" customHeight="1" x14ac:dyDescent="0.2">
      <c r="A2954" s="42">
        <v>3319</v>
      </c>
      <c r="B2954" s="42">
        <v>17351</v>
      </c>
      <c r="C2954" s="34" t="s">
        <v>3832</v>
      </c>
    </row>
    <row r="2955" spans="1:3" ht="15.75" customHeight="1" x14ac:dyDescent="0.2">
      <c r="A2955" s="42">
        <v>3320</v>
      </c>
      <c r="B2955" s="42">
        <v>17351</v>
      </c>
      <c r="C2955" s="34" t="s">
        <v>3833</v>
      </c>
    </row>
    <row r="2956" spans="1:3" ht="15.75" customHeight="1" x14ac:dyDescent="0.2">
      <c r="A2956" s="42">
        <v>3321</v>
      </c>
      <c r="B2956" s="42">
        <v>17351</v>
      </c>
      <c r="C2956" s="34" t="s">
        <v>3834</v>
      </c>
    </row>
    <row r="2957" spans="1:3" ht="15.75" customHeight="1" x14ac:dyDescent="0.2">
      <c r="A2957" s="42">
        <v>3322</v>
      </c>
      <c r="B2957" s="42">
        <v>17351</v>
      </c>
      <c r="C2957" s="34" t="s">
        <v>3835</v>
      </c>
    </row>
    <row r="2958" spans="1:3" ht="15.75" customHeight="1" x14ac:dyDescent="0.2">
      <c r="A2958" s="42">
        <v>3323</v>
      </c>
      <c r="B2958" s="42">
        <v>17351</v>
      </c>
      <c r="C2958" s="34" t="s">
        <v>3836</v>
      </c>
    </row>
    <row r="2959" spans="1:3" ht="15.75" customHeight="1" x14ac:dyDescent="0.2">
      <c r="A2959" s="42">
        <v>3324</v>
      </c>
      <c r="B2959" s="42">
        <v>17351</v>
      </c>
      <c r="C2959" s="34" t="s">
        <v>3837</v>
      </c>
    </row>
    <row r="2960" spans="1:3" ht="15.75" customHeight="1" x14ac:dyDescent="0.2">
      <c r="A2960" s="42">
        <v>3325</v>
      </c>
      <c r="B2960" s="42">
        <v>17351</v>
      </c>
      <c r="C2960" s="34" t="s">
        <v>3838</v>
      </c>
    </row>
    <row r="2961" spans="1:3" ht="15.75" customHeight="1" x14ac:dyDescent="0.2">
      <c r="A2961" s="42">
        <v>3326</v>
      </c>
      <c r="B2961" s="42">
        <v>17351</v>
      </c>
      <c r="C2961" s="34" t="s">
        <v>3839</v>
      </c>
    </row>
    <row r="2962" spans="1:3" ht="15.75" customHeight="1" x14ac:dyDescent="0.2">
      <c r="A2962" s="42">
        <v>3327</v>
      </c>
      <c r="B2962" s="42">
        <v>17351</v>
      </c>
      <c r="C2962" s="34" t="s">
        <v>3840</v>
      </c>
    </row>
    <row r="2963" spans="1:3" ht="15.75" customHeight="1" x14ac:dyDescent="0.2">
      <c r="A2963" s="42">
        <v>3328</v>
      </c>
      <c r="B2963" s="42">
        <v>17351</v>
      </c>
      <c r="C2963" s="34" t="s">
        <v>3841</v>
      </c>
    </row>
    <row r="2964" spans="1:3" ht="15.75" customHeight="1" x14ac:dyDescent="0.2">
      <c r="A2964" s="42">
        <v>3329</v>
      </c>
      <c r="B2964" s="42">
        <v>17351</v>
      </c>
      <c r="C2964" s="34" t="s">
        <v>3842</v>
      </c>
    </row>
    <row r="2965" spans="1:3" ht="15.75" customHeight="1" x14ac:dyDescent="0.2">
      <c r="A2965" s="42">
        <v>3330</v>
      </c>
      <c r="B2965" s="42">
        <v>17351</v>
      </c>
      <c r="C2965" s="34" t="s">
        <v>3843</v>
      </c>
    </row>
    <row r="2966" spans="1:3" ht="15.75" customHeight="1" x14ac:dyDescent="0.2">
      <c r="A2966" s="42">
        <v>3331</v>
      </c>
      <c r="B2966" s="42">
        <v>17351</v>
      </c>
      <c r="C2966" s="34" t="s">
        <v>3844</v>
      </c>
    </row>
    <row r="2967" spans="1:3" ht="15.75" customHeight="1" x14ac:dyDescent="0.2">
      <c r="A2967" s="42">
        <v>3332</v>
      </c>
      <c r="B2967" s="42">
        <v>17351</v>
      </c>
      <c r="C2967" s="34" t="s">
        <v>3845</v>
      </c>
    </row>
    <row r="2968" spans="1:3" ht="15.75" customHeight="1" x14ac:dyDescent="0.2">
      <c r="A2968" s="42">
        <v>3333</v>
      </c>
      <c r="B2968" s="42">
        <v>17351</v>
      </c>
      <c r="C2968" s="34" t="s">
        <v>3846</v>
      </c>
    </row>
    <row r="2969" spans="1:3" ht="15.75" customHeight="1" x14ac:dyDescent="0.2">
      <c r="A2969" s="42">
        <v>3334</v>
      </c>
      <c r="B2969" s="42">
        <v>17351</v>
      </c>
      <c r="C2969" s="34" t="s">
        <v>3847</v>
      </c>
    </row>
    <row r="2970" spans="1:3" ht="15.75" customHeight="1" x14ac:dyDescent="0.2">
      <c r="A2970" s="42">
        <v>3335</v>
      </c>
      <c r="B2970" s="42">
        <v>17351</v>
      </c>
      <c r="C2970" s="34" t="s">
        <v>3848</v>
      </c>
    </row>
    <row r="2971" spans="1:3" ht="15.75" customHeight="1" x14ac:dyDescent="0.2">
      <c r="A2971" s="42">
        <v>3336</v>
      </c>
      <c r="B2971" s="42">
        <v>17351</v>
      </c>
      <c r="C2971" s="34" t="s">
        <v>3849</v>
      </c>
    </row>
    <row r="2972" spans="1:3" ht="15.75" customHeight="1" x14ac:dyDescent="0.2">
      <c r="A2972" s="42">
        <v>3337</v>
      </c>
      <c r="B2972" s="42">
        <v>17351</v>
      </c>
      <c r="C2972" s="34" t="s">
        <v>3850</v>
      </c>
    </row>
    <row r="2973" spans="1:3" ht="15.75" customHeight="1" x14ac:dyDescent="0.2">
      <c r="A2973" s="42">
        <v>3338</v>
      </c>
      <c r="B2973" s="42">
        <v>17351</v>
      </c>
      <c r="C2973" s="34" t="s">
        <v>3851</v>
      </c>
    </row>
    <row r="2974" spans="1:3" ht="15.75" customHeight="1" x14ac:dyDescent="0.2">
      <c r="A2974" s="42">
        <v>3339</v>
      </c>
      <c r="B2974" s="42">
        <v>17351</v>
      </c>
      <c r="C2974" s="34" t="s">
        <v>3852</v>
      </c>
    </row>
    <row r="2975" spans="1:3" ht="15.75" customHeight="1" x14ac:dyDescent="0.2">
      <c r="A2975" s="42">
        <v>3340</v>
      </c>
      <c r="B2975" s="42">
        <v>17351</v>
      </c>
      <c r="C2975" s="34" t="s">
        <v>3853</v>
      </c>
    </row>
    <row r="2976" spans="1:3" ht="15.75" customHeight="1" x14ac:dyDescent="0.2">
      <c r="A2976" s="42">
        <v>3341</v>
      </c>
      <c r="B2976" s="42">
        <v>17351</v>
      </c>
      <c r="C2976" s="34" t="s">
        <v>3854</v>
      </c>
    </row>
    <row r="2977" spans="1:3" ht="15.75" customHeight="1" x14ac:dyDescent="0.2">
      <c r="A2977" s="42">
        <v>3342</v>
      </c>
      <c r="B2977" s="42">
        <v>17351</v>
      </c>
      <c r="C2977" s="34" t="s">
        <v>3855</v>
      </c>
    </row>
    <row r="2978" spans="1:3" ht="15.75" customHeight="1" x14ac:dyDescent="0.2">
      <c r="A2978" s="42">
        <v>3343</v>
      </c>
      <c r="B2978" s="42">
        <v>17351</v>
      </c>
      <c r="C2978" s="34" t="s">
        <v>3856</v>
      </c>
    </row>
    <row r="2979" spans="1:3" ht="15.75" customHeight="1" x14ac:dyDescent="0.2">
      <c r="A2979" s="42">
        <v>3344</v>
      </c>
      <c r="B2979" s="42">
        <v>17351</v>
      </c>
      <c r="C2979" s="34" t="s">
        <v>3857</v>
      </c>
    </row>
    <row r="2980" spans="1:3" ht="15.75" customHeight="1" x14ac:dyDescent="0.2">
      <c r="A2980" s="42">
        <v>3345</v>
      </c>
      <c r="B2980" s="42">
        <v>17351</v>
      </c>
      <c r="C2980" s="34" t="s">
        <v>3858</v>
      </c>
    </row>
    <row r="2981" spans="1:3" ht="15.75" customHeight="1" x14ac:dyDescent="0.2">
      <c r="A2981" s="42">
        <v>3346</v>
      </c>
      <c r="B2981" s="42">
        <v>17351</v>
      </c>
      <c r="C2981" s="34" t="s">
        <v>3859</v>
      </c>
    </row>
    <row r="2982" spans="1:3" ht="15.75" customHeight="1" x14ac:dyDescent="0.2">
      <c r="A2982" s="42">
        <v>3347</v>
      </c>
      <c r="B2982" s="42">
        <v>17351</v>
      </c>
      <c r="C2982" s="34" t="s">
        <v>3860</v>
      </c>
    </row>
    <row r="2983" spans="1:3" ht="15.75" customHeight="1" x14ac:dyDescent="0.2">
      <c r="A2983" s="42">
        <v>3348</v>
      </c>
      <c r="B2983" s="42">
        <v>17351</v>
      </c>
      <c r="C2983" s="34" t="s">
        <v>3861</v>
      </c>
    </row>
    <row r="2984" spans="1:3" ht="15.75" customHeight="1" x14ac:dyDescent="0.2">
      <c r="A2984" s="42">
        <v>3349</v>
      </c>
      <c r="B2984" s="42">
        <v>17351</v>
      </c>
      <c r="C2984" s="34" t="s">
        <v>3862</v>
      </c>
    </row>
    <row r="2985" spans="1:3" ht="15.75" customHeight="1" x14ac:dyDescent="0.2">
      <c r="A2985" s="42">
        <v>3350</v>
      </c>
      <c r="B2985" s="42">
        <v>17351</v>
      </c>
      <c r="C2985" s="34" t="s">
        <v>3788</v>
      </c>
    </row>
    <row r="2986" spans="1:3" ht="15.75" customHeight="1" x14ac:dyDescent="0.2">
      <c r="A2986" s="42">
        <v>3351</v>
      </c>
      <c r="B2986" s="42">
        <v>17351</v>
      </c>
      <c r="C2986" s="34" t="s">
        <v>3863</v>
      </c>
    </row>
    <row r="2987" spans="1:3" ht="15.75" customHeight="1" x14ac:dyDescent="0.2">
      <c r="A2987" s="42">
        <v>3352</v>
      </c>
      <c r="B2987" s="42">
        <v>17351</v>
      </c>
      <c r="C2987" s="34" t="s">
        <v>3864</v>
      </c>
    </row>
    <row r="2988" spans="1:3" ht="15.75" customHeight="1" x14ac:dyDescent="0.2">
      <c r="A2988" s="42">
        <v>3353</v>
      </c>
      <c r="B2988" s="42">
        <v>17351</v>
      </c>
      <c r="C2988" s="34" t="s">
        <v>3865</v>
      </c>
    </row>
    <row r="2989" spans="1:3" ht="15.75" customHeight="1" x14ac:dyDescent="0.2">
      <c r="A2989" s="42">
        <v>3354</v>
      </c>
      <c r="B2989" s="42">
        <v>17351</v>
      </c>
      <c r="C2989" s="34" t="s">
        <v>3866</v>
      </c>
    </row>
    <row r="2990" spans="1:3" ht="15.75" customHeight="1" x14ac:dyDescent="0.2">
      <c r="A2990" s="42">
        <v>3355</v>
      </c>
      <c r="B2990" s="42">
        <v>17351</v>
      </c>
      <c r="C2990" s="34" t="s">
        <v>3867</v>
      </c>
    </row>
    <row r="2991" spans="1:3" ht="15.75" customHeight="1" x14ac:dyDescent="0.2">
      <c r="A2991" s="42">
        <v>3356</v>
      </c>
      <c r="B2991" s="42">
        <v>17351</v>
      </c>
      <c r="C2991" s="34" t="s">
        <v>3868</v>
      </c>
    </row>
    <row r="2992" spans="1:3" ht="15.75" customHeight="1" x14ac:dyDescent="0.2">
      <c r="A2992" s="42">
        <v>3357</v>
      </c>
      <c r="B2992" s="42">
        <v>17351</v>
      </c>
      <c r="C2992" s="34" t="s">
        <v>3869</v>
      </c>
    </row>
    <row r="2993" spans="1:3" ht="15.75" customHeight="1" x14ac:dyDescent="0.2">
      <c r="A2993" s="42">
        <v>3358</v>
      </c>
      <c r="B2993" s="42">
        <v>17351</v>
      </c>
      <c r="C2993" s="34" t="s">
        <v>3870</v>
      </c>
    </row>
    <row r="2994" spans="1:3" ht="15.75" customHeight="1" x14ac:dyDescent="0.2">
      <c r="A2994" s="42">
        <v>3359</v>
      </c>
      <c r="B2994" s="42">
        <v>17351</v>
      </c>
      <c r="C2994" s="34" t="s">
        <v>3871</v>
      </c>
    </row>
    <row r="2995" spans="1:3" ht="15.75" customHeight="1" x14ac:dyDescent="0.2">
      <c r="A2995" s="42">
        <v>3360</v>
      </c>
      <c r="B2995" s="42">
        <v>17352</v>
      </c>
      <c r="C2995" s="34" t="s">
        <v>3872</v>
      </c>
    </row>
    <row r="2996" spans="1:3" ht="15.75" customHeight="1" x14ac:dyDescent="0.2">
      <c r="A2996" s="42">
        <v>3361</v>
      </c>
      <c r="B2996" s="42">
        <v>17352</v>
      </c>
      <c r="C2996" s="34" t="s">
        <v>3873</v>
      </c>
    </row>
    <row r="2997" spans="1:3" ht="15.75" customHeight="1" x14ac:dyDescent="0.2">
      <c r="A2997" s="42">
        <v>3362</v>
      </c>
      <c r="B2997" s="42">
        <v>17352</v>
      </c>
      <c r="C2997" s="34" t="s">
        <v>3874</v>
      </c>
    </row>
    <row r="2998" spans="1:3" ht="15.75" customHeight="1" x14ac:dyDescent="0.2">
      <c r="A2998" s="42">
        <v>3363</v>
      </c>
      <c r="B2998" s="42">
        <v>17352</v>
      </c>
      <c r="C2998" s="34" t="s">
        <v>3875</v>
      </c>
    </row>
    <row r="2999" spans="1:3" ht="15.75" customHeight="1" x14ac:dyDescent="0.2">
      <c r="A2999" s="42">
        <v>3364</v>
      </c>
      <c r="B2999" s="42">
        <v>17352</v>
      </c>
      <c r="C2999" s="34" t="s">
        <v>3876</v>
      </c>
    </row>
    <row r="3000" spans="1:3" ht="15.75" customHeight="1" x14ac:dyDescent="0.2">
      <c r="A3000" s="42">
        <v>3365</v>
      </c>
      <c r="B3000" s="42">
        <v>17352</v>
      </c>
      <c r="C3000" s="34" t="s">
        <v>3872</v>
      </c>
    </row>
    <row r="3001" spans="1:3" ht="15.75" customHeight="1" x14ac:dyDescent="0.2">
      <c r="A3001" s="42">
        <v>3366</v>
      </c>
      <c r="B3001" s="42">
        <v>17352</v>
      </c>
      <c r="C3001" s="34" t="s">
        <v>3877</v>
      </c>
    </row>
    <row r="3002" spans="1:3" ht="15.75" customHeight="1" x14ac:dyDescent="0.2">
      <c r="A3002" s="42">
        <v>3367</v>
      </c>
      <c r="B3002" s="42">
        <v>17352</v>
      </c>
      <c r="C3002" s="34" t="s">
        <v>3878</v>
      </c>
    </row>
    <row r="3003" spans="1:3" ht="15.75" customHeight="1" x14ac:dyDescent="0.2">
      <c r="A3003" s="42">
        <v>3368</v>
      </c>
      <c r="B3003" s="42">
        <v>17352</v>
      </c>
      <c r="C3003" s="34" t="s">
        <v>3879</v>
      </c>
    </row>
    <row r="3004" spans="1:3" ht="15.75" customHeight="1" x14ac:dyDescent="0.2">
      <c r="A3004" s="42">
        <v>3369</v>
      </c>
      <c r="B3004" s="42">
        <v>17352</v>
      </c>
      <c r="C3004" s="34" t="s">
        <v>3880</v>
      </c>
    </row>
    <row r="3005" spans="1:3" ht="15.75" customHeight="1" x14ac:dyDescent="0.2">
      <c r="A3005" s="42">
        <v>3370</v>
      </c>
      <c r="B3005" s="42">
        <v>17352</v>
      </c>
      <c r="C3005" s="34" t="s">
        <v>3881</v>
      </c>
    </row>
    <row r="3006" spans="1:3" ht="15.75" customHeight="1" x14ac:dyDescent="0.2">
      <c r="A3006" s="42">
        <v>3371</v>
      </c>
      <c r="B3006" s="42">
        <v>17352</v>
      </c>
      <c r="C3006" s="34" t="s">
        <v>3882</v>
      </c>
    </row>
    <row r="3007" spans="1:3" ht="15.75" customHeight="1" x14ac:dyDescent="0.2">
      <c r="A3007" s="42">
        <v>3372</v>
      </c>
      <c r="B3007" s="42">
        <v>17352</v>
      </c>
      <c r="C3007" s="34" t="s">
        <v>3872</v>
      </c>
    </row>
    <row r="3008" spans="1:3" ht="15.75" customHeight="1" x14ac:dyDescent="0.2">
      <c r="A3008" s="42">
        <v>3373</v>
      </c>
      <c r="B3008" s="42">
        <v>17352</v>
      </c>
      <c r="C3008" s="34" t="s">
        <v>3883</v>
      </c>
    </row>
    <row r="3009" spans="1:3" ht="15.75" customHeight="1" x14ac:dyDescent="0.2">
      <c r="A3009" s="42">
        <v>3374</v>
      </c>
      <c r="B3009" s="42">
        <v>17352</v>
      </c>
      <c r="C3009" s="34" t="s">
        <v>3884</v>
      </c>
    </row>
    <row r="3010" spans="1:3" ht="15.75" customHeight="1" x14ac:dyDescent="0.2">
      <c r="A3010" s="42">
        <v>3375</v>
      </c>
      <c r="B3010" s="42">
        <v>17352</v>
      </c>
      <c r="C3010" s="34" t="s">
        <v>3874</v>
      </c>
    </row>
    <row r="3011" spans="1:3" ht="15.75" customHeight="1" x14ac:dyDescent="0.2">
      <c r="A3011" s="42">
        <v>3376</v>
      </c>
      <c r="B3011" s="42">
        <v>17352</v>
      </c>
      <c r="C3011" s="34" t="s">
        <v>3872</v>
      </c>
    </row>
    <row r="3012" spans="1:3" ht="15.75" customHeight="1" x14ac:dyDescent="0.2">
      <c r="A3012" s="42">
        <v>3377</v>
      </c>
      <c r="B3012" s="42">
        <v>17352</v>
      </c>
      <c r="C3012" s="34" t="s">
        <v>3885</v>
      </c>
    </row>
    <row r="3013" spans="1:3" ht="15.75" customHeight="1" x14ac:dyDescent="0.2">
      <c r="A3013" s="42">
        <v>3378</v>
      </c>
      <c r="B3013" s="42">
        <v>17352</v>
      </c>
      <c r="C3013" s="34" t="s">
        <v>3886</v>
      </c>
    </row>
    <row r="3014" spans="1:3" ht="15.75" customHeight="1" x14ac:dyDescent="0.2">
      <c r="A3014" s="42">
        <v>3379</v>
      </c>
      <c r="B3014" s="42">
        <v>17352</v>
      </c>
      <c r="C3014" s="34" t="s">
        <v>3874</v>
      </c>
    </row>
    <row r="3015" spans="1:3" ht="15.75" customHeight="1" x14ac:dyDescent="0.2">
      <c r="A3015" s="42">
        <v>3380</v>
      </c>
      <c r="B3015" s="42">
        <v>17352</v>
      </c>
      <c r="C3015" s="34" t="s">
        <v>3872</v>
      </c>
    </row>
    <row r="3016" spans="1:3" ht="15.75" customHeight="1" x14ac:dyDescent="0.2">
      <c r="A3016" s="42">
        <v>3381</v>
      </c>
      <c r="B3016" s="42">
        <v>17352</v>
      </c>
      <c r="C3016" s="34" t="s">
        <v>3887</v>
      </c>
    </row>
    <row r="3017" spans="1:3" ht="15.75" customHeight="1" x14ac:dyDescent="0.2">
      <c r="A3017" s="42">
        <v>3382</v>
      </c>
      <c r="B3017" s="42">
        <v>17352</v>
      </c>
      <c r="C3017" s="34" t="s">
        <v>3888</v>
      </c>
    </row>
    <row r="3018" spans="1:3" ht="15.75" customHeight="1" x14ac:dyDescent="0.2">
      <c r="A3018" s="42">
        <v>3383</v>
      </c>
      <c r="B3018" s="42">
        <v>17352</v>
      </c>
      <c r="C3018" s="34" t="s">
        <v>3874</v>
      </c>
    </row>
    <row r="3019" spans="1:3" ht="15.75" customHeight="1" x14ac:dyDescent="0.2">
      <c r="A3019" s="42">
        <v>3384</v>
      </c>
      <c r="B3019" s="42">
        <v>17352</v>
      </c>
      <c r="C3019" s="34" t="s">
        <v>3889</v>
      </c>
    </row>
    <row r="3020" spans="1:3" ht="15.75" customHeight="1" x14ac:dyDescent="0.2">
      <c r="A3020" s="42">
        <v>3385</v>
      </c>
      <c r="B3020" s="42">
        <v>17352</v>
      </c>
      <c r="C3020" s="34" t="s">
        <v>3890</v>
      </c>
    </row>
    <row r="3021" spans="1:3" ht="15.75" customHeight="1" x14ac:dyDescent="0.2">
      <c r="A3021" s="42">
        <v>3386</v>
      </c>
      <c r="B3021" s="42">
        <v>17352</v>
      </c>
      <c r="C3021" s="34" t="s">
        <v>3891</v>
      </c>
    </row>
    <row r="3022" spans="1:3" ht="15.75" customHeight="1" x14ac:dyDescent="0.2">
      <c r="A3022" s="42">
        <v>3387</v>
      </c>
      <c r="B3022" s="42">
        <v>17352</v>
      </c>
      <c r="C3022" s="34" t="s">
        <v>3872</v>
      </c>
    </row>
    <row r="3023" spans="1:3" ht="15.75" customHeight="1" x14ac:dyDescent="0.2">
      <c r="A3023" s="42">
        <v>3388</v>
      </c>
      <c r="B3023" s="42">
        <v>17352</v>
      </c>
      <c r="C3023" s="34" t="s">
        <v>3892</v>
      </c>
    </row>
    <row r="3024" spans="1:3" ht="15.75" customHeight="1" x14ac:dyDescent="0.2">
      <c r="A3024" s="42">
        <v>3389</v>
      </c>
      <c r="B3024" s="42">
        <v>17352</v>
      </c>
      <c r="C3024" s="34" t="s">
        <v>3893</v>
      </c>
    </row>
    <row r="3025" spans="1:3" ht="15.75" customHeight="1" x14ac:dyDescent="0.2">
      <c r="A3025" s="42">
        <v>3390</v>
      </c>
      <c r="B3025" s="42">
        <v>17352</v>
      </c>
      <c r="C3025" s="34" t="s">
        <v>3890</v>
      </c>
    </row>
    <row r="3026" spans="1:3" ht="15.75" customHeight="1" x14ac:dyDescent="0.2">
      <c r="A3026" s="42">
        <v>3391</v>
      </c>
      <c r="B3026" s="42">
        <v>17352</v>
      </c>
      <c r="C3026" s="34" t="s">
        <v>3872</v>
      </c>
    </row>
    <row r="3027" spans="1:3" ht="15.75" customHeight="1" x14ac:dyDescent="0.2">
      <c r="A3027" s="42">
        <v>3392</v>
      </c>
      <c r="B3027" s="42">
        <v>17352</v>
      </c>
      <c r="C3027" s="34" t="s">
        <v>3872</v>
      </c>
    </row>
    <row r="3028" spans="1:3" ht="15.75" customHeight="1" x14ac:dyDescent="0.2">
      <c r="A3028" s="42">
        <v>3393</v>
      </c>
      <c r="B3028" s="42">
        <v>17352</v>
      </c>
      <c r="C3028" s="34" t="s">
        <v>3894</v>
      </c>
    </row>
    <row r="3029" spans="1:3" ht="15.75" customHeight="1" x14ac:dyDescent="0.2">
      <c r="A3029" s="42">
        <v>3394</v>
      </c>
      <c r="B3029" s="42">
        <v>17352</v>
      </c>
      <c r="C3029" s="34" t="s">
        <v>3877</v>
      </c>
    </row>
    <row r="3030" spans="1:3" ht="15.75" customHeight="1" x14ac:dyDescent="0.2">
      <c r="A3030" s="42">
        <v>3395</v>
      </c>
      <c r="B3030" s="42">
        <v>17352</v>
      </c>
      <c r="C3030" s="34" t="s">
        <v>3888</v>
      </c>
    </row>
    <row r="3031" spans="1:3" ht="15.75" customHeight="1" x14ac:dyDescent="0.2">
      <c r="A3031" s="42">
        <v>3396</v>
      </c>
      <c r="B3031" s="42">
        <v>17352</v>
      </c>
      <c r="C3031" s="34" t="s">
        <v>3874</v>
      </c>
    </row>
    <row r="3032" spans="1:3" ht="15.75" customHeight="1" x14ac:dyDescent="0.2">
      <c r="A3032" s="42">
        <v>3397</v>
      </c>
      <c r="B3032" s="42">
        <v>17352</v>
      </c>
      <c r="C3032" s="34" t="s">
        <v>3895</v>
      </c>
    </row>
    <row r="3033" spans="1:3" ht="15.75" customHeight="1" x14ac:dyDescent="0.2">
      <c r="A3033" s="42">
        <v>3398</v>
      </c>
      <c r="B3033" s="42">
        <v>17352</v>
      </c>
      <c r="C3033" s="34" t="s">
        <v>3888</v>
      </c>
    </row>
    <row r="3034" spans="1:3" ht="15.75" customHeight="1" x14ac:dyDescent="0.2">
      <c r="A3034" s="42">
        <v>3399</v>
      </c>
      <c r="B3034" s="42">
        <v>17352</v>
      </c>
      <c r="C3034" s="34" t="s">
        <v>3874</v>
      </c>
    </row>
    <row r="3035" spans="1:3" ht="15.75" customHeight="1" x14ac:dyDescent="0.2">
      <c r="A3035" s="42">
        <v>3400</v>
      </c>
      <c r="B3035" s="42">
        <v>17352</v>
      </c>
      <c r="C3035" s="34" t="s">
        <v>3872</v>
      </c>
    </row>
    <row r="3036" spans="1:3" ht="15.75" customHeight="1" x14ac:dyDescent="0.2">
      <c r="A3036" s="42">
        <v>3401</v>
      </c>
      <c r="B3036" s="42">
        <v>17352</v>
      </c>
      <c r="C3036" s="34" t="s">
        <v>3896</v>
      </c>
    </row>
    <row r="3037" spans="1:3" ht="15.75" customHeight="1" x14ac:dyDescent="0.2">
      <c r="A3037" s="42">
        <v>3402</v>
      </c>
      <c r="B3037" s="42">
        <v>17352</v>
      </c>
      <c r="C3037" s="34" t="s">
        <v>3897</v>
      </c>
    </row>
    <row r="3038" spans="1:3" ht="15.75" customHeight="1" x14ac:dyDescent="0.2">
      <c r="A3038" s="42">
        <v>3403</v>
      </c>
      <c r="B3038" s="42">
        <v>17352</v>
      </c>
      <c r="C3038" s="34" t="s">
        <v>3872</v>
      </c>
    </row>
    <row r="3039" spans="1:3" ht="15.75" customHeight="1" x14ac:dyDescent="0.2">
      <c r="A3039" s="42">
        <v>3404</v>
      </c>
      <c r="B3039" s="42">
        <v>17352</v>
      </c>
      <c r="C3039" s="34" t="s">
        <v>3874</v>
      </c>
    </row>
    <row r="3040" spans="1:3" ht="15.75" customHeight="1" x14ac:dyDescent="0.2">
      <c r="A3040" s="42">
        <v>3405</v>
      </c>
      <c r="B3040" s="42">
        <v>17352</v>
      </c>
      <c r="C3040" s="34" t="s">
        <v>3874</v>
      </c>
    </row>
    <row r="3041" spans="1:3" ht="15.75" customHeight="1" x14ac:dyDescent="0.2">
      <c r="A3041" s="42">
        <v>3406</v>
      </c>
      <c r="B3041" s="42">
        <v>17352</v>
      </c>
      <c r="C3041" s="34" t="s">
        <v>3898</v>
      </c>
    </row>
    <row r="3042" spans="1:3" ht="15.75" customHeight="1" x14ac:dyDescent="0.2">
      <c r="A3042" s="42">
        <v>3407</v>
      </c>
      <c r="B3042" s="42">
        <v>17352</v>
      </c>
      <c r="C3042" s="34" t="s">
        <v>3881</v>
      </c>
    </row>
    <row r="3043" spans="1:3" ht="15.75" customHeight="1" x14ac:dyDescent="0.2">
      <c r="A3043" s="42">
        <v>3408</v>
      </c>
      <c r="B3043" s="42">
        <v>17352</v>
      </c>
      <c r="C3043" s="34" t="s">
        <v>3881</v>
      </c>
    </row>
    <row r="3044" spans="1:3" ht="15.75" customHeight="1" x14ac:dyDescent="0.2">
      <c r="A3044" s="42">
        <v>3409</v>
      </c>
      <c r="B3044" s="42">
        <v>17352</v>
      </c>
      <c r="C3044" s="34" t="s">
        <v>3872</v>
      </c>
    </row>
    <row r="3045" spans="1:3" ht="15.75" customHeight="1" x14ac:dyDescent="0.2">
      <c r="A3045" s="42">
        <v>3410</v>
      </c>
      <c r="B3045" s="42">
        <v>17352</v>
      </c>
      <c r="C3045" s="34" t="s">
        <v>3888</v>
      </c>
    </row>
    <row r="3046" spans="1:3" ht="15.75" customHeight="1" x14ac:dyDescent="0.2">
      <c r="A3046" s="42">
        <v>3411</v>
      </c>
      <c r="B3046" s="42">
        <v>17352</v>
      </c>
      <c r="C3046" s="34" t="s">
        <v>3881</v>
      </c>
    </row>
    <row r="3047" spans="1:3" ht="15.75" customHeight="1" x14ac:dyDescent="0.2">
      <c r="A3047" s="42">
        <v>3412</v>
      </c>
      <c r="B3047" s="42">
        <v>17352</v>
      </c>
      <c r="C3047" s="34" t="s">
        <v>3899</v>
      </c>
    </row>
    <row r="3048" spans="1:3" ht="15.75" customHeight="1" x14ac:dyDescent="0.2">
      <c r="A3048" s="42">
        <v>3413</v>
      </c>
      <c r="B3048" s="42">
        <v>17352</v>
      </c>
      <c r="C3048" s="34" t="s">
        <v>3900</v>
      </c>
    </row>
    <row r="3049" spans="1:3" ht="15.75" customHeight="1" x14ac:dyDescent="0.2">
      <c r="A3049" s="42">
        <v>3414</v>
      </c>
      <c r="B3049" s="42">
        <v>17352</v>
      </c>
      <c r="C3049" s="34" t="s">
        <v>3880</v>
      </c>
    </row>
    <row r="3050" spans="1:3" ht="15.75" customHeight="1" x14ac:dyDescent="0.2">
      <c r="A3050" s="42">
        <v>3415</v>
      </c>
      <c r="B3050" s="42">
        <v>17352</v>
      </c>
      <c r="C3050" s="34" t="s">
        <v>3901</v>
      </c>
    </row>
    <row r="3051" spans="1:3" ht="15.75" customHeight="1" x14ac:dyDescent="0.2">
      <c r="A3051" s="42">
        <v>3416</v>
      </c>
      <c r="B3051" s="42">
        <v>17352</v>
      </c>
      <c r="C3051" s="34" t="s">
        <v>3872</v>
      </c>
    </row>
    <row r="3052" spans="1:3" ht="15.75" customHeight="1" x14ac:dyDescent="0.2">
      <c r="A3052" s="42">
        <v>3417</v>
      </c>
      <c r="B3052" s="42">
        <v>17352</v>
      </c>
      <c r="C3052" s="34" t="s">
        <v>3902</v>
      </c>
    </row>
    <row r="3053" spans="1:3" ht="15.75" customHeight="1" x14ac:dyDescent="0.2">
      <c r="A3053" s="42">
        <v>3418</v>
      </c>
      <c r="B3053" s="42">
        <v>17352</v>
      </c>
      <c r="C3053" s="34" t="s">
        <v>3903</v>
      </c>
    </row>
    <row r="3054" spans="1:3" ht="15.75" customHeight="1" x14ac:dyDescent="0.2">
      <c r="A3054" s="42">
        <v>3419</v>
      </c>
      <c r="B3054" s="42">
        <v>17352</v>
      </c>
      <c r="C3054" s="34" t="s">
        <v>3904</v>
      </c>
    </row>
    <row r="3055" spans="1:3" ht="15.75" customHeight="1" x14ac:dyDescent="0.2">
      <c r="A3055" s="42">
        <v>3420</v>
      </c>
      <c r="B3055" s="42">
        <v>17352</v>
      </c>
      <c r="C3055" s="34" t="s">
        <v>3874</v>
      </c>
    </row>
    <row r="3056" spans="1:3" ht="15.75" customHeight="1" x14ac:dyDescent="0.2">
      <c r="A3056" s="42">
        <v>3421</v>
      </c>
      <c r="B3056" s="42">
        <v>17352</v>
      </c>
      <c r="C3056" s="34" t="s">
        <v>3905</v>
      </c>
    </row>
    <row r="3057" spans="1:3" ht="15.75" customHeight="1" x14ac:dyDescent="0.2">
      <c r="A3057" s="42">
        <v>3422</v>
      </c>
      <c r="B3057" s="42">
        <v>17352</v>
      </c>
      <c r="C3057" s="34" t="s">
        <v>3906</v>
      </c>
    </row>
    <row r="3058" spans="1:3" ht="15.75" customHeight="1" x14ac:dyDescent="0.2">
      <c r="A3058" s="42">
        <v>3423</v>
      </c>
      <c r="B3058" s="42">
        <v>17352</v>
      </c>
      <c r="C3058" s="34" t="s">
        <v>3907</v>
      </c>
    </row>
    <row r="3059" spans="1:3" ht="15.75" customHeight="1" x14ac:dyDescent="0.2">
      <c r="A3059" s="42">
        <v>3424</v>
      </c>
      <c r="B3059" s="42">
        <v>17352</v>
      </c>
      <c r="C3059" s="34" t="s">
        <v>3874</v>
      </c>
    </row>
    <row r="3060" spans="1:3" ht="15.75" customHeight="1" x14ac:dyDescent="0.2">
      <c r="A3060" s="42">
        <v>3425</v>
      </c>
      <c r="B3060" s="42">
        <v>17352</v>
      </c>
      <c r="C3060" s="34" t="s">
        <v>3872</v>
      </c>
    </row>
    <row r="3061" spans="1:3" ht="15.75" customHeight="1" x14ac:dyDescent="0.2">
      <c r="A3061" s="42">
        <v>3426</v>
      </c>
      <c r="B3061" s="42">
        <v>17352</v>
      </c>
      <c r="C3061" s="34" t="s">
        <v>3908</v>
      </c>
    </row>
    <row r="3062" spans="1:3" ht="15.75" customHeight="1" x14ac:dyDescent="0.2">
      <c r="A3062" s="42">
        <v>3427</v>
      </c>
      <c r="B3062" s="42">
        <v>17352</v>
      </c>
      <c r="C3062" s="34" t="s">
        <v>3897</v>
      </c>
    </row>
    <row r="3063" spans="1:3" ht="15.75" customHeight="1" x14ac:dyDescent="0.2">
      <c r="A3063" s="42">
        <v>3428</v>
      </c>
      <c r="B3063" s="42">
        <v>17352</v>
      </c>
      <c r="C3063" s="34" t="s">
        <v>3909</v>
      </c>
    </row>
    <row r="3064" spans="1:3" ht="15.75" customHeight="1" x14ac:dyDescent="0.2">
      <c r="A3064" s="42">
        <v>3429</v>
      </c>
      <c r="B3064" s="42">
        <v>17353</v>
      </c>
      <c r="C3064" s="34" t="s">
        <v>3910</v>
      </c>
    </row>
    <row r="3065" spans="1:3" ht="15.75" customHeight="1" x14ac:dyDescent="0.2">
      <c r="A3065" s="42">
        <v>3430</v>
      </c>
      <c r="B3065" s="42">
        <v>17353</v>
      </c>
      <c r="C3065" s="34" t="s">
        <v>3911</v>
      </c>
    </row>
    <row r="3066" spans="1:3" ht="15.75" customHeight="1" x14ac:dyDescent="0.2">
      <c r="A3066" s="42">
        <v>3431</v>
      </c>
      <c r="B3066" s="42">
        <v>17353</v>
      </c>
      <c r="C3066" s="34" t="s">
        <v>3912</v>
      </c>
    </row>
    <row r="3067" spans="1:3" ht="15.75" customHeight="1" x14ac:dyDescent="0.2">
      <c r="A3067" s="42">
        <v>3432</v>
      </c>
      <c r="B3067" s="42">
        <v>17353</v>
      </c>
      <c r="C3067" s="34" t="s">
        <v>3913</v>
      </c>
    </row>
    <row r="3068" spans="1:3" ht="15.75" customHeight="1" x14ac:dyDescent="0.2">
      <c r="A3068" s="42">
        <v>3433</v>
      </c>
      <c r="B3068" s="42">
        <v>17353</v>
      </c>
      <c r="C3068" s="34" t="s">
        <v>3911</v>
      </c>
    </row>
    <row r="3069" spans="1:3" ht="15.75" customHeight="1" x14ac:dyDescent="0.2">
      <c r="A3069" s="42">
        <v>3434</v>
      </c>
      <c r="B3069" s="42">
        <v>17353</v>
      </c>
      <c r="C3069" s="34" t="s">
        <v>3914</v>
      </c>
    </row>
    <row r="3070" spans="1:3" ht="15.75" customHeight="1" x14ac:dyDescent="0.2">
      <c r="A3070" s="42">
        <v>3435</v>
      </c>
      <c r="B3070" s="42">
        <v>17353</v>
      </c>
      <c r="C3070" s="34" t="s">
        <v>3915</v>
      </c>
    </row>
    <row r="3071" spans="1:3" ht="15.75" customHeight="1" x14ac:dyDescent="0.2">
      <c r="A3071" s="42">
        <v>3436</v>
      </c>
      <c r="B3071" s="42">
        <v>17353</v>
      </c>
      <c r="C3071" s="34" t="s">
        <v>3916</v>
      </c>
    </row>
    <row r="3072" spans="1:3" ht="15.75" customHeight="1" x14ac:dyDescent="0.2">
      <c r="A3072" s="42">
        <v>3437</v>
      </c>
      <c r="B3072" s="42">
        <v>17353</v>
      </c>
      <c r="C3072" s="34" t="s">
        <v>3911</v>
      </c>
    </row>
    <row r="3073" spans="1:3" ht="15.75" customHeight="1" x14ac:dyDescent="0.2">
      <c r="A3073" s="42">
        <v>3438</v>
      </c>
      <c r="B3073" s="42">
        <v>17353</v>
      </c>
      <c r="C3073" s="34" t="s">
        <v>3917</v>
      </c>
    </row>
    <row r="3074" spans="1:3" ht="15.75" customHeight="1" x14ac:dyDescent="0.2">
      <c r="A3074" s="42">
        <v>3439</v>
      </c>
      <c r="B3074" s="42">
        <v>17353</v>
      </c>
      <c r="C3074" s="34" t="s">
        <v>3918</v>
      </c>
    </row>
    <row r="3075" spans="1:3" ht="15.75" customHeight="1" x14ac:dyDescent="0.2">
      <c r="A3075" s="42">
        <v>3440</v>
      </c>
      <c r="B3075" s="42">
        <v>17353</v>
      </c>
      <c r="C3075" s="34" t="s">
        <v>3915</v>
      </c>
    </row>
    <row r="3076" spans="1:3" ht="15.75" customHeight="1" x14ac:dyDescent="0.2">
      <c r="A3076" s="42">
        <v>3441</v>
      </c>
      <c r="B3076" s="42">
        <v>17353</v>
      </c>
      <c r="C3076" s="34" t="s">
        <v>3915</v>
      </c>
    </row>
    <row r="3077" spans="1:3" ht="15.75" customHeight="1" x14ac:dyDescent="0.2">
      <c r="A3077" s="42">
        <v>3442</v>
      </c>
      <c r="B3077" s="42">
        <v>17353</v>
      </c>
      <c r="C3077" s="34" t="s">
        <v>3919</v>
      </c>
    </row>
    <row r="3078" spans="1:3" ht="15.75" customHeight="1" x14ac:dyDescent="0.2">
      <c r="A3078" s="42">
        <v>3443</v>
      </c>
      <c r="B3078" s="42">
        <v>17353</v>
      </c>
      <c r="C3078" s="34" t="s">
        <v>3920</v>
      </c>
    </row>
    <row r="3079" spans="1:3" ht="15.75" customHeight="1" x14ac:dyDescent="0.2">
      <c r="A3079" s="42">
        <v>3444</v>
      </c>
      <c r="B3079" s="42">
        <v>17353</v>
      </c>
      <c r="C3079" s="34" t="s">
        <v>3921</v>
      </c>
    </row>
    <row r="3080" spans="1:3" ht="15.75" customHeight="1" x14ac:dyDescent="0.2">
      <c r="A3080" s="42">
        <v>3445</v>
      </c>
      <c r="B3080" s="42">
        <v>17353</v>
      </c>
      <c r="C3080" s="34" t="s">
        <v>3922</v>
      </c>
    </row>
    <row r="3081" spans="1:3" ht="15.75" customHeight="1" x14ac:dyDescent="0.2">
      <c r="A3081" s="42">
        <v>3446</v>
      </c>
      <c r="B3081" s="42">
        <v>17353</v>
      </c>
      <c r="C3081" s="34" t="s">
        <v>3923</v>
      </c>
    </row>
    <row r="3082" spans="1:3" ht="15.75" customHeight="1" x14ac:dyDescent="0.2">
      <c r="A3082" s="42">
        <v>3447</v>
      </c>
      <c r="B3082" s="42">
        <v>17353</v>
      </c>
      <c r="C3082" s="34" t="s">
        <v>3924</v>
      </c>
    </row>
    <row r="3083" spans="1:3" ht="15.75" customHeight="1" x14ac:dyDescent="0.2">
      <c r="A3083" s="42">
        <v>3448</v>
      </c>
      <c r="B3083" s="42">
        <v>17353</v>
      </c>
      <c r="C3083" s="34" t="s">
        <v>3925</v>
      </c>
    </row>
    <row r="3084" spans="1:3" ht="15.75" customHeight="1" x14ac:dyDescent="0.2">
      <c r="A3084" s="42">
        <v>3449</v>
      </c>
      <c r="B3084" s="42">
        <v>17353</v>
      </c>
      <c r="C3084" s="34" t="s">
        <v>3923</v>
      </c>
    </row>
    <row r="3085" spans="1:3" ht="15.75" customHeight="1" x14ac:dyDescent="0.2">
      <c r="A3085" s="42">
        <v>3450</v>
      </c>
      <c r="B3085" s="42">
        <v>17353</v>
      </c>
      <c r="C3085" s="34" t="s">
        <v>3923</v>
      </c>
    </row>
    <row r="3086" spans="1:3" ht="15.75" customHeight="1" x14ac:dyDescent="0.2">
      <c r="A3086" s="42">
        <v>3451</v>
      </c>
      <c r="B3086" s="42">
        <v>17353</v>
      </c>
      <c r="C3086" s="34" t="s">
        <v>3926</v>
      </c>
    </row>
    <row r="3087" spans="1:3" ht="15.75" customHeight="1" x14ac:dyDescent="0.2">
      <c r="A3087" s="42">
        <v>3452</v>
      </c>
      <c r="B3087" s="42">
        <v>17353</v>
      </c>
      <c r="C3087" s="34" t="s">
        <v>3927</v>
      </c>
    </row>
    <row r="3088" spans="1:3" ht="15.75" customHeight="1" x14ac:dyDescent="0.2">
      <c r="A3088" s="42">
        <v>3453</v>
      </c>
      <c r="B3088" s="42">
        <v>17353</v>
      </c>
      <c r="C3088" s="34" t="s">
        <v>3928</v>
      </c>
    </row>
    <row r="3089" spans="1:3" ht="15.75" customHeight="1" x14ac:dyDescent="0.2">
      <c r="A3089" s="42">
        <v>3454</v>
      </c>
      <c r="B3089" s="42">
        <v>17353</v>
      </c>
      <c r="C3089" s="34" t="s">
        <v>3911</v>
      </c>
    </row>
    <row r="3090" spans="1:3" ht="15.75" customHeight="1" x14ac:dyDescent="0.2">
      <c r="A3090" s="42">
        <v>3455</v>
      </c>
      <c r="B3090" s="42">
        <v>17353</v>
      </c>
      <c r="C3090" s="34" t="s">
        <v>3913</v>
      </c>
    </row>
    <row r="3091" spans="1:3" ht="15.75" customHeight="1" x14ac:dyDescent="0.2">
      <c r="A3091" s="42">
        <v>3456</v>
      </c>
      <c r="B3091" s="42">
        <v>17353</v>
      </c>
      <c r="C3091" s="34" t="s">
        <v>3929</v>
      </c>
    </row>
    <row r="3092" spans="1:3" ht="15.75" customHeight="1" x14ac:dyDescent="0.2">
      <c r="A3092" s="42">
        <v>3457</v>
      </c>
      <c r="B3092" s="42">
        <v>17353</v>
      </c>
      <c r="C3092" s="34" t="s">
        <v>3930</v>
      </c>
    </row>
    <row r="3093" spans="1:3" ht="15.75" customHeight="1" x14ac:dyDescent="0.2">
      <c r="A3093" s="42">
        <v>3458</v>
      </c>
      <c r="B3093" s="42">
        <v>17353</v>
      </c>
      <c r="C3093" s="34" t="s">
        <v>3911</v>
      </c>
    </row>
    <row r="3094" spans="1:3" ht="15.75" customHeight="1" x14ac:dyDescent="0.2">
      <c r="A3094" s="42">
        <v>3459</v>
      </c>
      <c r="B3094" s="42">
        <v>17353</v>
      </c>
      <c r="C3094" s="34" t="s">
        <v>3911</v>
      </c>
    </row>
    <row r="3095" spans="1:3" ht="15.75" customHeight="1" x14ac:dyDescent="0.2">
      <c r="A3095" s="42">
        <v>3460</v>
      </c>
      <c r="B3095" s="42">
        <v>17353</v>
      </c>
      <c r="C3095" s="34" t="s">
        <v>3931</v>
      </c>
    </row>
    <row r="3096" spans="1:3" ht="15.75" customHeight="1" x14ac:dyDescent="0.2">
      <c r="A3096" s="42">
        <v>3461</v>
      </c>
      <c r="B3096" s="42">
        <v>17353</v>
      </c>
      <c r="C3096" s="34" t="s">
        <v>3915</v>
      </c>
    </row>
    <row r="3097" spans="1:3" ht="15.75" customHeight="1" x14ac:dyDescent="0.2">
      <c r="A3097" s="42">
        <v>3462</v>
      </c>
      <c r="B3097" s="42">
        <v>17353</v>
      </c>
      <c r="C3097" s="34" t="s">
        <v>3932</v>
      </c>
    </row>
    <row r="3098" spans="1:3" ht="15.75" customHeight="1" x14ac:dyDescent="0.2">
      <c r="A3098" s="42">
        <v>3463</v>
      </c>
      <c r="B3098" s="42">
        <v>17353</v>
      </c>
      <c r="C3098" s="34" t="s">
        <v>3933</v>
      </c>
    </row>
    <row r="3099" spans="1:3" ht="15.75" customHeight="1" x14ac:dyDescent="0.2">
      <c r="A3099" s="42">
        <v>3464</v>
      </c>
      <c r="B3099" s="42">
        <v>17353</v>
      </c>
      <c r="C3099" s="34" t="s">
        <v>3911</v>
      </c>
    </row>
    <row r="3100" spans="1:3" ht="15.75" customHeight="1" x14ac:dyDescent="0.2">
      <c r="A3100" s="42">
        <v>3465</v>
      </c>
      <c r="B3100" s="42">
        <v>17353</v>
      </c>
      <c r="C3100" s="34" t="s">
        <v>3915</v>
      </c>
    </row>
    <row r="3101" spans="1:3" ht="15.75" customHeight="1" x14ac:dyDescent="0.2">
      <c r="A3101" s="42">
        <v>3466</v>
      </c>
      <c r="B3101" s="42">
        <v>17353</v>
      </c>
      <c r="C3101" s="34" t="s">
        <v>3934</v>
      </c>
    </row>
    <row r="3102" spans="1:3" ht="15.75" customHeight="1" x14ac:dyDescent="0.2">
      <c r="A3102" s="42">
        <v>3467</v>
      </c>
      <c r="B3102" s="42">
        <v>17353</v>
      </c>
      <c r="C3102" s="34" t="s">
        <v>3935</v>
      </c>
    </row>
    <row r="3103" spans="1:3" ht="15.75" customHeight="1" x14ac:dyDescent="0.2">
      <c r="A3103" s="42">
        <v>3468</v>
      </c>
      <c r="B3103" s="42">
        <v>17353</v>
      </c>
      <c r="C3103" s="34" t="s">
        <v>3911</v>
      </c>
    </row>
    <row r="3104" spans="1:3" ht="15.75" customHeight="1" x14ac:dyDescent="0.2">
      <c r="A3104" s="42">
        <v>3469</v>
      </c>
      <c r="B3104" s="42">
        <v>17353</v>
      </c>
      <c r="C3104" s="34" t="s">
        <v>3910</v>
      </c>
    </row>
    <row r="3105" spans="1:3" ht="15.75" customHeight="1" x14ac:dyDescent="0.2">
      <c r="A3105" s="42">
        <v>3470</v>
      </c>
      <c r="B3105" s="42">
        <v>17353</v>
      </c>
      <c r="C3105" s="34" t="s">
        <v>3936</v>
      </c>
    </row>
    <row r="3106" spans="1:3" ht="15.75" customHeight="1" x14ac:dyDescent="0.2">
      <c r="A3106" s="42">
        <v>3471</v>
      </c>
      <c r="B3106" s="42">
        <v>17353</v>
      </c>
      <c r="C3106" s="34" t="s">
        <v>3937</v>
      </c>
    </row>
    <row r="3107" spans="1:3" ht="15.75" customHeight="1" x14ac:dyDescent="0.2">
      <c r="A3107" s="42">
        <v>3472</v>
      </c>
      <c r="B3107" s="42">
        <v>17353</v>
      </c>
      <c r="C3107" s="34" t="s">
        <v>3915</v>
      </c>
    </row>
    <row r="3108" spans="1:3" ht="15.75" customHeight="1" x14ac:dyDescent="0.2">
      <c r="A3108" s="42">
        <v>3473</v>
      </c>
      <c r="B3108" s="42">
        <v>17353</v>
      </c>
      <c r="C3108" s="34" t="s">
        <v>3938</v>
      </c>
    </row>
    <row r="3109" spans="1:3" ht="15.75" customHeight="1" x14ac:dyDescent="0.2">
      <c r="A3109" s="42">
        <v>3474</v>
      </c>
      <c r="B3109" s="42">
        <v>17353</v>
      </c>
      <c r="C3109" s="34" t="s">
        <v>3927</v>
      </c>
    </row>
    <row r="3110" spans="1:3" ht="15.75" customHeight="1" x14ac:dyDescent="0.2">
      <c r="A3110" s="42">
        <v>3475</v>
      </c>
      <c r="B3110" s="42">
        <v>17353</v>
      </c>
      <c r="C3110" s="34" t="s">
        <v>3913</v>
      </c>
    </row>
    <row r="3111" spans="1:3" ht="15.75" customHeight="1" x14ac:dyDescent="0.2">
      <c r="A3111" s="42">
        <v>3476</v>
      </c>
      <c r="B3111" s="42">
        <v>17353</v>
      </c>
      <c r="C3111" s="34" t="s">
        <v>3939</v>
      </c>
    </row>
    <row r="3112" spans="1:3" ht="15.75" customHeight="1" x14ac:dyDescent="0.2">
      <c r="A3112" s="42">
        <v>3477</v>
      </c>
      <c r="B3112" s="42">
        <v>17353</v>
      </c>
      <c r="C3112" s="34" t="s">
        <v>3940</v>
      </c>
    </row>
    <row r="3113" spans="1:3" ht="15.75" customHeight="1" x14ac:dyDescent="0.2">
      <c r="A3113" s="42">
        <v>3478</v>
      </c>
      <c r="B3113" s="42">
        <v>17353</v>
      </c>
      <c r="C3113" s="34" t="s">
        <v>3913</v>
      </c>
    </row>
    <row r="3114" spans="1:3" ht="15.75" customHeight="1" x14ac:dyDescent="0.2">
      <c r="A3114" s="42">
        <v>3479</v>
      </c>
      <c r="B3114" s="42">
        <v>17353</v>
      </c>
      <c r="C3114" s="34" t="s">
        <v>3941</v>
      </c>
    </row>
    <row r="3115" spans="1:3" ht="15.75" customHeight="1" x14ac:dyDescent="0.2">
      <c r="A3115" s="42">
        <v>3480</v>
      </c>
      <c r="B3115" s="42">
        <v>17353</v>
      </c>
      <c r="C3115" s="34" t="s">
        <v>3942</v>
      </c>
    </row>
    <row r="3116" spans="1:3" ht="15.75" customHeight="1" x14ac:dyDescent="0.2">
      <c r="A3116" s="42">
        <v>3481</v>
      </c>
      <c r="B3116" s="42">
        <v>17353</v>
      </c>
      <c r="C3116" s="34" t="s">
        <v>3943</v>
      </c>
    </row>
    <row r="3117" spans="1:3" ht="15.75" customHeight="1" x14ac:dyDescent="0.2">
      <c r="A3117" s="42">
        <v>3482</v>
      </c>
      <c r="B3117" s="42">
        <v>17353</v>
      </c>
      <c r="C3117" s="34" t="s">
        <v>3927</v>
      </c>
    </row>
    <row r="3118" spans="1:3" ht="15.75" customHeight="1" x14ac:dyDescent="0.2">
      <c r="A3118" s="42">
        <v>3483</v>
      </c>
      <c r="B3118" s="42">
        <v>17353</v>
      </c>
      <c r="C3118" s="34" t="s">
        <v>3915</v>
      </c>
    </row>
    <row r="3119" spans="1:3" ht="15.75" customHeight="1" x14ac:dyDescent="0.2">
      <c r="A3119" s="42">
        <v>3484</v>
      </c>
      <c r="B3119" s="42">
        <v>17353</v>
      </c>
      <c r="C3119" s="34" t="s">
        <v>3944</v>
      </c>
    </row>
    <row r="3120" spans="1:3" ht="15.75" customHeight="1" x14ac:dyDescent="0.2">
      <c r="A3120" s="42">
        <v>3485</v>
      </c>
      <c r="B3120" s="42">
        <v>17353</v>
      </c>
      <c r="C3120" s="34" t="s">
        <v>3915</v>
      </c>
    </row>
    <row r="3121" spans="1:3" ht="15.75" customHeight="1" x14ac:dyDescent="0.2">
      <c r="A3121" s="42">
        <v>3486</v>
      </c>
      <c r="B3121" s="42">
        <v>17353</v>
      </c>
      <c r="C3121" s="34" t="s">
        <v>3945</v>
      </c>
    </row>
    <row r="3122" spans="1:3" ht="15.75" customHeight="1" x14ac:dyDescent="0.2">
      <c r="A3122" s="42">
        <v>3487</v>
      </c>
      <c r="B3122" s="42">
        <v>17353</v>
      </c>
      <c r="C3122" s="34" t="s">
        <v>3946</v>
      </c>
    </row>
    <row r="3123" spans="1:3" ht="15.75" customHeight="1" x14ac:dyDescent="0.2">
      <c r="A3123" s="42">
        <v>3488</v>
      </c>
      <c r="B3123" s="42">
        <v>17353</v>
      </c>
      <c r="C3123" s="34" t="s">
        <v>3947</v>
      </c>
    </row>
    <row r="3124" spans="1:3" ht="15.75" customHeight="1" x14ac:dyDescent="0.2">
      <c r="A3124" s="42">
        <v>3489</v>
      </c>
      <c r="B3124" s="42">
        <v>17353</v>
      </c>
      <c r="C3124" s="34" t="s">
        <v>3948</v>
      </c>
    </row>
    <row r="3125" spans="1:3" ht="15.75" customHeight="1" x14ac:dyDescent="0.2">
      <c r="A3125" s="42">
        <v>3490</v>
      </c>
      <c r="B3125" s="42">
        <v>17353</v>
      </c>
      <c r="C3125" s="34" t="s">
        <v>3949</v>
      </c>
    </row>
    <row r="3126" spans="1:3" ht="15.75" customHeight="1" x14ac:dyDescent="0.2">
      <c r="A3126" s="42">
        <v>3491</v>
      </c>
      <c r="B3126" s="42">
        <v>17353</v>
      </c>
      <c r="C3126" s="34" t="s">
        <v>3950</v>
      </c>
    </row>
    <row r="3127" spans="1:3" ht="15.75" customHeight="1" x14ac:dyDescent="0.2">
      <c r="A3127" s="42">
        <v>3492</v>
      </c>
      <c r="B3127" s="42">
        <v>17353</v>
      </c>
      <c r="C3127" s="34" t="s">
        <v>3951</v>
      </c>
    </row>
    <row r="3128" spans="1:3" ht="15.75" customHeight="1" x14ac:dyDescent="0.2">
      <c r="A3128" s="42">
        <v>3493</v>
      </c>
      <c r="B3128" s="42">
        <v>17353</v>
      </c>
      <c r="C3128" s="34" t="s">
        <v>3910</v>
      </c>
    </row>
    <row r="3129" spans="1:3" ht="15.75" customHeight="1" x14ac:dyDescent="0.2">
      <c r="A3129" s="42">
        <v>3494</v>
      </c>
      <c r="B3129" s="42">
        <v>17353</v>
      </c>
      <c r="C3129" s="34" t="s">
        <v>3915</v>
      </c>
    </row>
    <row r="3130" spans="1:3" ht="15.75" customHeight="1" x14ac:dyDescent="0.2">
      <c r="A3130" s="42">
        <v>3495</v>
      </c>
      <c r="B3130" s="42">
        <v>17353</v>
      </c>
      <c r="C3130" s="34" t="s">
        <v>3952</v>
      </c>
    </row>
    <row r="3131" spans="1:3" ht="15.75" customHeight="1" x14ac:dyDescent="0.2">
      <c r="A3131" s="42">
        <v>3496</v>
      </c>
      <c r="B3131" s="42">
        <v>17353</v>
      </c>
      <c r="C3131" s="34" t="s">
        <v>3914</v>
      </c>
    </row>
    <row r="3132" spans="1:3" ht="15.75" customHeight="1" x14ac:dyDescent="0.2">
      <c r="A3132" s="42">
        <v>3497</v>
      </c>
      <c r="B3132" s="42">
        <v>17353</v>
      </c>
      <c r="C3132" s="34" t="s">
        <v>3953</v>
      </c>
    </row>
    <row r="3133" spans="1:3" ht="15.75" customHeight="1" x14ac:dyDescent="0.2">
      <c r="A3133" s="42">
        <v>3498</v>
      </c>
      <c r="B3133" s="42">
        <v>17353</v>
      </c>
      <c r="C3133" s="34" t="s">
        <v>3911</v>
      </c>
    </row>
    <row r="3134" spans="1:3" ht="15.75" customHeight="1" x14ac:dyDescent="0.2">
      <c r="A3134" s="42">
        <v>3499</v>
      </c>
      <c r="B3134" s="42">
        <v>17353</v>
      </c>
      <c r="C3134" s="34" t="s">
        <v>3954</v>
      </c>
    </row>
    <row r="3135" spans="1:3" ht="15.75" customHeight="1" x14ac:dyDescent="0.2">
      <c r="A3135" s="42">
        <v>3500</v>
      </c>
      <c r="B3135" s="42">
        <v>17354</v>
      </c>
      <c r="C3135" s="34" t="s">
        <v>3955</v>
      </c>
    </row>
    <row r="3136" spans="1:3" ht="15.75" customHeight="1" x14ac:dyDescent="0.2">
      <c r="A3136" s="42">
        <v>3501</v>
      </c>
      <c r="B3136" s="42">
        <v>17354</v>
      </c>
      <c r="C3136" s="34" t="s">
        <v>3956</v>
      </c>
    </row>
    <row r="3137" spans="1:3" ht="15.75" customHeight="1" x14ac:dyDescent="0.2">
      <c r="A3137" s="42">
        <v>3502</v>
      </c>
      <c r="B3137" s="42">
        <v>17354</v>
      </c>
      <c r="C3137" s="34" t="s">
        <v>3957</v>
      </c>
    </row>
    <row r="3138" spans="1:3" ht="15.75" customHeight="1" x14ac:dyDescent="0.2">
      <c r="A3138" s="42">
        <v>3503</v>
      </c>
      <c r="B3138" s="42">
        <v>17354</v>
      </c>
      <c r="C3138" s="34" t="s">
        <v>3958</v>
      </c>
    </row>
    <row r="3139" spans="1:3" ht="15.75" customHeight="1" x14ac:dyDescent="0.2">
      <c r="A3139" s="42">
        <v>3504</v>
      </c>
      <c r="B3139" s="42">
        <v>17354</v>
      </c>
      <c r="C3139" s="34" t="s">
        <v>3959</v>
      </c>
    </row>
    <row r="3140" spans="1:3" ht="15.75" customHeight="1" x14ac:dyDescent="0.2">
      <c r="A3140" s="42">
        <v>3505</v>
      </c>
      <c r="B3140" s="42">
        <v>17354</v>
      </c>
      <c r="C3140" s="34" t="s">
        <v>3960</v>
      </c>
    </row>
    <row r="3141" spans="1:3" ht="15.75" customHeight="1" x14ac:dyDescent="0.2">
      <c r="A3141" s="42">
        <v>3506</v>
      </c>
      <c r="B3141" s="42">
        <v>17354</v>
      </c>
      <c r="C3141" s="34" t="s">
        <v>3961</v>
      </c>
    </row>
    <row r="3142" spans="1:3" ht="15.75" customHeight="1" x14ac:dyDescent="0.2">
      <c r="A3142" s="42">
        <v>3507</v>
      </c>
      <c r="B3142" s="42">
        <v>17354</v>
      </c>
      <c r="C3142" s="34" t="s">
        <v>3962</v>
      </c>
    </row>
    <row r="3143" spans="1:3" ht="15.75" customHeight="1" x14ac:dyDescent="0.2">
      <c r="A3143" s="42">
        <v>3508</v>
      </c>
      <c r="B3143" s="42">
        <v>17354</v>
      </c>
      <c r="C3143" s="34" t="s">
        <v>3963</v>
      </c>
    </row>
    <row r="3144" spans="1:3" ht="15.75" customHeight="1" x14ac:dyDescent="0.2">
      <c r="A3144" s="42">
        <v>3509</v>
      </c>
      <c r="B3144" s="42">
        <v>17354</v>
      </c>
      <c r="C3144" s="34" t="s">
        <v>3964</v>
      </c>
    </row>
    <row r="3145" spans="1:3" ht="15.75" customHeight="1" x14ac:dyDescent="0.2">
      <c r="A3145" s="42">
        <v>3510</v>
      </c>
      <c r="B3145" s="42">
        <v>17354</v>
      </c>
      <c r="C3145" s="34" t="s">
        <v>3965</v>
      </c>
    </row>
    <row r="3146" spans="1:3" ht="15.75" customHeight="1" x14ac:dyDescent="0.2">
      <c r="A3146" s="42">
        <v>3511</v>
      </c>
      <c r="B3146" s="42">
        <v>17354</v>
      </c>
      <c r="C3146" s="34" t="s">
        <v>3966</v>
      </c>
    </row>
    <row r="3147" spans="1:3" ht="15.75" customHeight="1" x14ac:dyDescent="0.2">
      <c r="A3147" s="42">
        <v>3512</v>
      </c>
      <c r="B3147" s="42">
        <v>17354</v>
      </c>
      <c r="C3147" s="34" t="s">
        <v>3967</v>
      </c>
    </row>
    <row r="3148" spans="1:3" ht="15.75" customHeight="1" x14ac:dyDescent="0.2">
      <c r="A3148" s="42">
        <v>3513</v>
      </c>
      <c r="B3148" s="42">
        <v>17354</v>
      </c>
      <c r="C3148" s="34" t="s">
        <v>3968</v>
      </c>
    </row>
    <row r="3149" spans="1:3" ht="15.75" customHeight="1" x14ac:dyDescent="0.2">
      <c r="A3149" s="42">
        <v>3514</v>
      </c>
      <c r="B3149" s="42">
        <v>17354</v>
      </c>
      <c r="C3149" s="34" t="s">
        <v>3969</v>
      </c>
    </row>
    <row r="3150" spans="1:3" ht="15.75" customHeight="1" x14ac:dyDescent="0.2">
      <c r="A3150" s="42">
        <v>3515</v>
      </c>
      <c r="B3150" s="42">
        <v>17354</v>
      </c>
      <c r="C3150" s="34" t="s">
        <v>3970</v>
      </c>
    </row>
    <row r="3151" spans="1:3" ht="15.75" customHeight="1" x14ac:dyDescent="0.2">
      <c r="A3151" s="42">
        <v>3516</v>
      </c>
      <c r="B3151" s="42">
        <v>17354</v>
      </c>
      <c r="C3151" s="34" t="s">
        <v>3971</v>
      </c>
    </row>
    <row r="3152" spans="1:3" ht="15.75" customHeight="1" x14ac:dyDescent="0.2">
      <c r="A3152" s="42">
        <v>3517</v>
      </c>
      <c r="B3152" s="42">
        <v>17354</v>
      </c>
      <c r="C3152" s="34" t="s">
        <v>3972</v>
      </c>
    </row>
    <row r="3153" spans="1:3" ht="15.75" customHeight="1" x14ac:dyDescent="0.2">
      <c r="A3153" s="42">
        <v>3518</v>
      </c>
      <c r="B3153" s="42">
        <v>17354</v>
      </c>
      <c r="C3153" s="34" t="s">
        <v>3973</v>
      </c>
    </row>
    <row r="3154" spans="1:3" ht="15.75" customHeight="1" x14ac:dyDescent="0.2">
      <c r="A3154" s="42">
        <v>3519</v>
      </c>
      <c r="B3154" s="42">
        <v>17354</v>
      </c>
      <c r="C3154" s="34" t="s">
        <v>3974</v>
      </c>
    </row>
    <row r="3155" spans="1:3" ht="15.75" customHeight="1" x14ac:dyDescent="0.2">
      <c r="A3155" s="42">
        <v>3520</v>
      </c>
      <c r="B3155" s="42">
        <v>17354</v>
      </c>
      <c r="C3155" s="34" t="s">
        <v>3975</v>
      </c>
    </row>
    <row r="3156" spans="1:3" ht="15.75" customHeight="1" x14ac:dyDescent="0.2">
      <c r="A3156" s="42">
        <v>3521</v>
      </c>
      <c r="B3156" s="42">
        <v>17354</v>
      </c>
      <c r="C3156" s="34" t="s">
        <v>3976</v>
      </c>
    </row>
    <row r="3157" spans="1:3" ht="15.75" customHeight="1" x14ac:dyDescent="0.2">
      <c r="A3157" s="42">
        <v>3522</v>
      </c>
      <c r="B3157" s="42">
        <v>17354</v>
      </c>
      <c r="C3157" s="34" t="s">
        <v>3977</v>
      </c>
    </row>
    <row r="3158" spans="1:3" ht="15.75" customHeight="1" x14ac:dyDescent="0.2">
      <c r="A3158" s="42">
        <v>3523</v>
      </c>
      <c r="B3158" s="42">
        <v>17354</v>
      </c>
      <c r="C3158" s="34" t="s">
        <v>3978</v>
      </c>
    </row>
    <row r="3159" spans="1:3" ht="15.75" customHeight="1" x14ac:dyDescent="0.2">
      <c r="A3159" s="42">
        <v>3524</v>
      </c>
      <c r="B3159" s="42">
        <v>17354</v>
      </c>
      <c r="C3159" s="34" t="s">
        <v>3979</v>
      </c>
    </row>
    <row r="3160" spans="1:3" ht="15.75" customHeight="1" x14ac:dyDescent="0.2">
      <c r="A3160" s="42">
        <v>3525</v>
      </c>
      <c r="B3160" s="42">
        <v>17354</v>
      </c>
      <c r="C3160" s="34" t="s">
        <v>3980</v>
      </c>
    </row>
    <row r="3161" spans="1:3" ht="15.75" customHeight="1" x14ac:dyDescent="0.2">
      <c r="A3161" s="42">
        <v>3526</v>
      </c>
      <c r="B3161" s="42">
        <v>17354</v>
      </c>
      <c r="C3161" s="34" t="s">
        <v>3981</v>
      </c>
    </row>
    <row r="3162" spans="1:3" ht="15.75" customHeight="1" x14ac:dyDescent="0.2">
      <c r="A3162" s="42">
        <v>3527</v>
      </c>
      <c r="B3162" s="42">
        <v>17354</v>
      </c>
      <c r="C3162" s="34" t="s">
        <v>3982</v>
      </c>
    </row>
    <row r="3163" spans="1:3" ht="15.75" customHeight="1" x14ac:dyDescent="0.2">
      <c r="A3163" s="42">
        <v>3528</v>
      </c>
      <c r="B3163" s="42">
        <v>17354</v>
      </c>
      <c r="C3163" s="34" t="s">
        <v>3983</v>
      </c>
    </row>
    <row r="3164" spans="1:3" ht="15.75" customHeight="1" x14ac:dyDescent="0.2">
      <c r="A3164" s="42">
        <v>3529</v>
      </c>
      <c r="B3164" s="42">
        <v>17354</v>
      </c>
      <c r="C3164" s="34" t="s">
        <v>3957</v>
      </c>
    </row>
    <row r="3165" spans="1:3" ht="15.75" customHeight="1" x14ac:dyDescent="0.2">
      <c r="A3165" s="42">
        <v>3530</v>
      </c>
      <c r="B3165" s="42">
        <v>17354</v>
      </c>
      <c r="C3165" s="34" t="s">
        <v>3965</v>
      </c>
    </row>
    <row r="3166" spans="1:3" ht="15.75" customHeight="1" x14ac:dyDescent="0.2">
      <c r="A3166" s="42">
        <v>3531</v>
      </c>
      <c r="B3166" s="42">
        <v>17354</v>
      </c>
      <c r="C3166" s="34" t="s">
        <v>3984</v>
      </c>
    </row>
    <row r="3167" spans="1:3" ht="15.75" customHeight="1" x14ac:dyDescent="0.2">
      <c r="A3167" s="42">
        <v>3532</v>
      </c>
      <c r="B3167" s="42">
        <v>17354</v>
      </c>
      <c r="C3167" s="34" t="s">
        <v>3985</v>
      </c>
    </row>
    <row r="3168" spans="1:3" ht="15.75" customHeight="1" x14ac:dyDescent="0.2">
      <c r="A3168" s="42">
        <v>3533</v>
      </c>
      <c r="B3168" s="42">
        <v>17354</v>
      </c>
      <c r="C3168" s="34" t="s">
        <v>3986</v>
      </c>
    </row>
    <row r="3169" spans="1:3" ht="15.75" customHeight="1" x14ac:dyDescent="0.2">
      <c r="A3169" s="42">
        <v>3534</v>
      </c>
      <c r="B3169" s="42">
        <v>17354</v>
      </c>
      <c r="C3169" s="34" t="s">
        <v>3987</v>
      </c>
    </row>
    <row r="3170" spans="1:3" ht="15.75" customHeight="1" x14ac:dyDescent="0.2">
      <c r="A3170" s="42">
        <v>3535</v>
      </c>
      <c r="B3170" s="42">
        <v>17354</v>
      </c>
      <c r="C3170" s="34" t="s">
        <v>3988</v>
      </c>
    </row>
    <row r="3171" spans="1:3" ht="15.75" customHeight="1" x14ac:dyDescent="0.2">
      <c r="A3171" s="42">
        <v>3536</v>
      </c>
      <c r="B3171" s="42">
        <v>17354</v>
      </c>
      <c r="C3171" s="34" t="s">
        <v>3989</v>
      </c>
    </row>
    <row r="3172" spans="1:3" ht="15.75" customHeight="1" x14ac:dyDescent="0.2">
      <c r="A3172" s="42">
        <v>3537</v>
      </c>
      <c r="B3172" s="42">
        <v>17354</v>
      </c>
      <c r="C3172" s="34" t="s">
        <v>3990</v>
      </c>
    </row>
    <row r="3173" spans="1:3" ht="15.75" customHeight="1" x14ac:dyDescent="0.2">
      <c r="A3173" s="42">
        <v>3538</v>
      </c>
      <c r="B3173" s="42">
        <v>17354</v>
      </c>
      <c r="C3173" s="34" t="s">
        <v>3991</v>
      </c>
    </row>
    <row r="3174" spans="1:3" ht="15.75" customHeight="1" x14ac:dyDescent="0.2">
      <c r="A3174" s="42">
        <v>3539</v>
      </c>
      <c r="B3174" s="42">
        <v>17355</v>
      </c>
      <c r="C3174" s="34" t="s">
        <v>3992</v>
      </c>
    </row>
    <row r="3175" spans="1:3" ht="15.75" customHeight="1" x14ac:dyDescent="0.2">
      <c r="A3175" s="42">
        <v>3540</v>
      </c>
      <c r="B3175" s="42">
        <v>17355</v>
      </c>
      <c r="C3175" s="34" t="s">
        <v>3993</v>
      </c>
    </row>
    <row r="3176" spans="1:3" ht="15.75" customHeight="1" x14ac:dyDescent="0.2">
      <c r="A3176" s="42">
        <v>3541</v>
      </c>
      <c r="B3176" s="42">
        <v>17355</v>
      </c>
      <c r="C3176" s="34" t="s">
        <v>3994</v>
      </c>
    </row>
    <row r="3177" spans="1:3" ht="15.75" customHeight="1" x14ac:dyDescent="0.2">
      <c r="A3177" s="42">
        <v>3542</v>
      </c>
      <c r="B3177" s="42">
        <v>17355</v>
      </c>
      <c r="C3177" s="34" t="s">
        <v>3995</v>
      </c>
    </row>
    <row r="3178" spans="1:3" ht="15.75" customHeight="1" x14ac:dyDescent="0.2">
      <c r="A3178" s="42">
        <v>3543</v>
      </c>
      <c r="B3178" s="42">
        <v>17355</v>
      </c>
      <c r="C3178" s="34" t="s">
        <v>3996</v>
      </c>
    </row>
    <row r="3179" spans="1:3" ht="15.75" customHeight="1" x14ac:dyDescent="0.2">
      <c r="A3179" s="42">
        <v>3544</v>
      </c>
      <c r="B3179" s="42">
        <v>17355</v>
      </c>
      <c r="C3179" s="34" t="s">
        <v>3997</v>
      </c>
    </row>
    <row r="3180" spans="1:3" ht="15.75" customHeight="1" x14ac:dyDescent="0.2">
      <c r="A3180" s="42">
        <v>3545</v>
      </c>
      <c r="B3180" s="42">
        <v>17355</v>
      </c>
      <c r="C3180" s="34" t="s">
        <v>3998</v>
      </c>
    </row>
    <row r="3181" spans="1:3" ht="15.75" customHeight="1" x14ac:dyDescent="0.2">
      <c r="A3181" s="42">
        <v>3546</v>
      </c>
      <c r="B3181" s="42">
        <v>17355</v>
      </c>
      <c r="C3181" s="34" t="s">
        <v>3999</v>
      </c>
    </row>
    <row r="3182" spans="1:3" ht="15.75" customHeight="1" x14ac:dyDescent="0.2">
      <c r="A3182" s="42">
        <v>3547</v>
      </c>
      <c r="B3182" s="42">
        <v>17355</v>
      </c>
      <c r="C3182" s="34" t="s">
        <v>4000</v>
      </c>
    </row>
    <row r="3183" spans="1:3" ht="15.75" customHeight="1" x14ac:dyDescent="0.2">
      <c r="A3183" s="42">
        <v>3548</v>
      </c>
      <c r="B3183" s="42">
        <v>17355</v>
      </c>
      <c r="C3183" s="34" t="s">
        <v>4001</v>
      </c>
    </row>
    <row r="3184" spans="1:3" ht="15.75" customHeight="1" x14ac:dyDescent="0.2">
      <c r="A3184" s="42">
        <v>3549</v>
      </c>
      <c r="B3184" s="42">
        <v>17355</v>
      </c>
      <c r="C3184" s="34" t="s">
        <v>4002</v>
      </c>
    </row>
    <row r="3185" spans="1:3" ht="15.75" customHeight="1" x14ac:dyDescent="0.2">
      <c r="A3185" s="42">
        <v>3550</v>
      </c>
      <c r="B3185" s="42">
        <v>17355</v>
      </c>
      <c r="C3185" s="34" t="s">
        <v>4003</v>
      </c>
    </row>
    <row r="3186" spans="1:3" ht="15.75" customHeight="1" x14ac:dyDescent="0.2">
      <c r="A3186" s="42">
        <v>3551</v>
      </c>
      <c r="B3186" s="42">
        <v>17355</v>
      </c>
      <c r="C3186" s="34" t="s">
        <v>4004</v>
      </c>
    </row>
    <row r="3187" spans="1:3" ht="15.75" customHeight="1" x14ac:dyDescent="0.2">
      <c r="A3187" s="42">
        <v>3552</v>
      </c>
      <c r="B3187" s="42">
        <v>17355</v>
      </c>
      <c r="C3187" s="34" t="s">
        <v>4005</v>
      </c>
    </row>
    <row r="3188" spans="1:3" ht="15.75" customHeight="1" x14ac:dyDescent="0.2">
      <c r="A3188" s="42">
        <v>3553</v>
      </c>
      <c r="B3188" s="42">
        <v>17355</v>
      </c>
      <c r="C3188" s="34" t="s">
        <v>4006</v>
      </c>
    </row>
    <row r="3189" spans="1:3" ht="15.75" customHeight="1" x14ac:dyDescent="0.2">
      <c r="A3189" s="42">
        <v>3554</v>
      </c>
      <c r="B3189" s="42">
        <v>17355</v>
      </c>
      <c r="C3189" s="34" t="s">
        <v>4007</v>
      </c>
    </row>
    <row r="3190" spans="1:3" ht="15.75" customHeight="1" x14ac:dyDescent="0.2">
      <c r="A3190" s="42">
        <v>3555</v>
      </c>
      <c r="B3190" s="42">
        <v>17355</v>
      </c>
      <c r="C3190" s="34" t="s">
        <v>4008</v>
      </c>
    </row>
    <row r="3191" spans="1:3" ht="15.75" customHeight="1" x14ac:dyDescent="0.2">
      <c r="A3191" s="42">
        <v>3556</v>
      </c>
      <c r="B3191" s="42">
        <v>17355</v>
      </c>
      <c r="C3191" s="34" t="s">
        <v>4009</v>
      </c>
    </row>
    <row r="3192" spans="1:3" ht="15.75" customHeight="1" x14ac:dyDescent="0.2">
      <c r="A3192" s="42">
        <v>3557</v>
      </c>
      <c r="B3192" s="42">
        <v>17355</v>
      </c>
      <c r="C3192" s="34" t="s">
        <v>4010</v>
      </c>
    </row>
    <row r="3193" spans="1:3" ht="15.75" customHeight="1" x14ac:dyDescent="0.2">
      <c r="A3193" s="42">
        <v>3558</v>
      </c>
      <c r="B3193" s="42">
        <v>17355</v>
      </c>
      <c r="C3193" s="34" t="s">
        <v>4011</v>
      </c>
    </row>
    <row r="3194" spans="1:3" ht="15.75" customHeight="1" x14ac:dyDescent="0.2">
      <c r="A3194" s="42">
        <v>3559</v>
      </c>
      <c r="B3194" s="42">
        <v>17355</v>
      </c>
      <c r="C3194" s="34" t="s">
        <v>4012</v>
      </c>
    </row>
    <row r="3195" spans="1:3" ht="15.75" customHeight="1" x14ac:dyDescent="0.2">
      <c r="A3195" s="42">
        <v>3560</v>
      </c>
      <c r="B3195" s="42">
        <v>17355</v>
      </c>
      <c r="C3195" s="34" t="s">
        <v>4013</v>
      </c>
    </row>
    <row r="3196" spans="1:3" ht="15.75" customHeight="1" x14ac:dyDescent="0.2">
      <c r="A3196" s="42">
        <v>3561</v>
      </c>
      <c r="B3196" s="42">
        <v>17355</v>
      </c>
      <c r="C3196" s="34" t="s">
        <v>4014</v>
      </c>
    </row>
    <row r="3197" spans="1:3" ht="15.75" customHeight="1" x14ac:dyDescent="0.2">
      <c r="A3197" s="42">
        <v>3562</v>
      </c>
      <c r="B3197" s="42">
        <v>17355</v>
      </c>
      <c r="C3197" s="34" t="s">
        <v>4015</v>
      </c>
    </row>
    <row r="3198" spans="1:3" ht="15.75" customHeight="1" x14ac:dyDescent="0.2">
      <c r="A3198" s="42">
        <v>3563</v>
      </c>
      <c r="B3198" s="42">
        <v>17355</v>
      </c>
      <c r="C3198" s="34" t="s">
        <v>4016</v>
      </c>
    </row>
    <row r="3199" spans="1:3" ht="15.75" customHeight="1" x14ac:dyDescent="0.2">
      <c r="A3199" s="42">
        <v>3564</v>
      </c>
      <c r="B3199" s="42">
        <v>17355</v>
      </c>
      <c r="C3199" s="34" t="s">
        <v>4017</v>
      </c>
    </row>
    <row r="3200" spans="1:3" ht="15.75" customHeight="1" x14ac:dyDescent="0.2">
      <c r="A3200" s="42">
        <v>3565</v>
      </c>
      <c r="B3200" s="42">
        <v>17355</v>
      </c>
      <c r="C3200" s="34" t="s">
        <v>4018</v>
      </c>
    </row>
    <row r="3201" spans="1:3" ht="15.75" customHeight="1" x14ac:dyDescent="0.2">
      <c r="A3201" s="42">
        <v>3566</v>
      </c>
      <c r="B3201" s="42">
        <v>17355</v>
      </c>
      <c r="C3201" s="34" t="s">
        <v>4019</v>
      </c>
    </row>
    <row r="3202" spans="1:3" ht="15.75" customHeight="1" x14ac:dyDescent="0.2">
      <c r="A3202" s="42">
        <v>3567</v>
      </c>
      <c r="B3202" s="42">
        <v>17355</v>
      </c>
      <c r="C3202" s="34" t="s">
        <v>4020</v>
      </c>
    </row>
    <row r="3203" spans="1:3" ht="15.75" customHeight="1" x14ac:dyDescent="0.2">
      <c r="A3203" s="42">
        <v>3568</v>
      </c>
      <c r="B3203" s="42">
        <v>17355</v>
      </c>
      <c r="C3203" s="34" t="s">
        <v>4021</v>
      </c>
    </row>
    <row r="3204" spans="1:3" ht="15.75" customHeight="1" x14ac:dyDescent="0.2">
      <c r="A3204" s="42">
        <v>3569</v>
      </c>
      <c r="B3204" s="42">
        <v>17355</v>
      </c>
      <c r="C3204" s="34" t="s">
        <v>4022</v>
      </c>
    </row>
    <row r="3205" spans="1:3" ht="15.75" customHeight="1" x14ac:dyDescent="0.2">
      <c r="A3205" s="42">
        <v>3570</v>
      </c>
      <c r="B3205" s="42">
        <v>17355</v>
      </c>
      <c r="C3205" s="34" t="s">
        <v>4023</v>
      </c>
    </row>
    <row r="3206" spans="1:3" ht="15.75" customHeight="1" x14ac:dyDescent="0.2">
      <c r="A3206" s="42">
        <v>3571</v>
      </c>
      <c r="B3206" s="42">
        <v>17355</v>
      </c>
      <c r="C3206" s="34" t="s">
        <v>4024</v>
      </c>
    </row>
    <row r="3207" spans="1:3" ht="15.75" customHeight="1" x14ac:dyDescent="0.2">
      <c r="A3207" s="42">
        <v>3572</v>
      </c>
      <c r="B3207" s="42">
        <v>17355</v>
      </c>
      <c r="C3207" s="34" t="s">
        <v>4025</v>
      </c>
    </row>
    <row r="3208" spans="1:3" ht="15.75" customHeight="1" x14ac:dyDescent="0.2">
      <c r="A3208" s="42">
        <v>3573</v>
      </c>
      <c r="B3208" s="42">
        <v>17355</v>
      </c>
      <c r="C3208" s="34" t="s">
        <v>4026</v>
      </c>
    </row>
    <row r="3209" spans="1:3" ht="15.75" customHeight="1" x14ac:dyDescent="0.2">
      <c r="A3209" s="42">
        <v>3574</v>
      </c>
      <c r="B3209" s="42">
        <v>17355</v>
      </c>
      <c r="C3209" s="34" t="s">
        <v>4027</v>
      </c>
    </row>
    <row r="3210" spans="1:3" ht="15.75" customHeight="1" x14ac:dyDescent="0.2">
      <c r="A3210" s="42">
        <v>3575</v>
      </c>
      <c r="B3210" s="42">
        <v>17355</v>
      </c>
      <c r="C3210" s="34" t="s">
        <v>4015</v>
      </c>
    </row>
    <row r="3211" spans="1:3" ht="15.75" customHeight="1" x14ac:dyDescent="0.2">
      <c r="A3211" s="42">
        <v>3576</v>
      </c>
      <c r="B3211" s="42">
        <v>17355</v>
      </c>
      <c r="C3211" s="34" t="s">
        <v>3992</v>
      </c>
    </row>
    <row r="3212" spans="1:3" ht="15.75" customHeight="1" x14ac:dyDescent="0.2">
      <c r="A3212" s="42">
        <v>3577</v>
      </c>
      <c r="B3212" s="42">
        <v>17355</v>
      </c>
      <c r="C3212" s="34" t="s">
        <v>4028</v>
      </c>
    </row>
    <row r="3213" spans="1:3" ht="15.75" customHeight="1" x14ac:dyDescent="0.2">
      <c r="A3213" s="42">
        <v>3578</v>
      </c>
      <c r="B3213" s="42">
        <v>17355</v>
      </c>
      <c r="C3213" s="34" t="s">
        <v>4029</v>
      </c>
    </row>
    <row r="3214" spans="1:3" ht="15.75" customHeight="1" x14ac:dyDescent="0.2">
      <c r="A3214" s="42">
        <v>3579</v>
      </c>
      <c r="B3214" s="42">
        <v>17355</v>
      </c>
      <c r="C3214" s="34" t="s">
        <v>4030</v>
      </c>
    </row>
    <row r="3215" spans="1:3" ht="15.75" customHeight="1" x14ac:dyDescent="0.2">
      <c r="A3215" s="42">
        <v>3580</v>
      </c>
      <c r="B3215" s="42">
        <v>17355</v>
      </c>
      <c r="C3215" s="34" t="s">
        <v>4031</v>
      </c>
    </row>
    <row r="3216" spans="1:3" ht="15.75" customHeight="1" x14ac:dyDescent="0.2">
      <c r="A3216" s="42">
        <v>3581</v>
      </c>
      <c r="B3216" s="42">
        <v>17355</v>
      </c>
      <c r="C3216" s="34" t="s">
        <v>4032</v>
      </c>
    </row>
    <row r="3217" spans="1:3" ht="15.75" customHeight="1" x14ac:dyDescent="0.2">
      <c r="A3217" s="42">
        <v>3582</v>
      </c>
      <c r="B3217" s="42">
        <v>17355</v>
      </c>
      <c r="C3217" s="34" t="s">
        <v>4016</v>
      </c>
    </row>
    <row r="3218" spans="1:3" ht="15.75" customHeight="1" x14ac:dyDescent="0.2">
      <c r="A3218" s="42">
        <v>3583</v>
      </c>
      <c r="B3218" s="42">
        <v>17355</v>
      </c>
      <c r="C3218" s="34" t="s">
        <v>4033</v>
      </c>
    </row>
    <row r="3219" spans="1:3" ht="15.75" customHeight="1" x14ac:dyDescent="0.2">
      <c r="A3219" s="42">
        <v>3584</v>
      </c>
      <c r="B3219" s="42">
        <v>17355</v>
      </c>
      <c r="C3219" s="34" t="s">
        <v>4034</v>
      </c>
    </row>
    <row r="3220" spans="1:3" ht="15.75" customHeight="1" x14ac:dyDescent="0.2">
      <c r="A3220" s="42">
        <v>3585</v>
      </c>
      <c r="B3220" s="42">
        <v>17355</v>
      </c>
      <c r="C3220" s="34" t="s">
        <v>4035</v>
      </c>
    </row>
    <row r="3221" spans="1:3" ht="15.75" customHeight="1" x14ac:dyDescent="0.2">
      <c r="A3221" s="42">
        <v>3586</v>
      </c>
      <c r="B3221" s="42">
        <v>17355</v>
      </c>
      <c r="C3221" s="34" t="s">
        <v>4036</v>
      </c>
    </row>
    <row r="3222" spans="1:3" ht="15.75" customHeight="1" x14ac:dyDescent="0.2">
      <c r="A3222" s="42">
        <v>3587</v>
      </c>
      <c r="B3222" s="42">
        <v>17355</v>
      </c>
      <c r="C3222" s="34" t="s">
        <v>4037</v>
      </c>
    </row>
    <row r="3223" spans="1:3" ht="15.75" customHeight="1" x14ac:dyDescent="0.2">
      <c r="A3223" s="42">
        <v>3588</v>
      </c>
      <c r="B3223" s="42">
        <v>17355</v>
      </c>
      <c r="C3223" s="34" t="s">
        <v>4038</v>
      </c>
    </row>
    <row r="3224" spans="1:3" ht="15.75" customHeight="1" x14ac:dyDescent="0.2">
      <c r="A3224" s="42">
        <v>3589</v>
      </c>
      <c r="B3224" s="42">
        <v>17355</v>
      </c>
      <c r="C3224" s="34" t="s">
        <v>4039</v>
      </c>
    </row>
    <row r="3225" spans="1:3" ht="15.75" customHeight="1" x14ac:dyDescent="0.2">
      <c r="A3225" s="42">
        <v>3590</v>
      </c>
      <c r="B3225" s="42">
        <v>17355</v>
      </c>
      <c r="C3225" s="34" t="s">
        <v>4040</v>
      </c>
    </row>
    <row r="3226" spans="1:3" ht="15.75" customHeight="1" x14ac:dyDescent="0.2">
      <c r="A3226" s="42">
        <v>3591</v>
      </c>
      <c r="B3226" s="42">
        <v>17355</v>
      </c>
      <c r="C3226" s="34" t="s">
        <v>4041</v>
      </c>
    </row>
    <row r="3227" spans="1:3" ht="15.75" customHeight="1" x14ac:dyDescent="0.2">
      <c r="A3227" s="42">
        <v>3592</v>
      </c>
      <c r="B3227" s="42">
        <v>17355</v>
      </c>
      <c r="C3227" s="34" t="s">
        <v>4042</v>
      </c>
    </row>
    <row r="3228" spans="1:3" ht="15.75" customHeight="1" x14ac:dyDescent="0.2">
      <c r="A3228" s="42">
        <v>3593</v>
      </c>
      <c r="B3228" s="42">
        <v>17355</v>
      </c>
      <c r="C3228" s="34" t="s">
        <v>4043</v>
      </c>
    </row>
    <row r="3229" spans="1:3" ht="15.75" customHeight="1" x14ac:dyDescent="0.2">
      <c r="A3229" s="42">
        <v>3594</v>
      </c>
      <c r="B3229" s="42">
        <v>17355</v>
      </c>
      <c r="C3229" s="34" t="s">
        <v>4044</v>
      </c>
    </row>
    <row r="3230" spans="1:3" ht="15.75" customHeight="1" x14ac:dyDescent="0.2">
      <c r="A3230" s="42">
        <v>3595</v>
      </c>
      <c r="B3230" s="42">
        <v>17355</v>
      </c>
      <c r="C3230" s="34" t="s">
        <v>4045</v>
      </c>
    </row>
    <row r="3231" spans="1:3" ht="15.75" customHeight="1" x14ac:dyDescent="0.2">
      <c r="A3231" s="42">
        <v>3596</v>
      </c>
      <c r="B3231" s="42">
        <v>17355</v>
      </c>
      <c r="C3231" s="34" t="s">
        <v>4046</v>
      </c>
    </row>
    <row r="3232" spans="1:3" ht="15.75" customHeight="1" x14ac:dyDescent="0.2">
      <c r="A3232" s="42">
        <v>3597</v>
      </c>
      <c r="B3232" s="42">
        <v>17355</v>
      </c>
      <c r="C3232" s="34" t="s">
        <v>4047</v>
      </c>
    </row>
    <row r="3233" spans="1:3" ht="15.75" customHeight="1" x14ac:dyDescent="0.2">
      <c r="A3233" s="42">
        <v>3598</v>
      </c>
      <c r="B3233" s="42">
        <v>17355</v>
      </c>
      <c r="C3233" s="34" t="s">
        <v>4048</v>
      </c>
    </row>
    <row r="3234" spans="1:3" ht="15.75" customHeight="1" x14ac:dyDescent="0.2">
      <c r="A3234" s="42">
        <v>3599</v>
      </c>
      <c r="B3234" s="42">
        <v>17355</v>
      </c>
      <c r="C3234" s="34" t="s">
        <v>4049</v>
      </c>
    </row>
    <row r="3235" spans="1:3" ht="15.75" customHeight="1" x14ac:dyDescent="0.2">
      <c r="A3235" s="42">
        <v>3600</v>
      </c>
      <c r="B3235" s="42">
        <v>17355</v>
      </c>
      <c r="C3235" s="34" t="s">
        <v>4050</v>
      </c>
    </row>
    <row r="3236" spans="1:3" ht="15.75" customHeight="1" x14ac:dyDescent="0.2">
      <c r="A3236" s="42">
        <v>3601</v>
      </c>
      <c r="B3236" s="42">
        <v>17355</v>
      </c>
      <c r="C3236" s="34" t="s">
        <v>4051</v>
      </c>
    </row>
    <row r="3237" spans="1:3" ht="15.75" customHeight="1" x14ac:dyDescent="0.2">
      <c r="A3237" s="42">
        <v>3602</v>
      </c>
      <c r="B3237" s="42">
        <v>17355</v>
      </c>
      <c r="C3237" s="34" t="s">
        <v>4052</v>
      </c>
    </row>
    <row r="3238" spans="1:3" ht="15.75" customHeight="1" x14ac:dyDescent="0.2">
      <c r="A3238" s="42">
        <v>3603</v>
      </c>
      <c r="B3238" s="42">
        <v>17355</v>
      </c>
      <c r="C3238" s="34" t="s">
        <v>3997</v>
      </c>
    </row>
    <row r="3239" spans="1:3" ht="15.75" customHeight="1" x14ac:dyDescent="0.2">
      <c r="A3239" s="42">
        <v>3604</v>
      </c>
      <c r="B3239" s="42">
        <v>17355</v>
      </c>
      <c r="C3239" s="34" t="s">
        <v>4053</v>
      </c>
    </row>
    <row r="3240" spans="1:3" ht="15.75" customHeight="1" x14ac:dyDescent="0.2">
      <c r="A3240" s="42">
        <v>3605</v>
      </c>
      <c r="B3240" s="42">
        <v>17355</v>
      </c>
      <c r="C3240" s="34" t="s">
        <v>4054</v>
      </c>
    </row>
    <row r="3241" spans="1:3" ht="15.75" customHeight="1" x14ac:dyDescent="0.2">
      <c r="A3241" s="42">
        <v>3606</v>
      </c>
      <c r="B3241" s="42">
        <v>17355</v>
      </c>
      <c r="C3241" s="34" t="s">
        <v>4055</v>
      </c>
    </row>
    <row r="3242" spans="1:3" ht="15.75" customHeight="1" x14ac:dyDescent="0.2">
      <c r="A3242" s="42">
        <v>3607</v>
      </c>
      <c r="B3242" s="42">
        <v>17356</v>
      </c>
      <c r="C3242" s="34" t="s">
        <v>4056</v>
      </c>
    </row>
    <row r="3243" spans="1:3" ht="15.75" customHeight="1" x14ac:dyDescent="0.2">
      <c r="A3243" s="42">
        <v>3608</v>
      </c>
      <c r="B3243" s="42">
        <v>17356</v>
      </c>
      <c r="C3243" s="34" t="s">
        <v>4057</v>
      </c>
    </row>
    <row r="3244" spans="1:3" ht="15.75" customHeight="1" x14ac:dyDescent="0.2">
      <c r="A3244" s="42">
        <v>3609</v>
      </c>
      <c r="B3244" s="42">
        <v>17356</v>
      </c>
      <c r="C3244" s="34" t="s">
        <v>4058</v>
      </c>
    </row>
    <row r="3245" spans="1:3" ht="15.75" customHeight="1" x14ac:dyDescent="0.2">
      <c r="A3245" s="42">
        <v>3610</v>
      </c>
      <c r="B3245" s="42">
        <v>17356</v>
      </c>
      <c r="C3245" s="34" t="s">
        <v>4059</v>
      </c>
    </row>
    <row r="3246" spans="1:3" ht="15.75" customHeight="1" x14ac:dyDescent="0.2">
      <c r="A3246" s="42">
        <v>3611</v>
      </c>
      <c r="B3246" s="42">
        <v>17356</v>
      </c>
      <c r="C3246" s="34" t="s">
        <v>4056</v>
      </c>
    </row>
    <row r="3247" spans="1:3" ht="15.75" customHeight="1" x14ac:dyDescent="0.2">
      <c r="A3247" s="42">
        <v>3612</v>
      </c>
      <c r="B3247" s="42">
        <v>17356</v>
      </c>
      <c r="C3247" s="34" t="s">
        <v>4057</v>
      </c>
    </row>
    <row r="3248" spans="1:3" ht="15.75" customHeight="1" x14ac:dyDescent="0.2">
      <c r="A3248" s="42">
        <v>3613</v>
      </c>
      <c r="B3248" s="42">
        <v>17356</v>
      </c>
      <c r="C3248" s="34" t="s">
        <v>4060</v>
      </c>
    </row>
    <row r="3249" spans="1:3" ht="15.75" customHeight="1" x14ac:dyDescent="0.2">
      <c r="A3249" s="42">
        <v>3614</v>
      </c>
      <c r="B3249" s="42">
        <v>17356</v>
      </c>
      <c r="C3249" s="34" t="s">
        <v>4058</v>
      </c>
    </row>
    <row r="3250" spans="1:3" ht="15.75" customHeight="1" x14ac:dyDescent="0.2">
      <c r="A3250" s="42">
        <v>3615</v>
      </c>
      <c r="B3250" s="42">
        <v>17356</v>
      </c>
      <c r="C3250" s="34" t="s">
        <v>4057</v>
      </c>
    </row>
    <row r="3251" spans="1:3" ht="15.75" customHeight="1" x14ac:dyDescent="0.2">
      <c r="A3251" s="42">
        <v>3616</v>
      </c>
      <c r="B3251" s="42">
        <v>17356</v>
      </c>
      <c r="C3251" s="34" t="s">
        <v>4061</v>
      </c>
    </row>
    <row r="3252" spans="1:3" ht="15.75" customHeight="1" x14ac:dyDescent="0.2">
      <c r="A3252" s="42">
        <v>3617</v>
      </c>
      <c r="B3252" s="42">
        <v>17356</v>
      </c>
      <c r="C3252" s="34" t="s">
        <v>4056</v>
      </c>
    </row>
    <row r="3253" spans="1:3" ht="15.75" customHeight="1" x14ac:dyDescent="0.2">
      <c r="A3253" s="42">
        <v>3618</v>
      </c>
      <c r="B3253" s="42">
        <v>17356</v>
      </c>
      <c r="C3253" s="34" t="s">
        <v>4058</v>
      </c>
    </row>
    <row r="3254" spans="1:3" ht="15.75" customHeight="1" x14ac:dyDescent="0.2">
      <c r="A3254" s="42">
        <v>3619</v>
      </c>
      <c r="B3254" s="42">
        <v>17356</v>
      </c>
      <c r="C3254" s="34" t="s">
        <v>4062</v>
      </c>
    </row>
    <row r="3255" spans="1:3" ht="15.75" customHeight="1" x14ac:dyDescent="0.2">
      <c r="A3255" s="42">
        <v>3620</v>
      </c>
      <c r="B3255" s="42">
        <v>17356</v>
      </c>
      <c r="C3255" s="34" t="s">
        <v>4063</v>
      </c>
    </row>
    <row r="3256" spans="1:3" ht="15.75" customHeight="1" x14ac:dyDescent="0.2">
      <c r="A3256" s="42">
        <v>3621</v>
      </c>
      <c r="B3256" s="42">
        <v>17356</v>
      </c>
      <c r="C3256" s="34" t="s">
        <v>4056</v>
      </c>
    </row>
    <row r="3257" spans="1:3" ht="15.75" customHeight="1" x14ac:dyDescent="0.2">
      <c r="A3257" s="42">
        <v>3622</v>
      </c>
      <c r="B3257" s="42">
        <v>17356</v>
      </c>
      <c r="C3257" s="34" t="s">
        <v>4056</v>
      </c>
    </row>
    <row r="3258" spans="1:3" ht="15.75" customHeight="1" x14ac:dyDescent="0.2">
      <c r="A3258" s="42">
        <v>3623</v>
      </c>
      <c r="B3258" s="42">
        <v>17356</v>
      </c>
      <c r="C3258" s="34" t="s">
        <v>4064</v>
      </c>
    </row>
    <row r="3259" spans="1:3" ht="15.75" customHeight="1" x14ac:dyDescent="0.2">
      <c r="A3259" s="42">
        <v>3624</v>
      </c>
      <c r="B3259" s="42">
        <v>17356</v>
      </c>
      <c r="C3259" s="34" t="s">
        <v>4063</v>
      </c>
    </row>
    <row r="3260" spans="1:3" ht="15.75" customHeight="1" x14ac:dyDescent="0.2">
      <c r="A3260" s="42">
        <v>3625</v>
      </c>
      <c r="B3260" s="42">
        <v>17356</v>
      </c>
      <c r="C3260" s="34" t="s">
        <v>4057</v>
      </c>
    </row>
    <row r="3261" spans="1:3" ht="15.75" customHeight="1" x14ac:dyDescent="0.2">
      <c r="A3261" s="42">
        <v>3626</v>
      </c>
      <c r="B3261" s="42">
        <v>17356</v>
      </c>
      <c r="C3261" s="34" t="s">
        <v>4056</v>
      </c>
    </row>
    <row r="3262" spans="1:3" ht="15.75" customHeight="1" x14ac:dyDescent="0.2">
      <c r="A3262" s="42">
        <v>3627</v>
      </c>
      <c r="B3262" s="42">
        <v>17356</v>
      </c>
      <c r="C3262" s="34" t="s">
        <v>4065</v>
      </c>
    </row>
    <row r="3263" spans="1:3" ht="15.75" customHeight="1" x14ac:dyDescent="0.2">
      <c r="A3263" s="42">
        <v>3628</v>
      </c>
      <c r="B3263" s="42">
        <v>17356</v>
      </c>
      <c r="C3263" s="34" t="s">
        <v>4063</v>
      </c>
    </row>
    <row r="3264" spans="1:3" ht="15.75" customHeight="1" x14ac:dyDescent="0.2">
      <c r="A3264" s="42">
        <v>3629</v>
      </c>
      <c r="B3264" s="42">
        <v>17356</v>
      </c>
      <c r="C3264" s="34" t="s">
        <v>4066</v>
      </c>
    </row>
    <row r="3265" spans="1:3" ht="15.75" customHeight="1" x14ac:dyDescent="0.2">
      <c r="A3265" s="42">
        <v>3630</v>
      </c>
      <c r="B3265" s="42">
        <v>17356</v>
      </c>
      <c r="C3265" s="34" t="s">
        <v>4056</v>
      </c>
    </row>
    <row r="3266" spans="1:3" ht="15.75" customHeight="1" x14ac:dyDescent="0.2">
      <c r="A3266" s="42">
        <v>3631</v>
      </c>
      <c r="B3266" s="42">
        <v>17356</v>
      </c>
      <c r="C3266" s="34" t="s">
        <v>4067</v>
      </c>
    </row>
    <row r="3267" spans="1:3" ht="15.75" customHeight="1" x14ac:dyDescent="0.2">
      <c r="A3267" s="42">
        <v>3632</v>
      </c>
      <c r="B3267" s="42">
        <v>17356</v>
      </c>
      <c r="C3267" s="34" t="s">
        <v>4068</v>
      </c>
    </row>
    <row r="3268" spans="1:3" ht="15.75" customHeight="1" x14ac:dyDescent="0.2">
      <c r="A3268" s="42">
        <v>3633</v>
      </c>
      <c r="B3268" s="42">
        <v>17356</v>
      </c>
      <c r="C3268" s="34" t="s">
        <v>4057</v>
      </c>
    </row>
    <row r="3269" spans="1:3" ht="15.75" customHeight="1" x14ac:dyDescent="0.2">
      <c r="A3269" s="42">
        <v>3634</v>
      </c>
      <c r="B3269" s="42">
        <v>17356</v>
      </c>
      <c r="C3269" s="34" t="s">
        <v>4061</v>
      </c>
    </row>
    <row r="3270" spans="1:3" ht="15.75" customHeight="1" x14ac:dyDescent="0.2">
      <c r="A3270" s="42">
        <v>3635</v>
      </c>
      <c r="B3270" s="42">
        <v>17356</v>
      </c>
      <c r="C3270" s="34" t="s">
        <v>4069</v>
      </c>
    </row>
    <row r="3271" spans="1:3" ht="15.75" customHeight="1" x14ac:dyDescent="0.2">
      <c r="A3271" s="42">
        <v>3636</v>
      </c>
      <c r="B3271" s="42">
        <v>17356</v>
      </c>
      <c r="C3271" s="34" t="s">
        <v>4056</v>
      </c>
    </row>
    <row r="3272" spans="1:3" ht="15.75" customHeight="1" x14ac:dyDescent="0.2">
      <c r="A3272" s="42">
        <v>3637</v>
      </c>
      <c r="B3272" s="42">
        <v>17356</v>
      </c>
      <c r="C3272" s="34" t="s">
        <v>4057</v>
      </c>
    </row>
    <row r="3273" spans="1:3" ht="15.75" customHeight="1" x14ac:dyDescent="0.2">
      <c r="A3273" s="42">
        <v>3638</v>
      </c>
      <c r="B3273" s="42">
        <v>17356</v>
      </c>
      <c r="C3273" s="34" t="s">
        <v>4070</v>
      </c>
    </row>
    <row r="3274" spans="1:3" ht="15.75" customHeight="1" x14ac:dyDescent="0.2">
      <c r="A3274" s="42">
        <v>3639</v>
      </c>
      <c r="B3274" s="42">
        <v>17356</v>
      </c>
      <c r="C3274" s="34" t="s">
        <v>4064</v>
      </c>
    </row>
    <row r="3275" spans="1:3" ht="15.75" customHeight="1" x14ac:dyDescent="0.2">
      <c r="A3275" s="42">
        <v>3640</v>
      </c>
      <c r="B3275" s="42">
        <v>17356</v>
      </c>
      <c r="C3275" s="34" t="s">
        <v>4063</v>
      </c>
    </row>
    <row r="3276" spans="1:3" ht="15.75" customHeight="1" x14ac:dyDescent="0.2">
      <c r="A3276" s="42">
        <v>3641</v>
      </c>
      <c r="B3276" s="42">
        <v>17356</v>
      </c>
      <c r="C3276" s="34" t="s">
        <v>4056</v>
      </c>
    </row>
    <row r="3277" spans="1:3" ht="15.75" customHeight="1" x14ac:dyDescent="0.2">
      <c r="A3277" s="42">
        <v>3642</v>
      </c>
      <c r="B3277" s="42">
        <v>17356</v>
      </c>
      <c r="C3277" s="34" t="s">
        <v>4071</v>
      </c>
    </row>
    <row r="3278" spans="1:3" ht="15.75" customHeight="1" x14ac:dyDescent="0.2">
      <c r="A3278" s="42">
        <v>3643</v>
      </c>
      <c r="B3278" s="42">
        <v>17356</v>
      </c>
      <c r="C3278" s="34" t="s">
        <v>4061</v>
      </c>
    </row>
    <row r="3279" spans="1:3" ht="15.75" customHeight="1" x14ac:dyDescent="0.2">
      <c r="A3279" s="42">
        <v>3644</v>
      </c>
      <c r="B3279" s="42">
        <v>17356</v>
      </c>
      <c r="C3279" s="34" t="s">
        <v>4056</v>
      </c>
    </row>
    <row r="3280" spans="1:3" ht="15.75" customHeight="1" x14ac:dyDescent="0.2">
      <c r="A3280" s="42">
        <v>3645</v>
      </c>
      <c r="B3280" s="42">
        <v>17356</v>
      </c>
      <c r="C3280" s="34" t="s">
        <v>4072</v>
      </c>
    </row>
    <row r="3281" spans="1:3" ht="15.75" customHeight="1" x14ac:dyDescent="0.2">
      <c r="A3281" s="42">
        <v>3646</v>
      </c>
      <c r="B3281" s="42">
        <v>17356</v>
      </c>
      <c r="C3281" s="34" t="s">
        <v>4058</v>
      </c>
    </row>
    <row r="3282" spans="1:3" ht="15.75" customHeight="1" x14ac:dyDescent="0.2">
      <c r="A3282" s="42">
        <v>3647</v>
      </c>
      <c r="B3282" s="42">
        <v>17356</v>
      </c>
      <c r="C3282" s="34" t="s">
        <v>4068</v>
      </c>
    </row>
    <row r="3283" spans="1:3" ht="15.75" customHeight="1" x14ac:dyDescent="0.2">
      <c r="A3283" s="42">
        <v>3648</v>
      </c>
      <c r="B3283" s="42">
        <v>17356</v>
      </c>
      <c r="C3283" s="34" t="s">
        <v>4070</v>
      </c>
    </row>
    <row r="3284" spans="1:3" ht="15.75" customHeight="1" x14ac:dyDescent="0.2">
      <c r="A3284" s="42">
        <v>3649</v>
      </c>
      <c r="B3284" s="42">
        <v>17356</v>
      </c>
      <c r="C3284" s="34" t="s">
        <v>4056</v>
      </c>
    </row>
    <row r="3285" spans="1:3" ht="15.75" customHeight="1" x14ac:dyDescent="0.2">
      <c r="A3285" s="42">
        <v>3650</v>
      </c>
      <c r="B3285" s="42">
        <v>17356</v>
      </c>
      <c r="C3285" s="34" t="s">
        <v>4061</v>
      </c>
    </row>
    <row r="3286" spans="1:3" ht="15.75" customHeight="1" x14ac:dyDescent="0.2">
      <c r="A3286" s="42">
        <v>3651</v>
      </c>
      <c r="B3286" s="42">
        <v>17356</v>
      </c>
      <c r="C3286" s="34" t="s">
        <v>4056</v>
      </c>
    </row>
    <row r="3287" spans="1:3" ht="15.75" customHeight="1" x14ac:dyDescent="0.2">
      <c r="A3287" s="42">
        <v>3652</v>
      </c>
      <c r="B3287" s="42">
        <v>17356</v>
      </c>
      <c r="C3287" s="34" t="s">
        <v>4056</v>
      </c>
    </row>
    <row r="3288" spans="1:3" ht="15.75" customHeight="1" x14ac:dyDescent="0.2">
      <c r="A3288" s="42">
        <v>3653</v>
      </c>
      <c r="B3288" s="42">
        <v>17356</v>
      </c>
      <c r="C3288" s="34" t="s">
        <v>4056</v>
      </c>
    </row>
    <row r="3289" spans="1:3" ht="15.75" customHeight="1" x14ac:dyDescent="0.2">
      <c r="A3289" s="42">
        <v>3654</v>
      </c>
      <c r="B3289" s="42">
        <v>17356</v>
      </c>
      <c r="C3289" s="34" t="s">
        <v>4064</v>
      </c>
    </row>
    <row r="3290" spans="1:3" ht="15.75" customHeight="1" x14ac:dyDescent="0.2">
      <c r="A3290" s="42">
        <v>3655</v>
      </c>
      <c r="B3290" s="42">
        <v>17356</v>
      </c>
      <c r="C3290" s="34" t="s">
        <v>4058</v>
      </c>
    </row>
    <row r="3291" spans="1:3" ht="15.75" customHeight="1" x14ac:dyDescent="0.2">
      <c r="A3291" s="42">
        <v>3656</v>
      </c>
      <c r="B3291" s="42">
        <v>17356</v>
      </c>
      <c r="C3291" s="34" t="s">
        <v>4063</v>
      </c>
    </row>
    <row r="3292" spans="1:3" ht="15.75" customHeight="1" x14ac:dyDescent="0.2">
      <c r="A3292" s="42">
        <v>3657</v>
      </c>
      <c r="B3292" s="42">
        <v>17356</v>
      </c>
      <c r="C3292" s="34" t="s">
        <v>4057</v>
      </c>
    </row>
    <row r="3293" spans="1:3" ht="15.75" customHeight="1" x14ac:dyDescent="0.2">
      <c r="A3293" s="42">
        <v>3658</v>
      </c>
      <c r="B3293" s="42">
        <v>17356</v>
      </c>
      <c r="C3293" s="34" t="s">
        <v>4073</v>
      </c>
    </row>
    <row r="3294" spans="1:3" ht="15.75" customHeight="1" x14ac:dyDescent="0.2">
      <c r="A3294" s="42">
        <v>3659</v>
      </c>
      <c r="B3294" s="42">
        <v>17356</v>
      </c>
      <c r="C3294" s="34" t="s">
        <v>4074</v>
      </c>
    </row>
    <row r="3295" spans="1:3" ht="15.75" customHeight="1" x14ac:dyDescent="0.2">
      <c r="A3295" s="42">
        <v>3660</v>
      </c>
      <c r="B3295" s="42">
        <v>17356</v>
      </c>
      <c r="C3295" s="34" t="s">
        <v>4058</v>
      </c>
    </row>
    <row r="3296" spans="1:3" ht="15.75" customHeight="1" x14ac:dyDescent="0.2">
      <c r="A3296" s="42">
        <v>3661</v>
      </c>
      <c r="B3296" s="42">
        <v>17356</v>
      </c>
      <c r="C3296" s="34" t="s">
        <v>4075</v>
      </c>
    </row>
    <row r="3297" spans="1:3" ht="15.75" customHeight="1" x14ac:dyDescent="0.2">
      <c r="A3297" s="42">
        <v>3662</v>
      </c>
      <c r="B3297" s="42">
        <v>17356</v>
      </c>
      <c r="C3297" s="34" t="s">
        <v>4076</v>
      </c>
    </row>
    <row r="3298" spans="1:3" ht="15.75" customHeight="1" x14ac:dyDescent="0.2">
      <c r="A3298" s="42">
        <v>3663</v>
      </c>
      <c r="B3298" s="42">
        <v>17356</v>
      </c>
      <c r="C3298" s="34" t="s">
        <v>4056</v>
      </c>
    </row>
    <row r="3299" spans="1:3" ht="15.75" customHeight="1" x14ac:dyDescent="0.2">
      <c r="A3299" s="42">
        <v>3664</v>
      </c>
      <c r="B3299" s="42">
        <v>17356</v>
      </c>
      <c r="C3299" s="34" t="s">
        <v>4061</v>
      </c>
    </row>
    <row r="3300" spans="1:3" ht="15.75" customHeight="1" x14ac:dyDescent="0.2">
      <c r="A3300" s="42">
        <v>3665</v>
      </c>
      <c r="B3300" s="42">
        <v>17356</v>
      </c>
      <c r="C3300" s="34" t="s">
        <v>4056</v>
      </c>
    </row>
    <row r="3301" spans="1:3" ht="15.75" customHeight="1" x14ac:dyDescent="0.2">
      <c r="A3301" s="42">
        <v>3666</v>
      </c>
      <c r="B3301" s="42">
        <v>17356</v>
      </c>
      <c r="C3301" s="34" t="s">
        <v>4056</v>
      </c>
    </row>
    <row r="3302" spans="1:3" ht="15.75" customHeight="1" x14ac:dyDescent="0.2">
      <c r="A3302" s="42">
        <v>3667</v>
      </c>
      <c r="B3302" s="42">
        <v>17356</v>
      </c>
      <c r="C3302" s="34" t="s">
        <v>4077</v>
      </c>
    </row>
    <row r="3303" spans="1:3" ht="15.75" customHeight="1" x14ac:dyDescent="0.2">
      <c r="A3303" s="42">
        <v>3668</v>
      </c>
      <c r="B3303" s="42">
        <v>17356</v>
      </c>
      <c r="C3303" s="34" t="s">
        <v>4078</v>
      </c>
    </row>
    <row r="3304" spans="1:3" ht="15.75" customHeight="1" x14ac:dyDescent="0.2">
      <c r="A3304" s="42">
        <v>3669</v>
      </c>
      <c r="B3304" s="42">
        <v>17356</v>
      </c>
      <c r="C3304" s="34" t="s">
        <v>4061</v>
      </c>
    </row>
    <row r="3305" spans="1:3" ht="15.75" customHeight="1" x14ac:dyDescent="0.2">
      <c r="A3305" s="42">
        <v>3670</v>
      </c>
      <c r="B3305" s="42">
        <v>17356</v>
      </c>
      <c r="C3305" s="34" t="s">
        <v>4056</v>
      </c>
    </row>
    <row r="3306" spans="1:3" ht="15.75" customHeight="1" x14ac:dyDescent="0.2">
      <c r="A3306" s="42">
        <v>3671</v>
      </c>
      <c r="B3306" s="42">
        <v>17356</v>
      </c>
      <c r="C3306" s="34" t="s">
        <v>4056</v>
      </c>
    </row>
    <row r="3307" spans="1:3" ht="15.75" customHeight="1" x14ac:dyDescent="0.2">
      <c r="A3307" s="42">
        <v>3672</v>
      </c>
      <c r="B3307" s="42">
        <v>17356</v>
      </c>
      <c r="C3307" s="34" t="s">
        <v>4079</v>
      </c>
    </row>
    <row r="3308" spans="1:3" ht="15.75" customHeight="1" x14ac:dyDescent="0.2">
      <c r="A3308" s="42">
        <v>3673</v>
      </c>
      <c r="B3308" s="42">
        <v>17356</v>
      </c>
      <c r="C3308" s="34" t="s">
        <v>4056</v>
      </c>
    </row>
    <row r="3309" spans="1:3" ht="15.75" customHeight="1" x14ac:dyDescent="0.2">
      <c r="A3309" s="42">
        <v>3674</v>
      </c>
      <c r="B3309" s="42">
        <v>17356</v>
      </c>
      <c r="C3309" s="34" t="s">
        <v>4057</v>
      </c>
    </row>
    <row r="3310" spans="1:3" ht="15.75" customHeight="1" x14ac:dyDescent="0.2">
      <c r="A3310" s="42">
        <v>3675</v>
      </c>
      <c r="B3310" s="42">
        <v>17356</v>
      </c>
      <c r="C3310" s="34" t="s">
        <v>4056</v>
      </c>
    </row>
    <row r="3311" spans="1:3" ht="15.75" customHeight="1" x14ac:dyDescent="0.2">
      <c r="A3311" s="42">
        <v>3676</v>
      </c>
      <c r="B3311" s="42">
        <v>17356</v>
      </c>
      <c r="C3311" s="34" t="s">
        <v>4057</v>
      </c>
    </row>
    <row r="3312" spans="1:3" ht="15.75" customHeight="1" x14ac:dyDescent="0.2">
      <c r="A3312" s="42">
        <v>3677</v>
      </c>
      <c r="B3312" s="42">
        <v>17356</v>
      </c>
      <c r="C3312" s="34" t="s">
        <v>4080</v>
      </c>
    </row>
    <row r="3313" spans="1:3" ht="15.75" customHeight="1" x14ac:dyDescent="0.2">
      <c r="A3313" s="42">
        <v>3678</v>
      </c>
      <c r="B3313" s="42">
        <v>17357</v>
      </c>
      <c r="C3313" s="34" t="s">
        <v>4081</v>
      </c>
    </row>
    <row r="3314" spans="1:3" ht="15.75" customHeight="1" x14ac:dyDescent="0.2">
      <c r="A3314" s="42">
        <v>3679</v>
      </c>
      <c r="B3314" s="42">
        <v>17357</v>
      </c>
      <c r="C3314" s="34" t="s">
        <v>4082</v>
      </c>
    </row>
    <row r="3315" spans="1:3" ht="15.75" customHeight="1" x14ac:dyDescent="0.2">
      <c r="A3315" s="42">
        <v>3680</v>
      </c>
      <c r="B3315" s="42">
        <v>17357</v>
      </c>
      <c r="C3315" s="34" t="s">
        <v>4083</v>
      </c>
    </row>
    <row r="3316" spans="1:3" ht="15.75" customHeight="1" x14ac:dyDescent="0.2">
      <c r="A3316" s="42">
        <v>3681</v>
      </c>
      <c r="B3316" s="42">
        <v>17357</v>
      </c>
      <c r="C3316" s="34" t="s">
        <v>4084</v>
      </c>
    </row>
    <row r="3317" spans="1:3" ht="15.75" customHeight="1" x14ac:dyDescent="0.2">
      <c r="A3317" s="42">
        <v>3682</v>
      </c>
      <c r="B3317" s="42">
        <v>17357</v>
      </c>
      <c r="C3317" s="34" t="s">
        <v>4085</v>
      </c>
    </row>
    <row r="3318" spans="1:3" ht="15.75" customHeight="1" x14ac:dyDescent="0.2">
      <c r="A3318" s="42">
        <v>3683</v>
      </c>
      <c r="B3318" s="42">
        <v>17357</v>
      </c>
      <c r="C3318" s="34" t="s">
        <v>4086</v>
      </c>
    </row>
    <row r="3319" spans="1:3" ht="15.75" customHeight="1" x14ac:dyDescent="0.2">
      <c r="A3319" s="42">
        <v>3684</v>
      </c>
      <c r="B3319" s="42">
        <v>17357</v>
      </c>
      <c r="C3319" s="34" t="s">
        <v>4087</v>
      </c>
    </row>
    <row r="3320" spans="1:3" ht="15.75" customHeight="1" x14ac:dyDescent="0.2">
      <c r="A3320" s="42">
        <v>3685</v>
      </c>
      <c r="B3320" s="42">
        <v>17357</v>
      </c>
      <c r="C3320" s="34" t="s">
        <v>4088</v>
      </c>
    </row>
    <row r="3321" spans="1:3" ht="15.75" customHeight="1" x14ac:dyDescent="0.2">
      <c r="A3321" s="42">
        <v>3686</v>
      </c>
      <c r="B3321" s="42">
        <v>17357</v>
      </c>
      <c r="C3321" s="34" t="s">
        <v>4089</v>
      </c>
    </row>
    <row r="3322" spans="1:3" ht="15.75" customHeight="1" x14ac:dyDescent="0.2">
      <c r="A3322" s="42">
        <v>3687</v>
      </c>
      <c r="B3322" s="42">
        <v>17357</v>
      </c>
      <c r="C3322" s="34" t="s">
        <v>4090</v>
      </c>
    </row>
    <row r="3323" spans="1:3" ht="15.75" customHeight="1" x14ac:dyDescent="0.2">
      <c r="A3323" s="42">
        <v>3688</v>
      </c>
      <c r="B3323" s="42">
        <v>17357</v>
      </c>
      <c r="C3323" s="34" t="s">
        <v>4091</v>
      </c>
    </row>
    <row r="3324" spans="1:3" ht="15.75" customHeight="1" x14ac:dyDescent="0.2">
      <c r="A3324" s="42">
        <v>3689</v>
      </c>
      <c r="B3324" s="42">
        <v>17357</v>
      </c>
      <c r="C3324" s="34" t="s">
        <v>4092</v>
      </c>
    </row>
    <row r="3325" spans="1:3" ht="15.75" customHeight="1" x14ac:dyDescent="0.2">
      <c r="A3325" s="42">
        <v>3690</v>
      </c>
      <c r="B3325" s="42">
        <v>17357</v>
      </c>
      <c r="C3325" s="34" t="s">
        <v>4093</v>
      </c>
    </row>
    <row r="3326" spans="1:3" ht="15.75" customHeight="1" x14ac:dyDescent="0.2">
      <c r="A3326" s="42">
        <v>3691</v>
      </c>
      <c r="B3326" s="42">
        <v>17357</v>
      </c>
      <c r="C3326" s="34" t="s">
        <v>4094</v>
      </c>
    </row>
    <row r="3327" spans="1:3" ht="15.75" customHeight="1" x14ac:dyDescent="0.2">
      <c r="A3327" s="42">
        <v>3692</v>
      </c>
      <c r="B3327" s="42">
        <v>17357</v>
      </c>
      <c r="C3327" s="34" t="s">
        <v>4095</v>
      </c>
    </row>
    <row r="3328" spans="1:3" ht="15.75" customHeight="1" x14ac:dyDescent="0.2">
      <c r="A3328" s="42">
        <v>3693</v>
      </c>
      <c r="B3328" s="42">
        <v>17357</v>
      </c>
      <c r="C3328" s="34" t="s">
        <v>4096</v>
      </c>
    </row>
    <row r="3329" spans="1:3" ht="15.75" customHeight="1" x14ac:dyDescent="0.2">
      <c r="A3329" s="42">
        <v>3694</v>
      </c>
      <c r="B3329" s="42">
        <v>17357</v>
      </c>
      <c r="C3329" s="34" t="s">
        <v>4097</v>
      </c>
    </row>
    <row r="3330" spans="1:3" ht="15.75" customHeight="1" x14ac:dyDescent="0.2">
      <c r="A3330" s="42">
        <v>3695</v>
      </c>
      <c r="B3330" s="42">
        <v>17357</v>
      </c>
      <c r="C3330" s="34" t="s">
        <v>4083</v>
      </c>
    </row>
    <row r="3331" spans="1:3" ht="15.75" customHeight="1" x14ac:dyDescent="0.2">
      <c r="A3331" s="42">
        <v>3696</v>
      </c>
      <c r="B3331" s="42">
        <v>17357</v>
      </c>
      <c r="C3331" s="34" t="s">
        <v>4098</v>
      </c>
    </row>
    <row r="3332" spans="1:3" ht="15.75" customHeight="1" x14ac:dyDescent="0.2">
      <c r="A3332" s="42">
        <v>3697</v>
      </c>
      <c r="B3332" s="42">
        <v>17357</v>
      </c>
      <c r="C3332" s="34" t="s">
        <v>4099</v>
      </c>
    </row>
    <row r="3333" spans="1:3" ht="15.75" customHeight="1" x14ac:dyDescent="0.2">
      <c r="A3333" s="42">
        <v>3698</v>
      </c>
      <c r="B3333" s="42">
        <v>17357</v>
      </c>
      <c r="C3333" s="34" t="s">
        <v>4100</v>
      </c>
    </row>
    <row r="3334" spans="1:3" ht="15.75" customHeight="1" x14ac:dyDescent="0.2">
      <c r="A3334" s="42">
        <v>3699</v>
      </c>
      <c r="B3334" s="42">
        <v>17357</v>
      </c>
      <c r="C3334" s="34" t="s">
        <v>4101</v>
      </c>
    </row>
    <row r="3335" spans="1:3" ht="15.75" customHeight="1" x14ac:dyDescent="0.2">
      <c r="A3335" s="42">
        <v>3700</v>
      </c>
      <c r="B3335" s="42">
        <v>17357</v>
      </c>
      <c r="C3335" s="34" t="s">
        <v>4102</v>
      </c>
    </row>
    <row r="3336" spans="1:3" ht="15.75" customHeight="1" x14ac:dyDescent="0.2">
      <c r="A3336" s="42">
        <v>3701</v>
      </c>
      <c r="B3336" s="42">
        <v>17357</v>
      </c>
      <c r="C3336" s="34" t="s">
        <v>794</v>
      </c>
    </row>
    <row r="3337" spans="1:3" ht="15.75" customHeight="1" x14ac:dyDescent="0.2">
      <c r="A3337" s="42">
        <v>3702</v>
      </c>
      <c r="B3337" s="42">
        <v>17357</v>
      </c>
      <c r="C3337" s="34" t="s">
        <v>4103</v>
      </c>
    </row>
    <row r="3338" spans="1:3" ht="15.75" customHeight="1" x14ac:dyDescent="0.2">
      <c r="A3338" s="42">
        <v>3703</v>
      </c>
      <c r="B3338" s="42">
        <v>17357</v>
      </c>
      <c r="C3338" s="34" t="s">
        <v>4104</v>
      </c>
    </row>
    <row r="3339" spans="1:3" ht="15.75" customHeight="1" x14ac:dyDescent="0.2">
      <c r="A3339" s="42">
        <v>3704</v>
      </c>
      <c r="B3339" s="42">
        <v>17357</v>
      </c>
      <c r="C3339" s="34" t="s">
        <v>4105</v>
      </c>
    </row>
    <row r="3340" spans="1:3" ht="15.75" customHeight="1" x14ac:dyDescent="0.2">
      <c r="A3340" s="42">
        <v>3705</v>
      </c>
      <c r="B3340" s="42">
        <v>17357</v>
      </c>
      <c r="C3340" s="34" t="s">
        <v>4106</v>
      </c>
    </row>
    <row r="3341" spans="1:3" ht="15.75" customHeight="1" x14ac:dyDescent="0.2">
      <c r="A3341" s="42">
        <v>3706</v>
      </c>
      <c r="B3341" s="42">
        <v>17357</v>
      </c>
      <c r="C3341" s="34" t="s">
        <v>4107</v>
      </c>
    </row>
    <row r="3342" spans="1:3" ht="15.75" customHeight="1" x14ac:dyDescent="0.2">
      <c r="A3342" s="42">
        <v>3707</v>
      </c>
      <c r="B3342" s="42">
        <v>17357</v>
      </c>
      <c r="C3342" s="34" t="s">
        <v>4108</v>
      </c>
    </row>
    <row r="3343" spans="1:3" ht="15.75" customHeight="1" x14ac:dyDescent="0.2">
      <c r="A3343" s="42">
        <v>3708</v>
      </c>
      <c r="B3343" s="42">
        <v>17357</v>
      </c>
      <c r="C3343" s="34" t="s">
        <v>4109</v>
      </c>
    </row>
    <row r="3344" spans="1:3" ht="15.75" customHeight="1" x14ac:dyDescent="0.2">
      <c r="A3344" s="42">
        <v>3709</v>
      </c>
      <c r="B3344" s="42">
        <v>17357</v>
      </c>
      <c r="C3344" s="34" t="s">
        <v>4110</v>
      </c>
    </row>
    <row r="3345" spans="1:3" ht="15.75" customHeight="1" x14ac:dyDescent="0.2">
      <c r="A3345" s="42">
        <v>3710</v>
      </c>
      <c r="B3345" s="42">
        <v>17357</v>
      </c>
      <c r="C3345" s="34" t="s">
        <v>4111</v>
      </c>
    </row>
    <row r="3346" spans="1:3" ht="15.75" customHeight="1" x14ac:dyDescent="0.2">
      <c r="A3346" s="42">
        <v>3711</v>
      </c>
      <c r="B3346" s="42">
        <v>17357</v>
      </c>
      <c r="C3346" s="34" t="s">
        <v>4112</v>
      </c>
    </row>
    <row r="3347" spans="1:3" ht="15.75" customHeight="1" x14ac:dyDescent="0.2">
      <c r="A3347" s="42">
        <v>3712</v>
      </c>
      <c r="B3347" s="42">
        <v>17357</v>
      </c>
      <c r="C3347" s="34" t="s">
        <v>4113</v>
      </c>
    </row>
    <row r="3348" spans="1:3" ht="15.75" customHeight="1" x14ac:dyDescent="0.2">
      <c r="A3348" s="42">
        <v>3713</v>
      </c>
      <c r="B3348" s="42">
        <v>17357</v>
      </c>
      <c r="C3348" s="34" t="s">
        <v>4114</v>
      </c>
    </row>
    <row r="3349" spans="1:3" ht="15.75" customHeight="1" x14ac:dyDescent="0.2">
      <c r="A3349" s="42">
        <v>3714</v>
      </c>
      <c r="B3349" s="42">
        <v>17357</v>
      </c>
      <c r="C3349" s="34" t="s">
        <v>4115</v>
      </c>
    </row>
    <row r="3350" spans="1:3" ht="15.75" customHeight="1" x14ac:dyDescent="0.2">
      <c r="A3350" s="42">
        <v>3715</v>
      </c>
      <c r="B3350" s="42">
        <v>17357</v>
      </c>
      <c r="C3350" s="34" t="s">
        <v>4116</v>
      </c>
    </row>
    <row r="3351" spans="1:3" ht="15.75" customHeight="1" x14ac:dyDescent="0.2">
      <c r="A3351" s="42">
        <v>3716</v>
      </c>
      <c r="B3351" s="42">
        <v>17357</v>
      </c>
      <c r="C3351" s="34" t="s">
        <v>4117</v>
      </c>
    </row>
    <row r="3352" spans="1:3" ht="15.75" customHeight="1" x14ac:dyDescent="0.2">
      <c r="A3352" s="42">
        <v>3717</v>
      </c>
      <c r="B3352" s="42">
        <v>17357</v>
      </c>
      <c r="C3352" s="34" t="s">
        <v>4118</v>
      </c>
    </row>
    <row r="3353" spans="1:3" ht="15.75" customHeight="1" x14ac:dyDescent="0.2">
      <c r="A3353" s="42">
        <v>3718</v>
      </c>
      <c r="B3353" s="42">
        <v>17357</v>
      </c>
      <c r="C3353" s="34" t="s">
        <v>4081</v>
      </c>
    </row>
    <row r="3354" spans="1:3" ht="15.75" customHeight="1" x14ac:dyDescent="0.2">
      <c r="A3354" s="42">
        <v>3719</v>
      </c>
      <c r="B3354" s="42">
        <v>17357</v>
      </c>
      <c r="C3354" s="34" t="s">
        <v>4119</v>
      </c>
    </row>
    <row r="3355" spans="1:3" ht="15.75" customHeight="1" x14ac:dyDescent="0.2">
      <c r="A3355" s="42">
        <v>3720</v>
      </c>
      <c r="B3355" s="42">
        <v>17357</v>
      </c>
      <c r="C3355" s="34" t="s">
        <v>4120</v>
      </c>
    </row>
    <row r="3356" spans="1:3" ht="15.75" customHeight="1" x14ac:dyDescent="0.2">
      <c r="A3356" s="42">
        <v>3721</v>
      </c>
      <c r="B3356" s="42">
        <v>17357</v>
      </c>
      <c r="C3356" s="34" t="s">
        <v>4121</v>
      </c>
    </row>
    <row r="3357" spans="1:3" ht="15.75" customHeight="1" x14ac:dyDescent="0.2">
      <c r="A3357" s="42">
        <v>3722</v>
      </c>
      <c r="B3357" s="42">
        <v>17357</v>
      </c>
      <c r="C3357" s="34" t="s">
        <v>4122</v>
      </c>
    </row>
    <row r="3358" spans="1:3" ht="15.75" customHeight="1" x14ac:dyDescent="0.2">
      <c r="A3358" s="42">
        <v>3723</v>
      </c>
      <c r="B3358" s="42">
        <v>17357</v>
      </c>
      <c r="C3358" s="34" t="s">
        <v>4123</v>
      </c>
    </row>
    <row r="3359" spans="1:3" ht="15.75" customHeight="1" x14ac:dyDescent="0.2">
      <c r="A3359" s="42">
        <v>3724</v>
      </c>
      <c r="B3359" s="42">
        <v>17357</v>
      </c>
      <c r="C3359" s="34" t="s">
        <v>4124</v>
      </c>
    </row>
    <row r="3360" spans="1:3" ht="15.75" customHeight="1" x14ac:dyDescent="0.2">
      <c r="A3360" s="42">
        <v>3725</v>
      </c>
      <c r="B3360" s="42">
        <v>17357</v>
      </c>
      <c r="C3360" s="34" t="s">
        <v>4097</v>
      </c>
    </row>
    <row r="3361" spans="1:3" ht="15.75" customHeight="1" x14ac:dyDescent="0.2">
      <c r="A3361" s="42">
        <v>3726</v>
      </c>
      <c r="B3361" s="42">
        <v>17357</v>
      </c>
      <c r="C3361" s="34" t="s">
        <v>4125</v>
      </c>
    </row>
    <row r="3362" spans="1:3" ht="15.75" customHeight="1" x14ac:dyDescent="0.2">
      <c r="A3362" s="42">
        <v>3727</v>
      </c>
      <c r="B3362" s="42">
        <v>17357</v>
      </c>
      <c r="C3362" s="34" t="s">
        <v>4126</v>
      </c>
    </row>
    <row r="3363" spans="1:3" ht="15.75" customHeight="1" x14ac:dyDescent="0.2">
      <c r="A3363" s="42">
        <v>3728</v>
      </c>
      <c r="B3363" s="42">
        <v>17357</v>
      </c>
      <c r="C3363" s="34" t="s">
        <v>4127</v>
      </c>
    </row>
    <row r="3364" spans="1:3" ht="15.75" customHeight="1" x14ac:dyDescent="0.2">
      <c r="A3364" s="42">
        <v>3729</v>
      </c>
      <c r="B3364" s="42">
        <v>17357</v>
      </c>
      <c r="C3364" s="34" t="s">
        <v>4128</v>
      </c>
    </row>
    <row r="3365" spans="1:3" ht="15.75" customHeight="1" x14ac:dyDescent="0.2">
      <c r="A3365" s="42">
        <v>3730</v>
      </c>
      <c r="B3365" s="42">
        <v>17357</v>
      </c>
      <c r="C3365" s="34" t="s">
        <v>4129</v>
      </c>
    </row>
    <row r="3366" spans="1:3" ht="15.75" customHeight="1" x14ac:dyDescent="0.2">
      <c r="A3366" s="42">
        <v>3731</v>
      </c>
      <c r="B3366" s="42">
        <v>17357</v>
      </c>
      <c r="C3366" s="34" t="s">
        <v>4130</v>
      </c>
    </row>
    <row r="3367" spans="1:3" ht="15.75" customHeight="1" x14ac:dyDescent="0.2">
      <c r="A3367" s="42">
        <v>3732</v>
      </c>
      <c r="B3367" s="42">
        <v>17357</v>
      </c>
      <c r="C3367" s="34" t="s">
        <v>4131</v>
      </c>
    </row>
    <row r="3368" spans="1:3" ht="15.75" customHeight="1" x14ac:dyDescent="0.2">
      <c r="A3368" s="42">
        <v>3733</v>
      </c>
      <c r="B3368" s="42">
        <v>17357</v>
      </c>
      <c r="C3368" s="34" t="s">
        <v>4132</v>
      </c>
    </row>
    <row r="3369" spans="1:3" ht="15.75" customHeight="1" x14ac:dyDescent="0.2">
      <c r="A3369" s="42">
        <v>3734</v>
      </c>
      <c r="B3369" s="42">
        <v>17357</v>
      </c>
      <c r="C3369" s="34" t="s">
        <v>4133</v>
      </c>
    </row>
    <row r="3370" spans="1:3" ht="15.75" customHeight="1" x14ac:dyDescent="0.2">
      <c r="A3370" s="42">
        <v>3735</v>
      </c>
      <c r="B3370" s="42">
        <v>17357</v>
      </c>
      <c r="C3370" s="34" t="s">
        <v>4134</v>
      </c>
    </row>
    <row r="3371" spans="1:3" ht="15.75" customHeight="1" x14ac:dyDescent="0.2">
      <c r="A3371" s="42">
        <v>3736</v>
      </c>
      <c r="B3371" s="42">
        <v>17357</v>
      </c>
      <c r="C3371" s="34" t="s">
        <v>4135</v>
      </c>
    </row>
    <row r="3372" spans="1:3" ht="15.75" customHeight="1" x14ac:dyDescent="0.2">
      <c r="A3372" s="42">
        <v>3737</v>
      </c>
      <c r="B3372" s="42">
        <v>17357</v>
      </c>
      <c r="C3372" s="34" t="s">
        <v>4136</v>
      </c>
    </row>
    <row r="3373" spans="1:3" ht="15.75" customHeight="1" x14ac:dyDescent="0.2">
      <c r="A3373" s="42">
        <v>3738</v>
      </c>
      <c r="B3373" s="42">
        <v>17357</v>
      </c>
      <c r="C3373" s="34" t="s">
        <v>4137</v>
      </c>
    </row>
    <row r="3374" spans="1:3" ht="15.75" customHeight="1" x14ac:dyDescent="0.2">
      <c r="A3374" s="42">
        <v>3739</v>
      </c>
      <c r="B3374" s="42">
        <v>17357</v>
      </c>
      <c r="C3374" s="34" t="s">
        <v>4138</v>
      </c>
    </row>
    <row r="3375" spans="1:3" ht="15.75" customHeight="1" x14ac:dyDescent="0.2">
      <c r="A3375" s="42">
        <v>3740</v>
      </c>
      <c r="B3375" s="42">
        <v>17357</v>
      </c>
      <c r="C3375" s="34" t="s">
        <v>4139</v>
      </c>
    </row>
    <row r="3376" spans="1:3" ht="15.75" customHeight="1" x14ac:dyDescent="0.2">
      <c r="A3376" s="42">
        <v>3741</v>
      </c>
      <c r="B3376" s="42">
        <v>17357</v>
      </c>
      <c r="C3376" s="34" t="s">
        <v>4140</v>
      </c>
    </row>
    <row r="3377" spans="1:3" ht="15.75" customHeight="1" x14ac:dyDescent="0.2">
      <c r="A3377" s="42">
        <v>3742</v>
      </c>
      <c r="B3377" s="42">
        <v>17357</v>
      </c>
      <c r="C3377" s="34" t="s">
        <v>4141</v>
      </c>
    </row>
    <row r="3378" spans="1:3" ht="15.75" customHeight="1" x14ac:dyDescent="0.2">
      <c r="A3378" s="42">
        <v>3743</v>
      </c>
      <c r="B3378" s="42">
        <v>17357</v>
      </c>
      <c r="C3378" s="34" t="s">
        <v>4081</v>
      </c>
    </row>
    <row r="3379" spans="1:3" ht="15.75" customHeight="1" x14ac:dyDescent="0.2">
      <c r="A3379" s="42">
        <v>3744</v>
      </c>
      <c r="B3379" s="42">
        <v>17357</v>
      </c>
      <c r="C3379" s="34" t="s">
        <v>4142</v>
      </c>
    </row>
    <row r="3380" spans="1:3" ht="15.75" customHeight="1" x14ac:dyDescent="0.2">
      <c r="A3380" s="42">
        <v>3745</v>
      </c>
      <c r="B3380" s="42">
        <v>17357</v>
      </c>
      <c r="C3380" s="34" t="s">
        <v>4143</v>
      </c>
    </row>
    <row r="3381" spans="1:3" ht="15.75" customHeight="1" x14ac:dyDescent="0.2">
      <c r="A3381" s="42">
        <v>3746</v>
      </c>
      <c r="B3381" s="42">
        <v>17357</v>
      </c>
      <c r="C3381" s="34" t="s">
        <v>4086</v>
      </c>
    </row>
    <row r="3382" spans="1:3" ht="15.75" customHeight="1" x14ac:dyDescent="0.2">
      <c r="A3382" s="42">
        <v>3747</v>
      </c>
      <c r="B3382" s="42">
        <v>17357</v>
      </c>
      <c r="C3382" s="34" t="s">
        <v>4144</v>
      </c>
    </row>
    <row r="3383" spans="1:3" ht="15.75" customHeight="1" x14ac:dyDescent="0.2">
      <c r="A3383" s="42">
        <v>3748</v>
      </c>
      <c r="B3383" s="42">
        <v>17357</v>
      </c>
      <c r="C3383" s="34" t="s">
        <v>4145</v>
      </c>
    </row>
    <row r="3384" spans="1:3" ht="15.75" customHeight="1" x14ac:dyDescent="0.2">
      <c r="A3384" s="42">
        <v>3749</v>
      </c>
      <c r="B3384" s="42">
        <v>17357</v>
      </c>
      <c r="C3384" s="34" t="s">
        <v>4146</v>
      </c>
    </row>
    <row r="3385" spans="1:3" ht="15.75" customHeight="1" x14ac:dyDescent="0.2">
      <c r="A3385" s="42">
        <v>3750</v>
      </c>
      <c r="B3385" s="42">
        <v>17358</v>
      </c>
      <c r="C3385" s="34" t="s">
        <v>4147</v>
      </c>
    </row>
    <row r="3386" spans="1:3" ht="15.75" customHeight="1" x14ac:dyDescent="0.2">
      <c r="A3386" s="42">
        <v>3751</v>
      </c>
      <c r="B3386" s="42">
        <v>17358</v>
      </c>
      <c r="C3386" s="34" t="s">
        <v>4148</v>
      </c>
    </row>
    <row r="3387" spans="1:3" ht="15.75" customHeight="1" x14ac:dyDescent="0.2">
      <c r="A3387" s="42">
        <v>3752</v>
      </c>
      <c r="B3387" s="42">
        <v>17358</v>
      </c>
      <c r="C3387" s="34" t="s">
        <v>4149</v>
      </c>
    </row>
    <row r="3388" spans="1:3" ht="15.75" customHeight="1" x14ac:dyDescent="0.2">
      <c r="A3388" s="42">
        <v>3753</v>
      </c>
      <c r="B3388" s="42">
        <v>17358</v>
      </c>
      <c r="C3388" s="34" t="s">
        <v>4150</v>
      </c>
    </row>
    <row r="3389" spans="1:3" ht="15.75" customHeight="1" x14ac:dyDescent="0.2">
      <c r="A3389" s="42">
        <v>3754</v>
      </c>
      <c r="B3389" s="42">
        <v>17358</v>
      </c>
      <c r="C3389" s="34" t="s">
        <v>4151</v>
      </c>
    </row>
    <row r="3390" spans="1:3" ht="15.75" customHeight="1" x14ac:dyDescent="0.2">
      <c r="A3390" s="42">
        <v>3755</v>
      </c>
      <c r="B3390" s="42">
        <v>17358</v>
      </c>
      <c r="C3390" s="34" t="s">
        <v>4152</v>
      </c>
    </row>
    <row r="3391" spans="1:3" ht="15.75" customHeight="1" x14ac:dyDescent="0.2">
      <c r="A3391" s="42">
        <v>3756</v>
      </c>
      <c r="B3391" s="42">
        <v>17358</v>
      </c>
      <c r="C3391" s="34" t="s">
        <v>4153</v>
      </c>
    </row>
    <row r="3392" spans="1:3" ht="15.75" customHeight="1" x14ac:dyDescent="0.2">
      <c r="A3392" s="42">
        <v>3757</v>
      </c>
      <c r="B3392" s="42">
        <v>17358</v>
      </c>
      <c r="C3392" s="34" t="s">
        <v>4154</v>
      </c>
    </row>
    <row r="3393" spans="1:3" ht="15.75" customHeight="1" x14ac:dyDescent="0.2">
      <c r="A3393" s="42">
        <v>3758</v>
      </c>
      <c r="B3393" s="42">
        <v>17358</v>
      </c>
      <c r="C3393" s="34" t="s">
        <v>4155</v>
      </c>
    </row>
    <row r="3394" spans="1:3" ht="15.75" customHeight="1" x14ac:dyDescent="0.2">
      <c r="A3394" s="42">
        <v>3759</v>
      </c>
      <c r="B3394" s="42">
        <v>17358</v>
      </c>
      <c r="C3394" s="34" t="s">
        <v>4156</v>
      </c>
    </row>
    <row r="3395" spans="1:3" ht="15.75" customHeight="1" x14ac:dyDescent="0.2">
      <c r="A3395" s="42">
        <v>3760</v>
      </c>
      <c r="B3395" s="42">
        <v>17358</v>
      </c>
      <c r="C3395" s="34" t="s">
        <v>4157</v>
      </c>
    </row>
    <row r="3396" spans="1:3" ht="15.75" customHeight="1" x14ac:dyDescent="0.2">
      <c r="A3396" s="42">
        <v>3761</v>
      </c>
      <c r="B3396" s="42">
        <v>17358</v>
      </c>
      <c r="C3396" s="34" t="s">
        <v>4158</v>
      </c>
    </row>
    <row r="3397" spans="1:3" ht="15.75" customHeight="1" x14ac:dyDescent="0.2">
      <c r="A3397" s="42">
        <v>3762</v>
      </c>
      <c r="B3397" s="42">
        <v>17358</v>
      </c>
      <c r="C3397" s="34" t="s">
        <v>4159</v>
      </c>
    </row>
    <row r="3398" spans="1:3" ht="15.75" customHeight="1" x14ac:dyDescent="0.2">
      <c r="A3398" s="42">
        <v>3763</v>
      </c>
      <c r="B3398" s="42">
        <v>17358</v>
      </c>
      <c r="C3398" s="34" t="s">
        <v>4160</v>
      </c>
    </row>
    <row r="3399" spans="1:3" ht="15.75" customHeight="1" x14ac:dyDescent="0.2">
      <c r="A3399" s="42">
        <v>3764</v>
      </c>
      <c r="B3399" s="42">
        <v>17358</v>
      </c>
      <c r="C3399" s="34" t="s">
        <v>4161</v>
      </c>
    </row>
    <row r="3400" spans="1:3" ht="15.75" customHeight="1" x14ac:dyDescent="0.2">
      <c r="A3400" s="42">
        <v>3765</v>
      </c>
      <c r="B3400" s="42">
        <v>17358</v>
      </c>
      <c r="C3400" s="34" t="s">
        <v>4162</v>
      </c>
    </row>
    <row r="3401" spans="1:3" ht="15.75" customHeight="1" x14ac:dyDescent="0.2">
      <c r="A3401" s="42">
        <v>3766</v>
      </c>
      <c r="B3401" s="42">
        <v>17358</v>
      </c>
      <c r="C3401" s="34" t="s">
        <v>4163</v>
      </c>
    </row>
    <row r="3402" spans="1:3" ht="15.75" customHeight="1" x14ac:dyDescent="0.2">
      <c r="A3402" s="42">
        <v>3767</v>
      </c>
      <c r="B3402" s="42">
        <v>17358</v>
      </c>
      <c r="C3402" s="34" t="s">
        <v>4164</v>
      </c>
    </row>
    <row r="3403" spans="1:3" ht="15.75" customHeight="1" x14ac:dyDescent="0.2">
      <c r="A3403" s="42">
        <v>3768</v>
      </c>
      <c r="B3403" s="42">
        <v>17358</v>
      </c>
      <c r="C3403" s="34" t="s">
        <v>4165</v>
      </c>
    </row>
    <row r="3404" spans="1:3" ht="15.75" customHeight="1" x14ac:dyDescent="0.2">
      <c r="A3404" s="42">
        <v>3769</v>
      </c>
      <c r="B3404" s="42">
        <v>17358</v>
      </c>
      <c r="C3404" s="34" t="s">
        <v>4166</v>
      </c>
    </row>
    <row r="3405" spans="1:3" ht="15.75" customHeight="1" x14ac:dyDescent="0.2">
      <c r="A3405" s="42">
        <v>3770</v>
      </c>
      <c r="B3405" s="42">
        <v>17358</v>
      </c>
      <c r="C3405" s="34" t="s">
        <v>4167</v>
      </c>
    </row>
    <row r="3406" spans="1:3" ht="15.75" customHeight="1" x14ac:dyDescent="0.2">
      <c r="A3406" s="42">
        <v>3771</v>
      </c>
      <c r="B3406" s="42">
        <v>17358</v>
      </c>
      <c r="C3406" s="34" t="s">
        <v>4168</v>
      </c>
    </row>
    <row r="3407" spans="1:3" ht="15.75" customHeight="1" x14ac:dyDescent="0.2">
      <c r="A3407" s="42">
        <v>3772</v>
      </c>
      <c r="B3407" s="42">
        <v>17358</v>
      </c>
      <c r="C3407" s="34" t="s">
        <v>4169</v>
      </c>
    </row>
    <row r="3408" spans="1:3" ht="15.75" customHeight="1" x14ac:dyDescent="0.2">
      <c r="A3408" s="42">
        <v>3773</v>
      </c>
      <c r="B3408" s="42">
        <v>17358</v>
      </c>
      <c r="C3408" s="34" t="s">
        <v>4170</v>
      </c>
    </row>
    <row r="3409" spans="1:3" ht="15.75" customHeight="1" x14ac:dyDescent="0.2">
      <c r="A3409" s="42">
        <v>3774</v>
      </c>
      <c r="B3409" s="42">
        <v>17358</v>
      </c>
      <c r="C3409" s="34" t="s">
        <v>4171</v>
      </c>
    </row>
    <row r="3410" spans="1:3" ht="15.75" customHeight="1" x14ac:dyDescent="0.2">
      <c r="A3410" s="42">
        <v>3775</v>
      </c>
      <c r="B3410" s="42">
        <v>17358</v>
      </c>
      <c r="C3410" s="34" t="s">
        <v>4172</v>
      </c>
    </row>
    <row r="3411" spans="1:3" ht="15.75" customHeight="1" x14ac:dyDescent="0.2">
      <c r="A3411" s="42">
        <v>3776</v>
      </c>
      <c r="B3411" s="42">
        <v>17358</v>
      </c>
      <c r="C3411" s="34" t="s">
        <v>4173</v>
      </c>
    </row>
    <row r="3412" spans="1:3" ht="15.75" customHeight="1" x14ac:dyDescent="0.2">
      <c r="A3412" s="42">
        <v>3777</v>
      </c>
      <c r="B3412" s="42">
        <v>17358</v>
      </c>
      <c r="C3412" s="34" t="s">
        <v>4174</v>
      </c>
    </row>
    <row r="3413" spans="1:3" ht="15.75" customHeight="1" x14ac:dyDescent="0.2">
      <c r="A3413" s="42">
        <v>3778</v>
      </c>
      <c r="B3413" s="42">
        <v>17358</v>
      </c>
      <c r="C3413" s="34" t="s">
        <v>4175</v>
      </c>
    </row>
    <row r="3414" spans="1:3" ht="15.75" customHeight="1" x14ac:dyDescent="0.2">
      <c r="A3414" s="42">
        <v>3779</v>
      </c>
      <c r="B3414" s="42">
        <v>17358</v>
      </c>
      <c r="C3414" s="34" t="s">
        <v>4176</v>
      </c>
    </row>
    <row r="3415" spans="1:3" ht="15.75" customHeight="1" x14ac:dyDescent="0.2">
      <c r="A3415" s="42">
        <v>3780</v>
      </c>
      <c r="B3415" s="42">
        <v>17358</v>
      </c>
      <c r="C3415" s="34" t="s">
        <v>4177</v>
      </c>
    </row>
    <row r="3416" spans="1:3" ht="15.75" customHeight="1" x14ac:dyDescent="0.2">
      <c r="A3416" s="42">
        <v>3781</v>
      </c>
      <c r="B3416" s="42">
        <v>17358</v>
      </c>
      <c r="C3416" s="34" t="s">
        <v>4178</v>
      </c>
    </row>
    <row r="3417" spans="1:3" ht="15.75" customHeight="1" x14ac:dyDescent="0.2">
      <c r="A3417" s="42">
        <v>3782</v>
      </c>
      <c r="B3417" s="42">
        <v>17358</v>
      </c>
      <c r="C3417" s="34" t="s">
        <v>4179</v>
      </c>
    </row>
    <row r="3418" spans="1:3" ht="15.75" customHeight="1" x14ac:dyDescent="0.2">
      <c r="A3418" s="42">
        <v>3783</v>
      </c>
      <c r="B3418" s="42">
        <v>17358</v>
      </c>
      <c r="C3418" s="34" t="s">
        <v>4180</v>
      </c>
    </row>
    <row r="3419" spans="1:3" ht="15.75" customHeight="1" x14ac:dyDescent="0.2">
      <c r="A3419" s="42">
        <v>3784</v>
      </c>
      <c r="B3419" s="42">
        <v>17358</v>
      </c>
      <c r="C3419" s="34" t="s">
        <v>4181</v>
      </c>
    </row>
    <row r="3420" spans="1:3" ht="15.75" customHeight="1" x14ac:dyDescent="0.2">
      <c r="A3420" s="42">
        <v>3785</v>
      </c>
      <c r="B3420" s="42">
        <v>17358</v>
      </c>
      <c r="C3420" s="34" t="s">
        <v>4182</v>
      </c>
    </row>
    <row r="3421" spans="1:3" ht="15.75" customHeight="1" x14ac:dyDescent="0.2">
      <c r="A3421" s="42">
        <v>3786</v>
      </c>
      <c r="B3421" s="42">
        <v>17358</v>
      </c>
      <c r="C3421" s="34" t="s">
        <v>4183</v>
      </c>
    </row>
    <row r="3422" spans="1:3" ht="15.75" customHeight="1" x14ac:dyDescent="0.2">
      <c r="A3422" s="42">
        <v>3787</v>
      </c>
      <c r="B3422" s="42">
        <v>17358</v>
      </c>
      <c r="C3422" s="34" t="s">
        <v>4184</v>
      </c>
    </row>
    <row r="3423" spans="1:3" ht="15.75" customHeight="1" x14ac:dyDescent="0.2">
      <c r="A3423" s="42">
        <v>3788</v>
      </c>
      <c r="B3423" s="42">
        <v>17358</v>
      </c>
      <c r="C3423" s="34" t="s">
        <v>4185</v>
      </c>
    </row>
    <row r="3424" spans="1:3" ht="15.75" customHeight="1" x14ac:dyDescent="0.2">
      <c r="A3424" s="42">
        <v>3789</v>
      </c>
      <c r="B3424" s="42">
        <v>17358</v>
      </c>
      <c r="C3424" s="34" t="s">
        <v>4186</v>
      </c>
    </row>
    <row r="3425" spans="1:3" ht="15.75" customHeight="1" x14ac:dyDescent="0.2">
      <c r="A3425" s="42">
        <v>3790</v>
      </c>
      <c r="B3425" s="42">
        <v>17358</v>
      </c>
      <c r="C3425" s="34" t="s">
        <v>4187</v>
      </c>
    </row>
    <row r="3426" spans="1:3" ht="15.75" customHeight="1" x14ac:dyDescent="0.2">
      <c r="A3426" s="42">
        <v>3791</v>
      </c>
      <c r="B3426" s="42">
        <v>17358</v>
      </c>
      <c r="C3426" s="34" t="s">
        <v>4188</v>
      </c>
    </row>
    <row r="3427" spans="1:3" ht="15.75" customHeight="1" x14ac:dyDescent="0.2">
      <c r="A3427" s="42">
        <v>3792</v>
      </c>
      <c r="B3427" s="42">
        <v>17358</v>
      </c>
      <c r="C3427" s="34" t="s">
        <v>4189</v>
      </c>
    </row>
    <row r="3428" spans="1:3" ht="15.75" customHeight="1" x14ac:dyDescent="0.2">
      <c r="A3428" s="42">
        <v>3793</v>
      </c>
      <c r="B3428" s="42">
        <v>17358</v>
      </c>
      <c r="C3428" s="34" t="s">
        <v>4190</v>
      </c>
    </row>
    <row r="3429" spans="1:3" ht="15.75" customHeight="1" x14ac:dyDescent="0.2">
      <c r="A3429" s="42">
        <v>3794</v>
      </c>
      <c r="B3429" s="42">
        <v>17358</v>
      </c>
      <c r="C3429" s="34" t="s">
        <v>4191</v>
      </c>
    </row>
    <row r="3430" spans="1:3" ht="15.75" customHeight="1" x14ac:dyDescent="0.2">
      <c r="A3430" s="42">
        <v>3795</v>
      </c>
      <c r="B3430" s="42">
        <v>17358</v>
      </c>
      <c r="C3430" s="34" t="s">
        <v>4192</v>
      </c>
    </row>
    <row r="3431" spans="1:3" ht="15.75" customHeight="1" x14ac:dyDescent="0.2">
      <c r="A3431" s="42">
        <v>3796</v>
      </c>
      <c r="B3431" s="42">
        <v>17358</v>
      </c>
      <c r="C3431" s="34" t="s">
        <v>4193</v>
      </c>
    </row>
    <row r="3432" spans="1:3" ht="15.75" customHeight="1" x14ac:dyDescent="0.2">
      <c r="A3432" s="42">
        <v>3797</v>
      </c>
      <c r="B3432" s="42">
        <v>17358</v>
      </c>
      <c r="C3432" s="34" t="s">
        <v>4194</v>
      </c>
    </row>
    <row r="3433" spans="1:3" ht="15.75" customHeight="1" x14ac:dyDescent="0.2">
      <c r="A3433" s="42">
        <v>3798</v>
      </c>
      <c r="B3433" s="42">
        <v>17358</v>
      </c>
      <c r="C3433" s="34" t="s">
        <v>4195</v>
      </c>
    </row>
    <row r="3434" spans="1:3" ht="15.75" customHeight="1" x14ac:dyDescent="0.2">
      <c r="A3434" s="42">
        <v>3799</v>
      </c>
      <c r="B3434" s="42">
        <v>17358</v>
      </c>
      <c r="C3434" s="34" t="s">
        <v>4179</v>
      </c>
    </row>
    <row r="3435" spans="1:3" ht="15.75" customHeight="1" x14ac:dyDescent="0.2">
      <c r="A3435" s="42">
        <v>3800</v>
      </c>
      <c r="B3435" s="42">
        <v>17358</v>
      </c>
      <c r="C3435" s="34" t="s">
        <v>4196</v>
      </c>
    </row>
    <row r="3436" spans="1:3" ht="15.75" customHeight="1" x14ac:dyDescent="0.2">
      <c r="A3436" s="42">
        <v>3801</v>
      </c>
      <c r="B3436" s="42">
        <v>17358</v>
      </c>
      <c r="C3436" s="34" t="s">
        <v>4197</v>
      </c>
    </row>
    <row r="3437" spans="1:3" ht="15.75" customHeight="1" x14ac:dyDescent="0.2">
      <c r="A3437" s="42">
        <v>3802</v>
      </c>
      <c r="B3437" s="42">
        <v>17358</v>
      </c>
      <c r="C3437" s="34" t="s">
        <v>4198</v>
      </c>
    </row>
    <row r="3438" spans="1:3" ht="15.75" customHeight="1" x14ac:dyDescent="0.2">
      <c r="A3438" s="42">
        <v>3803</v>
      </c>
      <c r="B3438" s="42">
        <v>17358</v>
      </c>
      <c r="C3438" s="34" t="s">
        <v>4199</v>
      </c>
    </row>
    <row r="3439" spans="1:3" ht="15.75" customHeight="1" x14ac:dyDescent="0.2">
      <c r="A3439" s="42">
        <v>3804</v>
      </c>
      <c r="B3439" s="42">
        <v>17358</v>
      </c>
      <c r="C3439" s="34" t="s">
        <v>4200</v>
      </c>
    </row>
    <row r="3440" spans="1:3" ht="15.75" customHeight="1" x14ac:dyDescent="0.2">
      <c r="A3440" s="42">
        <v>3805</v>
      </c>
      <c r="B3440" s="42">
        <v>17358</v>
      </c>
      <c r="C3440" s="34" t="s">
        <v>4201</v>
      </c>
    </row>
    <row r="3441" spans="1:3" ht="15.75" customHeight="1" x14ac:dyDescent="0.2">
      <c r="A3441" s="42">
        <v>3806</v>
      </c>
      <c r="B3441" s="42">
        <v>17358</v>
      </c>
      <c r="C3441" s="34" t="s">
        <v>4202</v>
      </c>
    </row>
    <row r="3442" spans="1:3" ht="15.75" customHeight="1" x14ac:dyDescent="0.2">
      <c r="A3442" s="42">
        <v>3807</v>
      </c>
      <c r="B3442" s="42">
        <v>17358</v>
      </c>
      <c r="C3442" s="34" t="s">
        <v>4203</v>
      </c>
    </row>
    <row r="3443" spans="1:3" ht="15.75" customHeight="1" x14ac:dyDescent="0.2">
      <c r="A3443" s="42">
        <v>3808</v>
      </c>
      <c r="B3443" s="42">
        <v>17358</v>
      </c>
      <c r="C3443" s="34" t="s">
        <v>4204</v>
      </c>
    </row>
    <row r="3444" spans="1:3" ht="15.75" customHeight="1" x14ac:dyDescent="0.2">
      <c r="A3444" s="42">
        <v>3809</v>
      </c>
      <c r="B3444" s="42">
        <v>17358</v>
      </c>
      <c r="C3444" s="34" t="s">
        <v>4205</v>
      </c>
    </row>
    <row r="3445" spans="1:3" ht="15.75" customHeight="1" x14ac:dyDescent="0.2">
      <c r="A3445" s="42">
        <v>3810</v>
      </c>
      <c r="B3445" s="42">
        <v>17358</v>
      </c>
      <c r="C3445" s="34" t="s">
        <v>4206</v>
      </c>
    </row>
    <row r="3446" spans="1:3" ht="15.75" customHeight="1" x14ac:dyDescent="0.2">
      <c r="A3446" s="42">
        <v>3811</v>
      </c>
      <c r="B3446" s="42">
        <v>17358</v>
      </c>
      <c r="C3446" s="34" t="s">
        <v>4207</v>
      </c>
    </row>
    <row r="3447" spans="1:3" ht="15.75" customHeight="1" x14ac:dyDescent="0.2">
      <c r="A3447" s="42">
        <v>3812</v>
      </c>
      <c r="B3447" s="42">
        <v>17358</v>
      </c>
      <c r="C3447" s="34" t="s">
        <v>4208</v>
      </c>
    </row>
    <row r="3448" spans="1:3" ht="15.75" customHeight="1" x14ac:dyDescent="0.2">
      <c r="A3448" s="42">
        <v>3813</v>
      </c>
      <c r="B3448" s="42">
        <v>17358</v>
      </c>
      <c r="C3448" s="34" t="s">
        <v>4209</v>
      </c>
    </row>
    <row r="3449" spans="1:3" ht="15.75" customHeight="1" x14ac:dyDescent="0.2">
      <c r="A3449" s="42">
        <v>3814</v>
      </c>
      <c r="B3449" s="42">
        <v>17358</v>
      </c>
      <c r="C3449" s="34" t="s">
        <v>4210</v>
      </c>
    </row>
    <row r="3450" spans="1:3" ht="15.75" customHeight="1" x14ac:dyDescent="0.2">
      <c r="A3450" s="42">
        <v>3815</v>
      </c>
      <c r="B3450" s="42">
        <v>17358</v>
      </c>
      <c r="C3450" s="34" t="s">
        <v>4211</v>
      </c>
    </row>
    <row r="3451" spans="1:3" ht="15.75" customHeight="1" x14ac:dyDescent="0.2">
      <c r="A3451" s="42">
        <v>3816</v>
      </c>
      <c r="B3451" s="42">
        <v>17358</v>
      </c>
      <c r="C3451" s="34" t="s">
        <v>4212</v>
      </c>
    </row>
    <row r="3452" spans="1:3" ht="15.75" customHeight="1" x14ac:dyDescent="0.2">
      <c r="A3452" s="42">
        <v>3817</v>
      </c>
      <c r="B3452" s="42">
        <v>17358</v>
      </c>
      <c r="C3452" s="34" t="s">
        <v>4213</v>
      </c>
    </row>
    <row r="3453" spans="1:3" ht="15.75" customHeight="1" x14ac:dyDescent="0.2">
      <c r="A3453" s="42">
        <v>3818</v>
      </c>
      <c r="B3453" s="42">
        <v>17358</v>
      </c>
      <c r="C3453" s="34" t="s">
        <v>4214</v>
      </c>
    </row>
    <row r="3454" spans="1:3" ht="15.75" customHeight="1" x14ac:dyDescent="0.2">
      <c r="A3454" s="42">
        <v>3819</v>
      </c>
      <c r="B3454" s="42">
        <v>17358</v>
      </c>
      <c r="C3454" s="34" t="s">
        <v>4215</v>
      </c>
    </row>
    <row r="3455" spans="1:3" ht="15.75" customHeight="1" x14ac:dyDescent="0.2">
      <c r="A3455" s="42">
        <v>3820</v>
      </c>
      <c r="B3455" s="42">
        <v>17358</v>
      </c>
      <c r="C3455" s="34" t="s">
        <v>4216</v>
      </c>
    </row>
    <row r="3456" spans="1:3" ht="15.75" customHeight="1" x14ac:dyDescent="0.2">
      <c r="A3456" s="42">
        <v>3821</v>
      </c>
      <c r="B3456" s="42">
        <v>17358</v>
      </c>
      <c r="C3456" s="34" t="s">
        <v>4217</v>
      </c>
    </row>
    <row r="3457" spans="1:3" ht="15.75" customHeight="1" x14ac:dyDescent="0.2">
      <c r="A3457" s="42">
        <v>3822</v>
      </c>
      <c r="B3457" s="42">
        <v>17358</v>
      </c>
      <c r="C3457" s="34" t="s">
        <v>4218</v>
      </c>
    </row>
    <row r="3458" spans="1:3" ht="15.75" customHeight="1" x14ac:dyDescent="0.2">
      <c r="A3458" s="42">
        <v>3823</v>
      </c>
      <c r="B3458" s="42">
        <v>17358</v>
      </c>
      <c r="C3458" s="34" t="s">
        <v>4219</v>
      </c>
    </row>
    <row r="3459" spans="1:3" ht="15.75" customHeight="1" x14ac:dyDescent="0.2">
      <c r="A3459" s="42">
        <v>3824</v>
      </c>
      <c r="B3459" s="42">
        <v>17358</v>
      </c>
      <c r="C3459" s="34" t="s">
        <v>4220</v>
      </c>
    </row>
    <row r="3460" spans="1:3" ht="15.75" customHeight="1" x14ac:dyDescent="0.2">
      <c r="A3460" s="42">
        <v>3825</v>
      </c>
      <c r="B3460" s="42">
        <v>17358</v>
      </c>
      <c r="C3460" s="34" t="s">
        <v>4221</v>
      </c>
    </row>
    <row r="3461" spans="1:3" ht="15.75" customHeight="1" x14ac:dyDescent="0.2">
      <c r="A3461" s="42">
        <v>3826</v>
      </c>
      <c r="B3461" s="42">
        <v>17358</v>
      </c>
      <c r="C3461" s="34" t="s">
        <v>4222</v>
      </c>
    </row>
    <row r="3462" spans="1:3" ht="15.75" customHeight="1" x14ac:dyDescent="0.2">
      <c r="A3462" s="42">
        <v>3827</v>
      </c>
      <c r="B3462" s="42">
        <v>17358</v>
      </c>
      <c r="C3462" s="34" t="s">
        <v>4214</v>
      </c>
    </row>
    <row r="3463" spans="1:3" ht="15.75" customHeight="1" x14ac:dyDescent="0.2">
      <c r="A3463" s="42">
        <v>3828</v>
      </c>
      <c r="B3463" s="42">
        <v>17358</v>
      </c>
      <c r="C3463" s="34" t="s">
        <v>4154</v>
      </c>
    </row>
    <row r="3464" spans="1:3" ht="15.75" customHeight="1" x14ac:dyDescent="0.2">
      <c r="A3464" s="42">
        <v>3829</v>
      </c>
      <c r="B3464" s="42">
        <v>17358</v>
      </c>
      <c r="C3464" s="34" t="s">
        <v>4223</v>
      </c>
    </row>
    <row r="3465" spans="1:3" ht="15.75" customHeight="1" x14ac:dyDescent="0.2">
      <c r="A3465" s="42">
        <v>3830</v>
      </c>
      <c r="B3465" s="42">
        <v>17358</v>
      </c>
      <c r="C3465" s="34" t="s">
        <v>4224</v>
      </c>
    </row>
    <row r="3466" spans="1:3" ht="15.75" customHeight="1" x14ac:dyDescent="0.2">
      <c r="A3466" s="42">
        <v>3831</v>
      </c>
      <c r="B3466" s="42">
        <v>17358</v>
      </c>
      <c r="C3466" s="34" t="s">
        <v>4225</v>
      </c>
    </row>
    <row r="3467" spans="1:3" ht="15.75" customHeight="1" x14ac:dyDescent="0.2">
      <c r="A3467" s="42">
        <v>3832</v>
      </c>
      <c r="B3467" s="42">
        <v>17359</v>
      </c>
      <c r="C3467" s="34" t="s">
        <v>4226</v>
      </c>
    </row>
    <row r="3468" spans="1:3" ht="15.75" customHeight="1" x14ac:dyDescent="0.2">
      <c r="A3468" s="42">
        <v>3833</v>
      </c>
      <c r="B3468" s="42">
        <v>17359</v>
      </c>
      <c r="C3468" s="34" t="s">
        <v>4227</v>
      </c>
    </row>
    <row r="3469" spans="1:3" ht="15.75" customHeight="1" x14ac:dyDescent="0.2">
      <c r="A3469" s="42">
        <v>3834</v>
      </c>
      <c r="B3469" s="42">
        <v>17359</v>
      </c>
      <c r="C3469" s="34" t="s">
        <v>4228</v>
      </c>
    </row>
    <row r="3470" spans="1:3" ht="15.75" customHeight="1" x14ac:dyDescent="0.2">
      <c r="A3470" s="42">
        <v>3835</v>
      </c>
      <c r="B3470" s="42">
        <v>17359</v>
      </c>
      <c r="C3470" s="34" t="s">
        <v>4229</v>
      </c>
    </row>
    <row r="3471" spans="1:3" ht="15.75" customHeight="1" x14ac:dyDescent="0.2">
      <c r="A3471" s="42">
        <v>3836</v>
      </c>
      <c r="B3471" s="42">
        <v>17359</v>
      </c>
      <c r="C3471" s="34" t="s">
        <v>4230</v>
      </c>
    </row>
    <row r="3472" spans="1:3" ht="15.75" customHeight="1" x14ac:dyDescent="0.2">
      <c r="A3472" s="42">
        <v>3837</v>
      </c>
      <c r="B3472" s="42">
        <v>17359</v>
      </c>
      <c r="C3472" s="34" t="s">
        <v>4231</v>
      </c>
    </row>
    <row r="3473" spans="1:3" ht="15.75" customHeight="1" x14ac:dyDescent="0.2">
      <c r="A3473" s="42">
        <v>3838</v>
      </c>
      <c r="B3473" s="42">
        <v>17359</v>
      </c>
      <c r="C3473" s="34" t="s">
        <v>4232</v>
      </c>
    </row>
    <row r="3474" spans="1:3" ht="15.75" customHeight="1" x14ac:dyDescent="0.2">
      <c r="A3474" s="42">
        <v>3839</v>
      </c>
      <c r="B3474" s="42">
        <v>17359</v>
      </c>
      <c r="C3474" s="34" t="s">
        <v>4233</v>
      </c>
    </row>
    <row r="3475" spans="1:3" ht="15.75" customHeight="1" x14ac:dyDescent="0.2">
      <c r="A3475" s="42">
        <v>3840</v>
      </c>
      <c r="B3475" s="42">
        <v>17359</v>
      </c>
      <c r="C3475" s="34" t="s">
        <v>4234</v>
      </c>
    </row>
    <row r="3476" spans="1:3" ht="15.75" customHeight="1" x14ac:dyDescent="0.2">
      <c r="A3476" s="42">
        <v>3841</v>
      </c>
      <c r="B3476" s="42">
        <v>17359</v>
      </c>
      <c r="C3476" s="34" t="s">
        <v>4235</v>
      </c>
    </row>
    <row r="3477" spans="1:3" ht="15.75" customHeight="1" x14ac:dyDescent="0.2">
      <c r="A3477" s="42">
        <v>3842</v>
      </c>
      <c r="B3477" s="42">
        <v>17359</v>
      </c>
      <c r="C3477" s="34" t="s">
        <v>4236</v>
      </c>
    </row>
    <row r="3478" spans="1:3" ht="15.75" customHeight="1" x14ac:dyDescent="0.2">
      <c r="A3478" s="42">
        <v>3843</v>
      </c>
      <c r="B3478" s="42">
        <v>17359</v>
      </c>
      <c r="C3478" s="34" t="s">
        <v>4237</v>
      </c>
    </row>
    <row r="3479" spans="1:3" ht="15.75" customHeight="1" x14ac:dyDescent="0.2">
      <c r="A3479" s="42">
        <v>3844</v>
      </c>
      <c r="B3479" s="42">
        <v>17359</v>
      </c>
      <c r="C3479" s="34" t="s">
        <v>4238</v>
      </c>
    </row>
    <row r="3480" spans="1:3" ht="15.75" customHeight="1" x14ac:dyDescent="0.2">
      <c r="A3480" s="42">
        <v>3845</v>
      </c>
      <c r="B3480" s="42">
        <v>17359</v>
      </c>
      <c r="C3480" s="34" t="s">
        <v>4239</v>
      </c>
    </row>
    <row r="3481" spans="1:3" ht="15.75" customHeight="1" x14ac:dyDescent="0.2">
      <c r="A3481" s="42">
        <v>3846</v>
      </c>
      <c r="B3481" s="42">
        <v>17359</v>
      </c>
      <c r="C3481" s="34" t="s">
        <v>4240</v>
      </c>
    </row>
    <row r="3482" spans="1:3" ht="15.75" customHeight="1" x14ac:dyDescent="0.2">
      <c r="A3482" s="42">
        <v>3847</v>
      </c>
      <c r="B3482" s="42">
        <v>17359</v>
      </c>
      <c r="C3482" s="34" t="s">
        <v>4241</v>
      </c>
    </row>
    <row r="3483" spans="1:3" ht="15.75" customHeight="1" x14ac:dyDescent="0.2">
      <c r="A3483" s="42">
        <v>3848</v>
      </c>
      <c r="B3483" s="42">
        <v>17359</v>
      </c>
      <c r="C3483" s="34" t="s">
        <v>4242</v>
      </c>
    </row>
    <row r="3484" spans="1:3" ht="15.75" customHeight="1" x14ac:dyDescent="0.2">
      <c r="A3484" s="42">
        <v>3849</v>
      </c>
      <c r="B3484" s="42">
        <v>17359</v>
      </c>
      <c r="C3484" s="34" t="s">
        <v>4243</v>
      </c>
    </row>
    <row r="3485" spans="1:3" ht="15.75" customHeight="1" x14ac:dyDescent="0.2">
      <c r="A3485" s="42">
        <v>3850</v>
      </c>
      <c r="B3485" s="42">
        <v>17359</v>
      </c>
      <c r="C3485" s="34" t="s">
        <v>4244</v>
      </c>
    </row>
    <row r="3486" spans="1:3" ht="15.75" customHeight="1" x14ac:dyDescent="0.2">
      <c r="A3486" s="42">
        <v>3851</v>
      </c>
      <c r="B3486" s="42">
        <v>17359</v>
      </c>
      <c r="C3486" s="34" t="s">
        <v>4245</v>
      </c>
    </row>
    <row r="3487" spans="1:3" ht="15.75" customHeight="1" x14ac:dyDescent="0.2">
      <c r="A3487" s="42">
        <v>3852</v>
      </c>
      <c r="B3487" s="42">
        <v>17359</v>
      </c>
      <c r="C3487" s="34" t="s">
        <v>4246</v>
      </c>
    </row>
    <row r="3488" spans="1:3" ht="15.75" customHeight="1" x14ac:dyDescent="0.2">
      <c r="A3488" s="42">
        <v>3853</v>
      </c>
      <c r="B3488" s="42">
        <v>17359</v>
      </c>
      <c r="C3488" s="34" t="s">
        <v>4247</v>
      </c>
    </row>
    <row r="3489" spans="1:3" ht="15.75" customHeight="1" x14ac:dyDescent="0.2">
      <c r="A3489" s="42">
        <v>3854</v>
      </c>
      <c r="B3489" s="42">
        <v>17359</v>
      </c>
      <c r="C3489" s="34" t="s">
        <v>4248</v>
      </c>
    </row>
    <row r="3490" spans="1:3" ht="15.75" customHeight="1" x14ac:dyDescent="0.2">
      <c r="A3490" s="42">
        <v>3855</v>
      </c>
      <c r="B3490" s="42">
        <v>17359</v>
      </c>
      <c r="C3490" s="34" t="s">
        <v>4249</v>
      </c>
    </row>
    <row r="3491" spans="1:3" ht="15.75" customHeight="1" x14ac:dyDescent="0.2">
      <c r="A3491" s="42">
        <v>3856</v>
      </c>
      <c r="B3491" s="42">
        <v>17359</v>
      </c>
      <c r="C3491" s="34" t="s">
        <v>4250</v>
      </c>
    </row>
    <row r="3492" spans="1:3" ht="15.75" customHeight="1" x14ac:dyDescent="0.2">
      <c r="A3492" s="42">
        <v>3857</v>
      </c>
      <c r="B3492" s="42">
        <v>17359</v>
      </c>
      <c r="C3492" s="34" t="s">
        <v>4251</v>
      </c>
    </row>
    <row r="3493" spans="1:3" ht="15.75" customHeight="1" x14ac:dyDescent="0.2">
      <c r="A3493" s="42">
        <v>3858</v>
      </c>
      <c r="B3493" s="42">
        <v>17359</v>
      </c>
      <c r="C3493" s="34" t="s">
        <v>4252</v>
      </c>
    </row>
    <row r="3494" spans="1:3" ht="15.75" customHeight="1" x14ac:dyDescent="0.2">
      <c r="A3494" s="42">
        <v>3859</v>
      </c>
      <c r="B3494" s="42">
        <v>17359</v>
      </c>
      <c r="C3494" s="34" t="s">
        <v>4253</v>
      </c>
    </row>
    <row r="3495" spans="1:3" ht="15.75" customHeight="1" x14ac:dyDescent="0.2">
      <c r="A3495" s="42">
        <v>3860</v>
      </c>
      <c r="B3495" s="42">
        <v>17359</v>
      </c>
      <c r="C3495" s="34" t="s">
        <v>4254</v>
      </c>
    </row>
    <row r="3496" spans="1:3" ht="15.75" customHeight="1" x14ac:dyDescent="0.2">
      <c r="A3496" s="42">
        <v>3861</v>
      </c>
      <c r="B3496" s="42">
        <v>17359</v>
      </c>
      <c r="C3496" s="34" t="s">
        <v>4255</v>
      </c>
    </row>
    <row r="3497" spans="1:3" ht="15.75" customHeight="1" x14ac:dyDescent="0.2">
      <c r="A3497" s="42">
        <v>3862</v>
      </c>
      <c r="B3497" s="42">
        <v>17359</v>
      </c>
      <c r="C3497" s="34" t="s">
        <v>4256</v>
      </c>
    </row>
    <row r="3498" spans="1:3" ht="15.75" customHeight="1" x14ac:dyDescent="0.2">
      <c r="A3498" s="42">
        <v>3863</v>
      </c>
      <c r="B3498" s="42">
        <v>17359</v>
      </c>
      <c r="C3498" s="34" t="s">
        <v>4257</v>
      </c>
    </row>
    <row r="3499" spans="1:3" ht="15.75" customHeight="1" x14ac:dyDescent="0.2">
      <c r="A3499" s="42">
        <v>3864</v>
      </c>
      <c r="B3499" s="42">
        <v>17359</v>
      </c>
      <c r="C3499" s="34" t="s">
        <v>4258</v>
      </c>
    </row>
    <row r="3500" spans="1:3" ht="15.75" customHeight="1" x14ac:dyDescent="0.2">
      <c r="A3500" s="42">
        <v>3865</v>
      </c>
      <c r="B3500" s="42">
        <v>17359</v>
      </c>
      <c r="C3500" s="34" t="s">
        <v>4259</v>
      </c>
    </row>
    <row r="3501" spans="1:3" ht="15.75" customHeight="1" x14ac:dyDescent="0.2">
      <c r="A3501" s="42">
        <v>3866</v>
      </c>
      <c r="B3501" s="42">
        <v>17359</v>
      </c>
      <c r="C3501" s="34" t="s">
        <v>4260</v>
      </c>
    </row>
    <row r="3502" spans="1:3" ht="15.75" customHeight="1" x14ac:dyDescent="0.2">
      <c r="A3502" s="42">
        <v>3867</v>
      </c>
      <c r="B3502" s="42">
        <v>17359</v>
      </c>
      <c r="C3502" s="34" t="s">
        <v>4261</v>
      </c>
    </row>
    <row r="3503" spans="1:3" ht="15.75" customHeight="1" x14ac:dyDescent="0.2">
      <c r="A3503" s="42">
        <v>3868</v>
      </c>
      <c r="B3503" s="42">
        <v>17359</v>
      </c>
      <c r="C3503" s="34" t="s">
        <v>4262</v>
      </c>
    </row>
    <row r="3504" spans="1:3" ht="15.75" customHeight="1" x14ac:dyDescent="0.2">
      <c r="A3504" s="42">
        <v>3869</v>
      </c>
      <c r="B3504" s="42">
        <v>17359</v>
      </c>
      <c r="C3504" s="34" t="s">
        <v>4263</v>
      </c>
    </row>
    <row r="3505" spans="1:3" ht="15.75" customHeight="1" x14ac:dyDescent="0.2">
      <c r="A3505" s="42">
        <v>3870</v>
      </c>
      <c r="B3505" s="42">
        <v>17359</v>
      </c>
      <c r="C3505" s="34" t="s">
        <v>4264</v>
      </c>
    </row>
    <row r="3506" spans="1:3" ht="15.75" customHeight="1" x14ac:dyDescent="0.2">
      <c r="A3506" s="42">
        <v>3871</v>
      </c>
      <c r="B3506" s="42">
        <v>17359</v>
      </c>
      <c r="C3506" s="34" t="s">
        <v>4265</v>
      </c>
    </row>
    <row r="3507" spans="1:3" ht="15.75" customHeight="1" x14ac:dyDescent="0.2">
      <c r="A3507" s="42">
        <v>3872</v>
      </c>
      <c r="B3507" s="42">
        <v>17359</v>
      </c>
      <c r="C3507" s="34" t="s">
        <v>4266</v>
      </c>
    </row>
    <row r="3508" spans="1:3" ht="15.75" customHeight="1" x14ac:dyDescent="0.2">
      <c r="A3508" s="42">
        <v>3873</v>
      </c>
      <c r="B3508" s="42">
        <v>17359</v>
      </c>
      <c r="C3508" s="34" t="s">
        <v>4267</v>
      </c>
    </row>
    <row r="3509" spans="1:3" ht="15.75" customHeight="1" x14ac:dyDescent="0.2">
      <c r="A3509" s="42">
        <v>3874</v>
      </c>
      <c r="B3509" s="42">
        <v>17359</v>
      </c>
      <c r="C3509" s="34" t="s">
        <v>4268</v>
      </c>
    </row>
    <row r="3510" spans="1:3" ht="15.75" customHeight="1" x14ac:dyDescent="0.2">
      <c r="A3510" s="42">
        <v>3875</v>
      </c>
      <c r="B3510" s="42">
        <v>17359</v>
      </c>
      <c r="C3510" s="34" t="s">
        <v>4269</v>
      </c>
    </row>
    <row r="3511" spans="1:3" ht="15.75" customHeight="1" x14ac:dyDescent="0.2">
      <c r="A3511" s="42">
        <v>3876</v>
      </c>
      <c r="B3511" s="42">
        <v>17359</v>
      </c>
      <c r="C3511" s="34" t="s">
        <v>4270</v>
      </c>
    </row>
    <row r="3512" spans="1:3" ht="15.75" customHeight="1" x14ac:dyDescent="0.2">
      <c r="A3512" s="42">
        <v>3877</v>
      </c>
      <c r="B3512" s="42">
        <v>17359</v>
      </c>
      <c r="C3512" s="34" t="s">
        <v>4271</v>
      </c>
    </row>
    <row r="3513" spans="1:3" ht="15.75" customHeight="1" x14ac:dyDescent="0.2">
      <c r="A3513" s="42">
        <v>3878</v>
      </c>
      <c r="B3513" s="42">
        <v>17359</v>
      </c>
      <c r="C3513" s="34" t="s">
        <v>4272</v>
      </c>
    </row>
    <row r="3514" spans="1:3" ht="15.75" customHeight="1" x14ac:dyDescent="0.2">
      <c r="A3514" s="42">
        <v>3879</v>
      </c>
      <c r="B3514" s="42">
        <v>17359</v>
      </c>
      <c r="C3514" s="34" t="s">
        <v>4273</v>
      </c>
    </row>
    <row r="3515" spans="1:3" ht="15.75" customHeight="1" x14ac:dyDescent="0.2">
      <c r="A3515" s="42">
        <v>3880</v>
      </c>
      <c r="B3515" s="42">
        <v>17359</v>
      </c>
      <c r="C3515" s="34" t="s">
        <v>4274</v>
      </c>
    </row>
    <row r="3516" spans="1:3" ht="15.75" customHeight="1" x14ac:dyDescent="0.2">
      <c r="A3516" s="42">
        <v>3881</v>
      </c>
      <c r="B3516" s="42">
        <v>17359</v>
      </c>
      <c r="C3516" s="34" t="s">
        <v>4275</v>
      </c>
    </row>
    <row r="3517" spans="1:3" ht="15.75" customHeight="1" x14ac:dyDescent="0.2">
      <c r="A3517" s="42">
        <v>3882</v>
      </c>
      <c r="B3517" s="42">
        <v>17359</v>
      </c>
      <c r="C3517" s="34" t="s">
        <v>4276</v>
      </c>
    </row>
    <row r="3518" spans="1:3" ht="15.75" customHeight="1" x14ac:dyDescent="0.2">
      <c r="A3518" s="42">
        <v>3883</v>
      </c>
      <c r="B3518" s="42">
        <v>17359</v>
      </c>
      <c r="C3518" s="34" t="s">
        <v>4277</v>
      </c>
    </row>
    <row r="3519" spans="1:3" ht="15.75" customHeight="1" x14ac:dyDescent="0.2">
      <c r="A3519" s="42">
        <v>3884</v>
      </c>
      <c r="B3519" s="42">
        <v>17359</v>
      </c>
      <c r="C3519" s="34" t="s">
        <v>4278</v>
      </c>
    </row>
    <row r="3520" spans="1:3" ht="15.75" customHeight="1" x14ac:dyDescent="0.2">
      <c r="A3520" s="42">
        <v>3885</v>
      </c>
      <c r="B3520" s="42">
        <v>17359</v>
      </c>
      <c r="C3520" s="34" t="s">
        <v>4238</v>
      </c>
    </row>
    <row r="3521" spans="1:3" ht="15.75" customHeight="1" x14ac:dyDescent="0.2">
      <c r="A3521" s="42">
        <v>3886</v>
      </c>
      <c r="B3521" s="42">
        <v>17359</v>
      </c>
      <c r="C3521" s="34" t="s">
        <v>4279</v>
      </c>
    </row>
    <row r="3522" spans="1:3" ht="15.75" customHeight="1" x14ac:dyDescent="0.2">
      <c r="A3522" s="42">
        <v>3887</v>
      </c>
      <c r="B3522" s="42">
        <v>17359</v>
      </c>
      <c r="C3522" s="34" t="s">
        <v>4280</v>
      </c>
    </row>
    <row r="3523" spans="1:3" ht="15.75" customHeight="1" x14ac:dyDescent="0.2">
      <c r="A3523" s="42">
        <v>3888</v>
      </c>
      <c r="B3523" s="42">
        <v>17359</v>
      </c>
      <c r="C3523" s="34" t="s">
        <v>4281</v>
      </c>
    </row>
    <row r="3524" spans="1:3" ht="15.75" customHeight="1" x14ac:dyDescent="0.2">
      <c r="A3524" s="42">
        <v>3889</v>
      </c>
      <c r="B3524" s="42">
        <v>17359</v>
      </c>
      <c r="C3524" s="34" t="s">
        <v>4282</v>
      </c>
    </row>
    <row r="3525" spans="1:3" ht="15.75" customHeight="1" x14ac:dyDescent="0.2">
      <c r="A3525" s="42">
        <v>3890</v>
      </c>
      <c r="B3525" s="42">
        <v>17359</v>
      </c>
      <c r="C3525" s="34" t="s">
        <v>4283</v>
      </c>
    </row>
    <row r="3526" spans="1:3" ht="15.75" customHeight="1" x14ac:dyDescent="0.2">
      <c r="A3526" s="42">
        <v>3891</v>
      </c>
      <c r="B3526" s="42">
        <v>17359</v>
      </c>
      <c r="C3526" s="34" t="s">
        <v>4284</v>
      </c>
    </row>
    <row r="3527" spans="1:3" ht="15.75" customHeight="1" x14ac:dyDescent="0.2">
      <c r="A3527" s="42">
        <v>3892</v>
      </c>
      <c r="B3527" s="42">
        <v>17359</v>
      </c>
      <c r="C3527" s="34" t="s">
        <v>4285</v>
      </c>
    </row>
    <row r="3528" spans="1:3" ht="15.75" customHeight="1" x14ac:dyDescent="0.2">
      <c r="A3528" s="42">
        <v>3893</v>
      </c>
      <c r="B3528" s="42">
        <v>17359</v>
      </c>
      <c r="C3528" s="34" t="s">
        <v>4286</v>
      </c>
    </row>
    <row r="3529" spans="1:3" ht="15.75" customHeight="1" x14ac:dyDescent="0.2">
      <c r="A3529" s="42">
        <v>3894</v>
      </c>
      <c r="B3529" s="42">
        <v>17359</v>
      </c>
      <c r="C3529" s="34" t="s">
        <v>4287</v>
      </c>
    </row>
    <row r="3530" spans="1:3" ht="15.75" customHeight="1" x14ac:dyDescent="0.2">
      <c r="A3530" s="42">
        <v>3895</v>
      </c>
      <c r="B3530" s="42">
        <v>17359</v>
      </c>
      <c r="C3530" s="34" t="s">
        <v>4288</v>
      </c>
    </row>
    <row r="3531" spans="1:3" ht="15.75" customHeight="1" x14ac:dyDescent="0.2">
      <c r="A3531" s="42">
        <v>3896</v>
      </c>
      <c r="B3531" s="42">
        <v>17359</v>
      </c>
      <c r="C3531" s="34" t="s">
        <v>4289</v>
      </c>
    </row>
    <row r="3532" spans="1:3" ht="15.75" customHeight="1" x14ac:dyDescent="0.2">
      <c r="A3532" s="42">
        <v>3897</v>
      </c>
      <c r="B3532" s="42">
        <v>17359</v>
      </c>
      <c r="C3532" s="34" t="s">
        <v>4290</v>
      </c>
    </row>
    <row r="3533" spans="1:3" ht="15.75" customHeight="1" x14ac:dyDescent="0.2">
      <c r="A3533" s="42">
        <v>3898</v>
      </c>
      <c r="B3533" s="42">
        <v>17359</v>
      </c>
      <c r="C3533" s="34" t="s">
        <v>4291</v>
      </c>
    </row>
    <row r="3534" spans="1:3" ht="15.75" customHeight="1" x14ac:dyDescent="0.2">
      <c r="A3534" s="42">
        <v>3899</v>
      </c>
      <c r="B3534" s="42">
        <v>17359</v>
      </c>
      <c r="C3534" s="34" t="s">
        <v>4292</v>
      </c>
    </row>
    <row r="3535" spans="1:3" ht="15.75" customHeight="1" x14ac:dyDescent="0.2">
      <c r="A3535" s="42">
        <v>3900</v>
      </c>
      <c r="B3535" s="42">
        <v>17359</v>
      </c>
      <c r="C3535" s="34" t="s">
        <v>4293</v>
      </c>
    </row>
    <row r="3536" spans="1:3" ht="15.75" customHeight="1" x14ac:dyDescent="0.2">
      <c r="A3536" s="42">
        <v>3901</v>
      </c>
      <c r="B3536" s="42">
        <v>17359</v>
      </c>
      <c r="C3536" s="34" t="s">
        <v>4294</v>
      </c>
    </row>
    <row r="3537" spans="1:3" ht="15.75" customHeight="1" x14ac:dyDescent="0.2">
      <c r="A3537" s="42">
        <v>3902</v>
      </c>
      <c r="B3537" s="42">
        <v>17359</v>
      </c>
      <c r="C3537" s="34" t="s">
        <v>4295</v>
      </c>
    </row>
    <row r="3538" spans="1:3" ht="15.75" customHeight="1" x14ac:dyDescent="0.2">
      <c r="A3538" s="42">
        <v>3903</v>
      </c>
      <c r="B3538" s="42">
        <v>17359</v>
      </c>
      <c r="C3538" s="34" t="s">
        <v>4296</v>
      </c>
    </row>
    <row r="3539" spans="1:3" ht="15.75" customHeight="1" x14ac:dyDescent="0.2">
      <c r="A3539" s="42">
        <v>3904</v>
      </c>
      <c r="B3539" s="42">
        <v>17359</v>
      </c>
      <c r="C3539" s="34" t="s">
        <v>4297</v>
      </c>
    </row>
    <row r="3540" spans="1:3" ht="15.75" customHeight="1" x14ac:dyDescent="0.2">
      <c r="A3540" s="42">
        <v>3905</v>
      </c>
      <c r="B3540" s="42">
        <v>17359</v>
      </c>
      <c r="C3540" s="34" t="s">
        <v>4298</v>
      </c>
    </row>
    <row r="3541" spans="1:3" ht="15.75" customHeight="1" x14ac:dyDescent="0.2">
      <c r="A3541" s="42">
        <v>3906</v>
      </c>
      <c r="B3541" s="42">
        <v>17359</v>
      </c>
      <c r="C3541" s="34" t="s">
        <v>4299</v>
      </c>
    </row>
    <row r="3542" spans="1:3" ht="15.75" customHeight="1" x14ac:dyDescent="0.2">
      <c r="A3542" s="42">
        <v>3907</v>
      </c>
      <c r="B3542" s="42">
        <v>17359</v>
      </c>
      <c r="C3542" s="34" t="s">
        <v>4226</v>
      </c>
    </row>
    <row r="3543" spans="1:3" ht="15.75" customHeight="1" x14ac:dyDescent="0.2">
      <c r="A3543" s="42">
        <v>3908</v>
      </c>
      <c r="B3543" s="42">
        <v>17359</v>
      </c>
      <c r="C3543" s="34" t="s">
        <v>4300</v>
      </c>
    </row>
    <row r="3544" spans="1:3" ht="15.75" customHeight="1" x14ac:dyDescent="0.2">
      <c r="A3544" s="42">
        <v>3909</v>
      </c>
      <c r="B3544" s="42">
        <v>17359</v>
      </c>
      <c r="C3544" s="34" t="s">
        <v>4301</v>
      </c>
    </row>
    <row r="3545" spans="1:3" ht="15.75" customHeight="1" x14ac:dyDescent="0.2">
      <c r="A3545" s="42">
        <v>3910</v>
      </c>
      <c r="B3545" s="42">
        <v>17359</v>
      </c>
      <c r="C3545" s="34" t="s">
        <v>4302</v>
      </c>
    </row>
    <row r="3546" spans="1:3" ht="15.75" customHeight="1" x14ac:dyDescent="0.2">
      <c r="A3546" s="42">
        <v>3911</v>
      </c>
      <c r="B3546" s="42">
        <v>17359</v>
      </c>
      <c r="C3546" s="34" t="s">
        <v>4303</v>
      </c>
    </row>
    <row r="3547" spans="1:3" ht="15.75" customHeight="1" x14ac:dyDescent="0.2">
      <c r="A3547" s="42">
        <v>3912</v>
      </c>
      <c r="B3547" s="42">
        <v>17359</v>
      </c>
      <c r="C3547" s="34" t="s">
        <v>4304</v>
      </c>
    </row>
    <row r="3548" spans="1:3" ht="15.75" customHeight="1" x14ac:dyDescent="0.2">
      <c r="A3548" s="42">
        <v>3913</v>
      </c>
      <c r="B3548" s="42">
        <v>17359</v>
      </c>
      <c r="C3548" s="34" t="s">
        <v>4305</v>
      </c>
    </row>
    <row r="3549" spans="1:3" ht="15.75" customHeight="1" x14ac:dyDescent="0.2">
      <c r="A3549" s="42">
        <v>3914</v>
      </c>
      <c r="B3549" s="42">
        <v>17365</v>
      </c>
      <c r="C3549" s="34" t="s">
        <v>4306</v>
      </c>
    </row>
    <row r="3550" spans="1:3" ht="15.75" customHeight="1" x14ac:dyDescent="0.2">
      <c r="A3550" s="42">
        <v>3915</v>
      </c>
      <c r="B3550" s="42">
        <v>17365</v>
      </c>
      <c r="C3550" s="34" t="s">
        <v>4307</v>
      </c>
    </row>
    <row r="3551" spans="1:3" ht="15.75" customHeight="1" x14ac:dyDescent="0.2">
      <c r="A3551" s="42">
        <v>3916</v>
      </c>
      <c r="B3551" s="42">
        <v>17365</v>
      </c>
      <c r="C3551" s="34" t="s">
        <v>4308</v>
      </c>
    </row>
    <row r="3552" spans="1:3" ht="15.75" customHeight="1" x14ac:dyDescent="0.2">
      <c r="A3552" s="42">
        <v>3917</v>
      </c>
      <c r="B3552" s="42">
        <v>17365</v>
      </c>
      <c r="C3552" s="34" t="s">
        <v>4309</v>
      </c>
    </row>
    <row r="3553" spans="1:3" ht="15.75" customHeight="1" x14ac:dyDescent="0.2">
      <c r="A3553" s="42">
        <v>3918</v>
      </c>
      <c r="B3553" s="42">
        <v>17365</v>
      </c>
      <c r="C3553" s="34" t="s">
        <v>4310</v>
      </c>
    </row>
    <row r="3554" spans="1:3" ht="15.75" customHeight="1" x14ac:dyDescent="0.2">
      <c r="A3554" s="42">
        <v>3919</v>
      </c>
      <c r="B3554" s="42">
        <v>17365</v>
      </c>
      <c r="C3554" s="34" t="s">
        <v>4311</v>
      </c>
    </row>
    <row r="3555" spans="1:3" ht="15.75" customHeight="1" x14ac:dyDescent="0.2">
      <c r="A3555" s="42">
        <v>3920</v>
      </c>
      <c r="B3555" s="42">
        <v>17365</v>
      </c>
      <c r="C3555" s="34" t="s">
        <v>4312</v>
      </c>
    </row>
    <row r="3556" spans="1:3" ht="15.75" customHeight="1" x14ac:dyDescent="0.2">
      <c r="A3556" s="42">
        <v>3921</v>
      </c>
      <c r="B3556" s="42">
        <v>17365</v>
      </c>
      <c r="C3556" s="34" t="s">
        <v>4313</v>
      </c>
    </row>
    <row r="3557" spans="1:3" ht="15.75" customHeight="1" x14ac:dyDescent="0.2">
      <c r="A3557" s="42">
        <v>3922</v>
      </c>
      <c r="B3557" s="42">
        <v>17365</v>
      </c>
      <c r="C3557" s="34" t="s">
        <v>4314</v>
      </c>
    </row>
    <row r="3558" spans="1:3" ht="15.75" customHeight="1" x14ac:dyDescent="0.2">
      <c r="A3558" s="42">
        <v>3923</v>
      </c>
      <c r="B3558" s="42">
        <v>17365</v>
      </c>
      <c r="C3558" s="34" t="s">
        <v>4315</v>
      </c>
    </row>
    <row r="3559" spans="1:3" ht="15.75" customHeight="1" x14ac:dyDescent="0.2">
      <c r="A3559" s="42">
        <v>3924</v>
      </c>
      <c r="B3559" s="42">
        <v>17365</v>
      </c>
      <c r="C3559" s="34" t="s">
        <v>4316</v>
      </c>
    </row>
    <row r="3560" spans="1:3" ht="15.75" customHeight="1" x14ac:dyDescent="0.2">
      <c r="A3560" s="42">
        <v>3925</v>
      </c>
      <c r="B3560" s="42">
        <v>17365</v>
      </c>
      <c r="C3560" s="34" t="s">
        <v>4317</v>
      </c>
    </row>
    <row r="3561" spans="1:3" ht="15.75" customHeight="1" x14ac:dyDescent="0.2">
      <c r="A3561" s="42">
        <v>3926</v>
      </c>
      <c r="B3561" s="42">
        <v>17365</v>
      </c>
      <c r="C3561" s="34" t="s">
        <v>4318</v>
      </c>
    </row>
    <row r="3562" spans="1:3" ht="15.75" customHeight="1" x14ac:dyDescent="0.2">
      <c r="A3562" s="42">
        <v>3927</v>
      </c>
      <c r="B3562" s="42">
        <v>17365</v>
      </c>
      <c r="C3562" s="34" t="s">
        <v>4319</v>
      </c>
    </row>
    <row r="3563" spans="1:3" ht="15.75" customHeight="1" x14ac:dyDescent="0.2">
      <c r="A3563" s="42">
        <v>3928</v>
      </c>
      <c r="B3563" s="42">
        <v>17365</v>
      </c>
      <c r="C3563" s="34" t="s">
        <v>4320</v>
      </c>
    </row>
    <row r="3564" spans="1:3" ht="15.75" customHeight="1" x14ac:dyDescent="0.2">
      <c r="A3564" s="42">
        <v>3929</v>
      </c>
      <c r="B3564" s="42">
        <v>17365</v>
      </c>
      <c r="C3564" s="34" t="s">
        <v>4321</v>
      </c>
    </row>
    <row r="3565" spans="1:3" ht="15.75" customHeight="1" x14ac:dyDescent="0.2">
      <c r="A3565" s="42">
        <v>3930</v>
      </c>
      <c r="B3565" s="42">
        <v>17365</v>
      </c>
      <c r="C3565" s="34" t="s">
        <v>4315</v>
      </c>
    </row>
    <row r="3566" spans="1:3" ht="15.75" customHeight="1" x14ac:dyDescent="0.2">
      <c r="A3566" s="42">
        <v>3931</v>
      </c>
      <c r="B3566" s="42">
        <v>17365</v>
      </c>
      <c r="C3566" s="34" t="s">
        <v>4308</v>
      </c>
    </row>
    <row r="3567" spans="1:3" ht="15.75" customHeight="1" x14ac:dyDescent="0.2">
      <c r="A3567" s="42">
        <v>3932</v>
      </c>
      <c r="B3567" s="42">
        <v>17365</v>
      </c>
      <c r="C3567" s="34" t="s">
        <v>4322</v>
      </c>
    </row>
    <row r="3568" spans="1:3" ht="15.75" customHeight="1" x14ac:dyDescent="0.2">
      <c r="A3568" s="42">
        <v>3933</v>
      </c>
      <c r="B3568" s="42">
        <v>17365</v>
      </c>
      <c r="C3568" s="34" t="s">
        <v>4323</v>
      </c>
    </row>
    <row r="3569" spans="1:3" ht="15.75" customHeight="1" x14ac:dyDescent="0.2">
      <c r="A3569" s="42">
        <v>3934</v>
      </c>
      <c r="B3569" s="42">
        <v>17365</v>
      </c>
      <c r="C3569" s="34" t="s">
        <v>4324</v>
      </c>
    </row>
    <row r="3570" spans="1:3" ht="15.75" customHeight="1" x14ac:dyDescent="0.2">
      <c r="A3570" s="42">
        <v>3935</v>
      </c>
      <c r="B3570" s="42">
        <v>17365</v>
      </c>
      <c r="C3570" s="34" t="s">
        <v>4325</v>
      </c>
    </row>
    <row r="3571" spans="1:3" ht="15.75" customHeight="1" x14ac:dyDescent="0.2">
      <c r="A3571" s="42">
        <v>3936</v>
      </c>
      <c r="B3571" s="42">
        <v>17365</v>
      </c>
      <c r="C3571" s="34" t="s">
        <v>4326</v>
      </c>
    </row>
    <row r="3572" spans="1:3" ht="15.75" customHeight="1" x14ac:dyDescent="0.2">
      <c r="A3572" s="42">
        <v>3937</v>
      </c>
      <c r="B3572" s="42">
        <v>17365</v>
      </c>
      <c r="C3572" s="34" t="s">
        <v>4327</v>
      </c>
    </row>
    <row r="3573" spans="1:3" ht="15.75" customHeight="1" x14ac:dyDescent="0.2">
      <c r="A3573" s="42">
        <v>3938</v>
      </c>
      <c r="B3573" s="42">
        <v>17365</v>
      </c>
      <c r="C3573" s="34" t="s">
        <v>4328</v>
      </c>
    </row>
    <row r="3574" spans="1:3" ht="15.75" customHeight="1" x14ac:dyDescent="0.2">
      <c r="A3574" s="42">
        <v>3939</v>
      </c>
      <c r="B3574" s="42">
        <v>17365</v>
      </c>
      <c r="C3574" s="34" t="s">
        <v>4329</v>
      </c>
    </row>
    <row r="3575" spans="1:3" ht="15.75" customHeight="1" x14ac:dyDescent="0.2">
      <c r="A3575" s="42">
        <v>3940</v>
      </c>
      <c r="B3575" s="42">
        <v>17365</v>
      </c>
      <c r="C3575" s="34" t="s">
        <v>4330</v>
      </c>
    </row>
    <row r="3576" spans="1:3" ht="15.75" customHeight="1" x14ac:dyDescent="0.2">
      <c r="A3576" s="42">
        <v>3941</v>
      </c>
      <c r="B3576" s="42">
        <v>17365</v>
      </c>
      <c r="C3576" s="34" t="s">
        <v>4331</v>
      </c>
    </row>
    <row r="3577" spans="1:3" ht="15.75" customHeight="1" x14ac:dyDescent="0.2">
      <c r="A3577" s="42">
        <v>3942</v>
      </c>
      <c r="B3577" s="42">
        <v>17365</v>
      </c>
      <c r="C3577" s="34" t="s">
        <v>4332</v>
      </c>
    </row>
    <row r="3578" spans="1:3" ht="15.75" customHeight="1" x14ac:dyDescent="0.2">
      <c r="A3578" s="42">
        <v>3943</v>
      </c>
      <c r="B3578" s="42">
        <v>17365</v>
      </c>
      <c r="C3578" s="34" t="s">
        <v>4333</v>
      </c>
    </row>
    <row r="3579" spans="1:3" ht="15.75" customHeight="1" x14ac:dyDescent="0.2">
      <c r="A3579" s="42">
        <v>3944</v>
      </c>
      <c r="B3579" s="42">
        <v>17365</v>
      </c>
      <c r="C3579" s="34" t="s">
        <v>4334</v>
      </c>
    </row>
    <row r="3580" spans="1:3" ht="15.75" customHeight="1" x14ac:dyDescent="0.2">
      <c r="A3580" s="42">
        <v>3945</v>
      </c>
      <c r="B3580" s="42">
        <v>17365</v>
      </c>
      <c r="C3580" s="34" t="s">
        <v>4335</v>
      </c>
    </row>
    <row r="3581" spans="1:3" ht="15.75" customHeight="1" x14ac:dyDescent="0.2">
      <c r="A3581" s="42">
        <v>3946</v>
      </c>
      <c r="B3581" s="42">
        <v>17365</v>
      </c>
      <c r="C3581" s="34" t="s">
        <v>4336</v>
      </c>
    </row>
    <row r="3582" spans="1:3" ht="15.75" customHeight="1" x14ac:dyDescent="0.2">
      <c r="A3582" s="42">
        <v>3947</v>
      </c>
      <c r="B3582" s="42">
        <v>17365</v>
      </c>
      <c r="C3582" s="34" t="s">
        <v>4337</v>
      </c>
    </row>
    <row r="3583" spans="1:3" ht="15.75" customHeight="1" x14ac:dyDescent="0.2">
      <c r="A3583" s="42">
        <v>3948</v>
      </c>
      <c r="B3583" s="42">
        <v>17365</v>
      </c>
      <c r="C3583" s="34" t="s">
        <v>4338</v>
      </c>
    </row>
    <row r="3584" spans="1:3" ht="15.75" customHeight="1" x14ac:dyDescent="0.2">
      <c r="A3584" s="42">
        <v>3949</v>
      </c>
      <c r="B3584" s="42">
        <v>17365</v>
      </c>
      <c r="C3584" s="34" t="s">
        <v>4339</v>
      </c>
    </row>
    <row r="3585" spans="1:3" ht="15.75" customHeight="1" x14ac:dyDescent="0.2">
      <c r="A3585" s="42">
        <v>3950</v>
      </c>
      <c r="B3585" s="42">
        <v>17365</v>
      </c>
      <c r="C3585" s="34" t="s">
        <v>4340</v>
      </c>
    </row>
    <row r="3586" spans="1:3" ht="15.75" customHeight="1" x14ac:dyDescent="0.2">
      <c r="A3586" s="42">
        <v>3951</v>
      </c>
      <c r="B3586" s="42">
        <v>17365</v>
      </c>
      <c r="C3586" s="34" t="s">
        <v>4341</v>
      </c>
    </row>
    <row r="3587" spans="1:3" ht="15.75" customHeight="1" x14ac:dyDescent="0.2">
      <c r="A3587" s="42">
        <v>3952</v>
      </c>
      <c r="B3587" s="42">
        <v>17365</v>
      </c>
      <c r="C3587" s="34" t="s">
        <v>4342</v>
      </c>
    </row>
    <row r="3588" spans="1:3" ht="15.75" customHeight="1" x14ac:dyDescent="0.2">
      <c r="A3588" s="42">
        <v>3953</v>
      </c>
      <c r="B3588" s="42">
        <v>17365</v>
      </c>
      <c r="C3588" s="34" t="s">
        <v>4329</v>
      </c>
    </row>
    <row r="3589" spans="1:3" ht="15.75" customHeight="1" x14ac:dyDescent="0.2">
      <c r="A3589" s="42">
        <v>3954</v>
      </c>
      <c r="B3589" s="42">
        <v>17365</v>
      </c>
      <c r="C3589" s="34" t="s">
        <v>4306</v>
      </c>
    </row>
    <row r="3590" spans="1:3" ht="15.75" customHeight="1" x14ac:dyDescent="0.2">
      <c r="A3590" s="42">
        <v>3955</v>
      </c>
      <c r="B3590" s="42">
        <v>17365</v>
      </c>
      <c r="C3590" s="34" t="s">
        <v>4343</v>
      </c>
    </row>
    <row r="3591" spans="1:3" ht="15.75" customHeight="1" x14ac:dyDescent="0.2">
      <c r="A3591" s="42">
        <v>3956</v>
      </c>
      <c r="B3591" s="42">
        <v>17365</v>
      </c>
      <c r="C3591" s="34" t="s">
        <v>4344</v>
      </c>
    </row>
    <row r="3592" spans="1:3" ht="15.75" customHeight="1" x14ac:dyDescent="0.2">
      <c r="A3592" s="42">
        <v>3957</v>
      </c>
      <c r="B3592" s="42">
        <v>17365</v>
      </c>
      <c r="C3592" s="34" t="s">
        <v>4345</v>
      </c>
    </row>
    <row r="3593" spans="1:3" ht="15.75" customHeight="1" x14ac:dyDescent="0.2">
      <c r="A3593" s="42">
        <v>3958</v>
      </c>
      <c r="B3593" s="42">
        <v>17365</v>
      </c>
      <c r="C3593" s="34" t="s">
        <v>4346</v>
      </c>
    </row>
    <row r="3594" spans="1:3" ht="15.75" customHeight="1" x14ac:dyDescent="0.2">
      <c r="A3594" s="42">
        <v>3959</v>
      </c>
      <c r="B3594" s="42">
        <v>17365</v>
      </c>
      <c r="C3594" s="34" t="s">
        <v>4347</v>
      </c>
    </row>
    <row r="3595" spans="1:3" ht="15.75" customHeight="1" x14ac:dyDescent="0.2">
      <c r="A3595" s="42">
        <v>3960</v>
      </c>
      <c r="B3595" s="42">
        <v>17365</v>
      </c>
      <c r="C3595" s="34" t="s">
        <v>4348</v>
      </c>
    </row>
    <row r="3596" spans="1:3" ht="15.75" customHeight="1" x14ac:dyDescent="0.2">
      <c r="A3596" s="42">
        <v>3961</v>
      </c>
      <c r="B3596" s="42">
        <v>17365</v>
      </c>
      <c r="C3596" s="34" t="s">
        <v>4315</v>
      </c>
    </row>
    <row r="3597" spans="1:3" ht="15.75" customHeight="1" x14ac:dyDescent="0.2">
      <c r="A3597" s="42">
        <v>3962</v>
      </c>
      <c r="B3597" s="42">
        <v>17365</v>
      </c>
      <c r="C3597" s="34" t="s">
        <v>4349</v>
      </c>
    </row>
    <row r="3598" spans="1:3" ht="15.75" customHeight="1" x14ac:dyDescent="0.2">
      <c r="A3598" s="42">
        <v>3963</v>
      </c>
      <c r="B3598" s="42">
        <v>17365</v>
      </c>
      <c r="C3598" s="34" t="s">
        <v>4348</v>
      </c>
    </row>
    <row r="3599" spans="1:3" ht="15.75" customHeight="1" x14ac:dyDescent="0.2">
      <c r="A3599" s="42">
        <v>3964</v>
      </c>
      <c r="B3599" s="42">
        <v>17365</v>
      </c>
      <c r="C3599" s="34" t="s">
        <v>4350</v>
      </c>
    </row>
    <row r="3600" spans="1:3" ht="15.75" customHeight="1" x14ac:dyDescent="0.2">
      <c r="A3600" s="42">
        <v>3965</v>
      </c>
      <c r="B3600" s="42">
        <v>17365</v>
      </c>
      <c r="C3600" s="34" t="s">
        <v>4351</v>
      </c>
    </row>
    <row r="3601" spans="1:3" ht="15.75" customHeight="1" x14ac:dyDescent="0.2">
      <c r="A3601" s="42">
        <v>3966</v>
      </c>
      <c r="B3601" s="42">
        <v>17365</v>
      </c>
      <c r="C3601" s="34" t="s">
        <v>4352</v>
      </c>
    </row>
    <row r="3602" spans="1:3" ht="15.75" customHeight="1" x14ac:dyDescent="0.2">
      <c r="A3602" s="42">
        <v>3967</v>
      </c>
      <c r="B3602" s="42">
        <v>17365</v>
      </c>
      <c r="C3602" s="34" t="s">
        <v>4353</v>
      </c>
    </row>
    <row r="3603" spans="1:3" ht="15.75" customHeight="1" x14ac:dyDescent="0.2">
      <c r="A3603" s="42">
        <v>3968</v>
      </c>
      <c r="B3603" s="42">
        <v>17365</v>
      </c>
      <c r="C3603" s="34" t="s">
        <v>4354</v>
      </c>
    </row>
    <row r="3604" spans="1:3" ht="15.75" customHeight="1" x14ac:dyDescent="0.2">
      <c r="A3604" s="42">
        <v>3969</v>
      </c>
      <c r="B3604" s="42">
        <v>17365</v>
      </c>
      <c r="C3604" s="34" t="s">
        <v>4355</v>
      </c>
    </row>
    <row r="3605" spans="1:3" ht="15.75" customHeight="1" x14ac:dyDescent="0.2">
      <c r="A3605" s="42">
        <v>3970</v>
      </c>
      <c r="B3605" s="42">
        <v>17365</v>
      </c>
      <c r="C3605" s="34" t="s">
        <v>4356</v>
      </c>
    </row>
    <row r="3606" spans="1:3" ht="15.75" customHeight="1" x14ac:dyDescent="0.2">
      <c r="A3606" s="42">
        <v>3971</v>
      </c>
      <c r="B3606" s="42">
        <v>17365</v>
      </c>
      <c r="C3606" s="34" t="s">
        <v>4357</v>
      </c>
    </row>
    <row r="3607" spans="1:3" ht="15.75" customHeight="1" x14ac:dyDescent="0.2">
      <c r="A3607" s="42">
        <v>3972</v>
      </c>
      <c r="B3607" s="42">
        <v>17365</v>
      </c>
      <c r="C3607" s="34" t="s">
        <v>4358</v>
      </c>
    </row>
    <row r="3608" spans="1:3" ht="15.75" customHeight="1" x14ac:dyDescent="0.2">
      <c r="A3608" s="42">
        <v>3973</v>
      </c>
      <c r="B3608" s="42">
        <v>17365</v>
      </c>
      <c r="C3608" s="34" t="s">
        <v>4359</v>
      </c>
    </row>
    <row r="3609" spans="1:3" ht="15.75" customHeight="1" x14ac:dyDescent="0.2">
      <c r="A3609" s="42">
        <v>3974</v>
      </c>
      <c r="B3609" s="42">
        <v>17365</v>
      </c>
      <c r="C3609" s="34" t="s">
        <v>4360</v>
      </c>
    </row>
    <row r="3610" spans="1:3" ht="15.75" customHeight="1" x14ac:dyDescent="0.2">
      <c r="A3610" s="42">
        <v>3975</v>
      </c>
      <c r="B3610" s="42">
        <v>17365</v>
      </c>
      <c r="C3610" s="34" t="s">
        <v>4361</v>
      </c>
    </row>
    <row r="3611" spans="1:3" ht="15.75" customHeight="1" x14ac:dyDescent="0.2">
      <c r="A3611" s="42">
        <v>3976</v>
      </c>
      <c r="B3611" s="42">
        <v>17365</v>
      </c>
      <c r="C3611" s="34" t="s">
        <v>4362</v>
      </c>
    </row>
    <row r="3612" spans="1:3" ht="15.75" customHeight="1" x14ac:dyDescent="0.2">
      <c r="A3612" s="42">
        <v>3977</v>
      </c>
      <c r="B3612" s="42">
        <v>17365</v>
      </c>
      <c r="C3612" s="34" t="s">
        <v>4363</v>
      </c>
    </row>
    <row r="3613" spans="1:3" ht="15.75" customHeight="1" x14ac:dyDescent="0.2">
      <c r="A3613" s="42">
        <v>3978</v>
      </c>
      <c r="B3613" s="42">
        <v>17365</v>
      </c>
      <c r="C3613" s="34" t="s">
        <v>4364</v>
      </c>
    </row>
    <row r="3614" spans="1:3" ht="15.75" customHeight="1" x14ac:dyDescent="0.2">
      <c r="A3614" s="42">
        <v>3979</v>
      </c>
      <c r="B3614" s="42">
        <v>17365</v>
      </c>
      <c r="C3614" s="34" t="s">
        <v>4365</v>
      </c>
    </row>
    <row r="3615" spans="1:3" ht="15.75" customHeight="1" x14ac:dyDescent="0.2">
      <c r="A3615" s="42">
        <v>3980</v>
      </c>
      <c r="B3615" s="42">
        <v>17365</v>
      </c>
      <c r="C3615" s="34" t="s">
        <v>4324</v>
      </c>
    </row>
    <row r="3616" spans="1:3" ht="15.75" customHeight="1" x14ac:dyDescent="0.2">
      <c r="A3616" s="42">
        <v>3981</v>
      </c>
      <c r="B3616" s="42">
        <v>17365</v>
      </c>
      <c r="C3616" s="34" t="s">
        <v>4366</v>
      </c>
    </row>
    <row r="3617" spans="1:3" ht="15.75" customHeight="1" x14ac:dyDescent="0.2">
      <c r="A3617" s="42">
        <v>3982</v>
      </c>
      <c r="B3617" s="42">
        <v>17365</v>
      </c>
      <c r="C3617" s="34" t="s">
        <v>4367</v>
      </c>
    </row>
    <row r="3618" spans="1:3" ht="15.75" customHeight="1" x14ac:dyDescent="0.2">
      <c r="A3618" s="42">
        <v>3983</v>
      </c>
      <c r="B3618" s="42">
        <v>17365</v>
      </c>
      <c r="C3618" s="34" t="s">
        <v>4368</v>
      </c>
    </row>
    <row r="3619" spans="1:3" ht="15.75" customHeight="1" x14ac:dyDescent="0.2">
      <c r="A3619" s="42">
        <v>3984</v>
      </c>
      <c r="B3619" s="42">
        <v>17365</v>
      </c>
      <c r="C3619" s="34" t="s">
        <v>4369</v>
      </c>
    </row>
    <row r="3620" spans="1:3" ht="15.75" customHeight="1" x14ac:dyDescent="0.2">
      <c r="A3620" s="42">
        <v>3985</v>
      </c>
      <c r="B3620" s="42">
        <v>17366</v>
      </c>
      <c r="C3620" s="34" t="s">
        <v>4370</v>
      </c>
    </row>
    <row r="3621" spans="1:3" ht="15.75" customHeight="1" x14ac:dyDescent="0.2">
      <c r="A3621" s="42">
        <v>3986</v>
      </c>
      <c r="B3621" s="42">
        <v>17366</v>
      </c>
      <c r="C3621" s="34" t="s">
        <v>4371</v>
      </c>
    </row>
    <row r="3622" spans="1:3" ht="15.75" customHeight="1" x14ac:dyDescent="0.2">
      <c r="A3622" s="42">
        <v>3987</v>
      </c>
      <c r="B3622" s="42">
        <v>17366</v>
      </c>
      <c r="C3622" s="34" t="s">
        <v>4372</v>
      </c>
    </row>
    <row r="3623" spans="1:3" ht="15.75" customHeight="1" x14ac:dyDescent="0.2">
      <c r="A3623" s="42">
        <v>3988</v>
      </c>
      <c r="B3623" s="42">
        <v>17366</v>
      </c>
      <c r="C3623" s="34" t="s">
        <v>4373</v>
      </c>
    </row>
    <row r="3624" spans="1:3" ht="15.75" customHeight="1" x14ac:dyDescent="0.2">
      <c r="A3624" s="42">
        <v>3989</v>
      </c>
      <c r="B3624" s="42">
        <v>17366</v>
      </c>
      <c r="C3624" s="34" t="s">
        <v>4374</v>
      </c>
    </row>
    <row r="3625" spans="1:3" ht="15.75" customHeight="1" x14ac:dyDescent="0.2">
      <c r="A3625" s="42">
        <v>3990</v>
      </c>
      <c r="B3625" s="42">
        <v>17366</v>
      </c>
      <c r="C3625" s="34" t="s">
        <v>4375</v>
      </c>
    </row>
    <row r="3626" spans="1:3" ht="15.75" customHeight="1" x14ac:dyDescent="0.2">
      <c r="A3626" s="42">
        <v>3991</v>
      </c>
      <c r="B3626" s="42">
        <v>17366</v>
      </c>
      <c r="C3626" s="34" t="s">
        <v>4376</v>
      </c>
    </row>
    <row r="3627" spans="1:3" ht="15.75" customHeight="1" x14ac:dyDescent="0.2">
      <c r="A3627" s="42">
        <v>3992</v>
      </c>
      <c r="B3627" s="42">
        <v>17366</v>
      </c>
      <c r="C3627" s="34" t="s">
        <v>4377</v>
      </c>
    </row>
    <row r="3628" spans="1:3" ht="15.75" customHeight="1" x14ac:dyDescent="0.2">
      <c r="A3628" s="42">
        <v>3993</v>
      </c>
      <c r="B3628" s="42">
        <v>17366</v>
      </c>
      <c r="C3628" s="34" t="s">
        <v>4378</v>
      </c>
    </row>
    <row r="3629" spans="1:3" ht="15.75" customHeight="1" x14ac:dyDescent="0.2">
      <c r="A3629" s="42">
        <v>3994</v>
      </c>
      <c r="B3629" s="42">
        <v>17366</v>
      </c>
      <c r="C3629" s="34" t="s">
        <v>4376</v>
      </c>
    </row>
    <row r="3630" spans="1:3" ht="15.75" customHeight="1" x14ac:dyDescent="0.2">
      <c r="A3630" s="42">
        <v>3995</v>
      </c>
      <c r="B3630" s="42">
        <v>17366</v>
      </c>
      <c r="C3630" s="34" t="s">
        <v>4379</v>
      </c>
    </row>
    <row r="3631" spans="1:3" ht="15.75" customHeight="1" x14ac:dyDescent="0.2">
      <c r="A3631" s="42">
        <v>3996</v>
      </c>
      <c r="B3631" s="42">
        <v>17366</v>
      </c>
      <c r="C3631" s="34" t="s">
        <v>4380</v>
      </c>
    </row>
    <row r="3632" spans="1:3" ht="15.75" customHeight="1" x14ac:dyDescent="0.2">
      <c r="A3632" s="42">
        <v>3997</v>
      </c>
      <c r="B3632" s="42">
        <v>17366</v>
      </c>
      <c r="C3632" s="34" t="s">
        <v>4381</v>
      </c>
    </row>
    <row r="3633" spans="1:3" ht="15.75" customHeight="1" x14ac:dyDescent="0.2">
      <c r="A3633" s="42">
        <v>3998</v>
      </c>
      <c r="B3633" s="42">
        <v>17366</v>
      </c>
      <c r="C3633" s="34" t="s">
        <v>4382</v>
      </c>
    </row>
    <row r="3634" spans="1:3" ht="15.75" customHeight="1" x14ac:dyDescent="0.2">
      <c r="A3634" s="42">
        <v>3999</v>
      </c>
      <c r="B3634" s="42">
        <v>17366</v>
      </c>
      <c r="C3634" s="34" t="s">
        <v>4383</v>
      </c>
    </row>
    <row r="3635" spans="1:3" ht="15.75" customHeight="1" x14ac:dyDescent="0.2">
      <c r="A3635" s="42">
        <v>4000</v>
      </c>
      <c r="B3635" s="42">
        <v>17366</v>
      </c>
      <c r="C3635" s="34" t="s">
        <v>4384</v>
      </c>
    </row>
    <row r="3636" spans="1:3" ht="15.75" customHeight="1" x14ac:dyDescent="0.2">
      <c r="A3636" s="42">
        <v>4001</v>
      </c>
      <c r="B3636" s="42">
        <v>17366</v>
      </c>
      <c r="C3636" s="34" t="s">
        <v>4385</v>
      </c>
    </row>
    <row r="3637" spans="1:3" ht="15.75" customHeight="1" x14ac:dyDescent="0.2">
      <c r="A3637" s="42">
        <v>4002</v>
      </c>
      <c r="B3637" s="42">
        <v>17366</v>
      </c>
      <c r="C3637" s="34" t="s">
        <v>4372</v>
      </c>
    </row>
    <row r="3638" spans="1:3" ht="15.75" customHeight="1" x14ac:dyDescent="0.2">
      <c r="A3638" s="42">
        <v>4003</v>
      </c>
      <c r="B3638" s="42">
        <v>17366</v>
      </c>
      <c r="C3638" s="34" t="s">
        <v>4386</v>
      </c>
    </row>
    <row r="3639" spans="1:3" ht="15.75" customHeight="1" x14ac:dyDescent="0.2">
      <c r="A3639" s="42">
        <v>4004</v>
      </c>
      <c r="B3639" s="42">
        <v>17366</v>
      </c>
      <c r="C3639" s="34" t="s">
        <v>4387</v>
      </c>
    </row>
    <row r="3640" spans="1:3" ht="15.75" customHeight="1" x14ac:dyDescent="0.2">
      <c r="A3640" s="42">
        <v>4005</v>
      </c>
      <c r="B3640" s="42">
        <v>17366</v>
      </c>
      <c r="C3640" s="34" t="s">
        <v>4388</v>
      </c>
    </row>
    <row r="3641" spans="1:3" ht="15.75" customHeight="1" x14ac:dyDescent="0.2">
      <c r="A3641" s="42">
        <v>4006</v>
      </c>
      <c r="B3641" s="42">
        <v>17366</v>
      </c>
      <c r="C3641" s="34" t="s">
        <v>4389</v>
      </c>
    </row>
    <row r="3642" spans="1:3" ht="15.75" customHeight="1" x14ac:dyDescent="0.2">
      <c r="A3642" s="42">
        <v>4007</v>
      </c>
      <c r="B3642" s="42">
        <v>17366</v>
      </c>
      <c r="C3642" s="34" t="s">
        <v>4390</v>
      </c>
    </row>
    <row r="3643" spans="1:3" ht="15.75" customHeight="1" x14ac:dyDescent="0.2">
      <c r="A3643" s="42">
        <v>4008</v>
      </c>
      <c r="B3643" s="42">
        <v>17366</v>
      </c>
      <c r="C3643" s="34" t="s">
        <v>4391</v>
      </c>
    </row>
    <row r="3644" spans="1:3" ht="15.75" customHeight="1" x14ac:dyDescent="0.2">
      <c r="A3644" s="42">
        <v>4009</v>
      </c>
      <c r="B3644" s="42">
        <v>17366</v>
      </c>
      <c r="C3644" s="34" t="s">
        <v>4392</v>
      </c>
    </row>
    <row r="3645" spans="1:3" ht="15.75" customHeight="1" x14ac:dyDescent="0.2">
      <c r="A3645" s="42">
        <v>4010</v>
      </c>
      <c r="B3645" s="42">
        <v>17366</v>
      </c>
      <c r="C3645" s="34" t="s">
        <v>4393</v>
      </c>
    </row>
    <row r="3646" spans="1:3" ht="15.75" customHeight="1" x14ac:dyDescent="0.2">
      <c r="A3646" s="42">
        <v>4011</v>
      </c>
      <c r="B3646" s="42">
        <v>17366</v>
      </c>
      <c r="C3646" s="34" t="s">
        <v>4394</v>
      </c>
    </row>
    <row r="3647" spans="1:3" ht="15.75" customHeight="1" x14ac:dyDescent="0.2">
      <c r="A3647" s="42">
        <v>4012</v>
      </c>
      <c r="B3647" s="42">
        <v>17366</v>
      </c>
      <c r="C3647" s="34" t="s">
        <v>4395</v>
      </c>
    </row>
    <row r="3648" spans="1:3" ht="15.75" customHeight="1" x14ac:dyDescent="0.2">
      <c r="A3648" s="42">
        <v>4013</v>
      </c>
      <c r="B3648" s="42">
        <v>17366</v>
      </c>
      <c r="C3648" s="34" t="s">
        <v>4396</v>
      </c>
    </row>
    <row r="3649" spans="1:3" ht="15.75" customHeight="1" x14ac:dyDescent="0.2">
      <c r="A3649" s="42">
        <v>4014</v>
      </c>
      <c r="B3649" s="42">
        <v>17366</v>
      </c>
      <c r="C3649" s="34" t="s">
        <v>4397</v>
      </c>
    </row>
    <row r="3650" spans="1:3" ht="15.75" customHeight="1" x14ac:dyDescent="0.2">
      <c r="A3650" s="42">
        <v>4015</v>
      </c>
      <c r="B3650" s="42">
        <v>17366</v>
      </c>
      <c r="C3650" s="34" t="s">
        <v>4398</v>
      </c>
    </row>
    <row r="3651" spans="1:3" ht="15.75" customHeight="1" x14ac:dyDescent="0.2">
      <c r="A3651" s="42">
        <v>4016</v>
      </c>
      <c r="B3651" s="42">
        <v>17366</v>
      </c>
      <c r="C3651" s="34" t="s">
        <v>4399</v>
      </c>
    </row>
    <row r="3652" spans="1:3" ht="15.75" customHeight="1" x14ac:dyDescent="0.2">
      <c r="A3652" s="42">
        <v>4017</v>
      </c>
      <c r="B3652" s="42">
        <v>17366</v>
      </c>
      <c r="C3652" s="34" t="s">
        <v>4400</v>
      </c>
    </row>
    <row r="3653" spans="1:3" ht="15.75" customHeight="1" x14ac:dyDescent="0.2">
      <c r="A3653" s="42">
        <v>4018</v>
      </c>
      <c r="B3653" s="42">
        <v>17366</v>
      </c>
      <c r="C3653" s="34" t="s">
        <v>4401</v>
      </c>
    </row>
    <row r="3654" spans="1:3" ht="15.75" customHeight="1" x14ac:dyDescent="0.2">
      <c r="A3654" s="42">
        <v>4019</v>
      </c>
      <c r="B3654" s="42">
        <v>17366</v>
      </c>
      <c r="C3654" s="34" t="s">
        <v>4402</v>
      </c>
    </row>
    <row r="3655" spans="1:3" ht="15.75" customHeight="1" x14ac:dyDescent="0.2">
      <c r="A3655" s="42">
        <v>4020</v>
      </c>
      <c r="B3655" s="42">
        <v>17366</v>
      </c>
      <c r="C3655" s="34" t="s">
        <v>4403</v>
      </c>
    </row>
    <row r="3656" spans="1:3" ht="15.75" customHeight="1" x14ac:dyDescent="0.2">
      <c r="A3656" s="42">
        <v>4021</v>
      </c>
      <c r="B3656" s="42">
        <v>17366</v>
      </c>
      <c r="C3656" s="34" t="s">
        <v>4404</v>
      </c>
    </row>
    <row r="3657" spans="1:3" ht="15.75" customHeight="1" x14ac:dyDescent="0.2">
      <c r="A3657" s="42">
        <v>4022</v>
      </c>
      <c r="B3657" s="42">
        <v>17366</v>
      </c>
      <c r="C3657" s="34" t="s">
        <v>4405</v>
      </c>
    </row>
    <row r="3658" spans="1:3" ht="15.75" customHeight="1" x14ac:dyDescent="0.2">
      <c r="A3658" s="42">
        <v>4023</v>
      </c>
      <c r="B3658" s="42">
        <v>17366</v>
      </c>
      <c r="C3658" s="34" t="s">
        <v>4406</v>
      </c>
    </row>
    <row r="3659" spans="1:3" ht="15.75" customHeight="1" x14ac:dyDescent="0.2">
      <c r="A3659" s="42">
        <v>4024</v>
      </c>
      <c r="B3659" s="42">
        <v>17366</v>
      </c>
      <c r="C3659" s="34" t="s">
        <v>4393</v>
      </c>
    </row>
    <row r="3660" spans="1:3" ht="15.75" customHeight="1" x14ac:dyDescent="0.2">
      <c r="A3660" s="42">
        <v>4025</v>
      </c>
      <c r="B3660" s="42">
        <v>17366</v>
      </c>
      <c r="C3660" s="34" t="s">
        <v>4370</v>
      </c>
    </row>
    <row r="3661" spans="1:3" ht="15.75" customHeight="1" x14ac:dyDescent="0.2">
      <c r="A3661" s="42">
        <v>4026</v>
      </c>
      <c r="B3661" s="42">
        <v>17366</v>
      </c>
      <c r="C3661" s="34" t="s">
        <v>4407</v>
      </c>
    </row>
    <row r="3662" spans="1:3" ht="15.75" customHeight="1" x14ac:dyDescent="0.2">
      <c r="A3662" s="42">
        <v>4027</v>
      </c>
      <c r="B3662" s="42">
        <v>17366</v>
      </c>
      <c r="C3662" s="34" t="s">
        <v>4408</v>
      </c>
    </row>
    <row r="3663" spans="1:3" ht="15.75" customHeight="1" x14ac:dyDescent="0.2">
      <c r="A3663" s="42">
        <v>4028</v>
      </c>
      <c r="B3663" s="42">
        <v>17366</v>
      </c>
      <c r="C3663" s="34" t="s">
        <v>4409</v>
      </c>
    </row>
    <row r="3664" spans="1:3" ht="15.75" customHeight="1" x14ac:dyDescent="0.2">
      <c r="A3664" s="42">
        <v>4029</v>
      </c>
      <c r="B3664" s="42">
        <v>17366</v>
      </c>
      <c r="C3664" s="34" t="s">
        <v>4410</v>
      </c>
    </row>
    <row r="3665" spans="1:3" ht="15.75" customHeight="1" x14ac:dyDescent="0.2">
      <c r="A3665" s="42">
        <v>4030</v>
      </c>
      <c r="B3665" s="42">
        <v>17366</v>
      </c>
      <c r="C3665" s="34" t="s">
        <v>4411</v>
      </c>
    </row>
    <row r="3666" spans="1:3" ht="15.75" customHeight="1" x14ac:dyDescent="0.2">
      <c r="A3666" s="42">
        <v>4031</v>
      </c>
      <c r="B3666" s="42">
        <v>17366</v>
      </c>
      <c r="C3666" s="34" t="s">
        <v>4412</v>
      </c>
    </row>
    <row r="3667" spans="1:3" ht="15.75" customHeight="1" x14ac:dyDescent="0.2">
      <c r="A3667" s="42">
        <v>4032</v>
      </c>
      <c r="B3667" s="42">
        <v>17366</v>
      </c>
      <c r="C3667" s="34" t="s">
        <v>4413</v>
      </c>
    </row>
    <row r="3668" spans="1:3" ht="15.75" customHeight="1" x14ac:dyDescent="0.2">
      <c r="A3668" s="42">
        <v>4033</v>
      </c>
      <c r="B3668" s="42">
        <v>17366</v>
      </c>
      <c r="C3668" s="34" t="s">
        <v>4414</v>
      </c>
    </row>
    <row r="3669" spans="1:3" ht="15.75" customHeight="1" x14ac:dyDescent="0.2">
      <c r="A3669" s="42">
        <v>4034</v>
      </c>
      <c r="B3669" s="42">
        <v>17366</v>
      </c>
      <c r="C3669" s="34" t="s">
        <v>4415</v>
      </c>
    </row>
    <row r="3670" spans="1:3" ht="15.75" customHeight="1" x14ac:dyDescent="0.2">
      <c r="A3670" s="42">
        <v>4035</v>
      </c>
      <c r="B3670" s="42">
        <v>17366</v>
      </c>
      <c r="C3670" s="34" t="s">
        <v>4416</v>
      </c>
    </row>
    <row r="3671" spans="1:3" ht="15.75" customHeight="1" x14ac:dyDescent="0.2">
      <c r="A3671" s="42">
        <v>4036</v>
      </c>
      <c r="B3671" s="42">
        <v>17366</v>
      </c>
      <c r="C3671" s="34" t="s">
        <v>4417</v>
      </c>
    </row>
    <row r="3672" spans="1:3" ht="15.75" customHeight="1" x14ac:dyDescent="0.2">
      <c r="A3672" s="42">
        <v>4037</v>
      </c>
      <c r="B3672" s="42">
        <v>17366</v>
      </c>
      <c r="C3672" s="34" t="s">
        <v>4418</v>
      </c>
    </row>
    <row r="3673" spans="1:3" ht="15.75" customHeight="1" x14ac:dyDescent="0.2">
      <c r="A3673" s="42">
        <v>4038</v>
      </c>
      <c r="B3673" s="42">
        <v>17366</v>
      </c>
      <c r="C3673" s="34" t="s">
        <v>4419</v>
      </c>
    </row>
    <row r="3674" spans="1:3" ht="15.75" customHeight="1" x14ac:dyDescent="0.2">
      <c r="A3674" s="42">
        <v>4039</v>
      </c>
      <c r="B3674" s="42">
        <v>17366</v>
      </c>
      <c r="C3674" s="34" t="s">
        <v>4420</v>
      </c>
    </row>
    <row r="3675" spans="1:3" ht="15.75" customHeight="1" x14ac:dyDescent="0.2">
      <c r="A3675" s="42">
        <v>4040</v>
      </c>
      <c r="B3675" s="42">
        <v>17366</v>
      </c>
      <c r="C3675" s="34" t="s">
        <v>4421</v>
      </c>
    </row>
    <row r="3676" spans="1:3" ht="15.75" customHeight="1" x14ac:dyDescent="0.2">
      <c r="A3676" s="42">
        <v>4041</v>
      </c>
      <c r="B3676" s="42">
        <v>17366</v>
      </c>
      <c r="C3676" s="34" t="s">
        <v>4422</v>
      </c>
    </row>
    <row r="3677" spans="1:3" ht="15.75" customHeight="1" x14ac:dyDescent="0.2">
      <c r="A3677" s="42">
        <v>4042</v>
      </c>
      <c r="B3677" s="42">
        <v>17366</v>
      </c>
      <c r="C3677" s="34" t="s">
        <v>4423</v>
      </c>
    </row>
    <row r="3678" spans="1:3" ht="15.75" customHeight="1" x14ac:dyDescent="0.2">
      <c r="A3678" s="42">
        <v>4043</v>
      </c>
      <c r="B3678" s="42">
        <v>17366</v>
      </c>
      <c r="C3678" s="34" t="s">
        <v>4424</v>
      </c>
    </row>
    <row r="3679" spans="1:3" ht="15.75" customHeight="1" x14ac:dyDescent="0.2">
      <c r="A3679" s="42">
        <v>4044</v>
      </c>
      <c r="B3679" s="42">
        <v>17366</v>
      </c>
      <c r="C3679" s="34" t="s">
        <v>4425</v>
      </c>
    </row>
    <row r="3680" spans="1:3" ht="15.75" customHeight="1" x14ac:dyDescent="0.2">
      <c r="A3680" s="42">
        <v>4045</v>
      </c>
      <c r="B3680" s="42">
        <v>17366</v>
      </c>
      <c r="C3680" s="34" t="s">
        <v>4426</v>
      </c>
    </row>
    <row r="3681" spans="1:3" ht="15.75" customHeight="1" x14ac:dyDescent="0.2">
      <c r="A3681" s="42">
        <v>4046</v>
      </c>
      <c r="B3681" s="42">
        <v>17366</v>
      </c>
      <c r="C3681" s="34" t="s">
        <v>4427</v>
      </c>
    </row>
    <row r="3682" spans="1:3" ht="15.75" customHeight="1" x14ac:dyDescent="0.2">
      <c r="A3682" s="42">
        <v>4047</v>
      </c>
      <c r="B3682" s="42">
        <v>17366</v>
      </c>
      <c r="C3682" s="34" t="s">
        <v>4428</v>
      </c>
    </row>
    <row r="3683" spans="1:3" ht="15.75" customHeight="1" x14ac:dyDescent="0.2">
      <c r="A3683" s="42">
        <v>4048</v>
      </c>
      <c r="B3683" s="42">
        <v>17366</v>
      </c>
      <c r="C3683" s="34" t="s">
        <v>4429</v>
      </c>
    </row>
    <row r="3684" spans="1:3" ht="15.75" customHeight="1" x14ac:dyDescent="0.2">
      <c r="A3684" s="42">
        <v>4049</v>
      </c>
      <c r="B3684" s="42">
        <v>17366</v>
      </c>
      <c r="C3684" s="34" t="s">
        <v>4370</v>
      </c>
    </row>
    <row r="3685" spans="1:3" ht="15.75" customHeight="1" x14ac:dyDescent="0.2">
      <c r="A3685" s="42">
        <v>4050</v>
      </c>
      <c r="B3685" s="42">
        <v>17366</v>
      </c>
      <c r="C3685" s="34" t="s">
        <v>4430</v>
      </c>
    </row>
    <row r="3686" spans="1:3" ht="15.75" customHeight="1" x14ac:dyDescent="0.2">
      <c r="A3686" s="42">
        <v>4051</v>
      </c>
      <c r="B3686" s="42">
        <v>17366</v>
      </c>
      <c r="C3686" s="34" t="s">
        <v>4431</v>
      </c>
    </row>
    <row r="3687" spans="1:3" ht="15.75" customHeight="1" x14ac:dyDescent="0.2">
      <c r="A3687" s="42">
        <v>4052</v>
      </c>
      <c r="B3687" s="42">
        <v>17366</v>
      </c>
      <c r="C3687" s="34" t="s">
        <v>4375</v>
      </c>
    </row>
    <row r="3688" spans="1:3" ht="15.75" customHeight="1" x14ac:dyDescent="0.2">
      <c r="A3688" s="42">
        <v>4053</v>
      </c>
      <c r="B3688" s="42">
        <v>17366</v>
      </c>
      <c r="C3688" s="34" t="s">
        <v>4425</v>
      </c>
    </row>
    <row r="3689" spans="1:3" ht="15.75" customHeight="1" x14ac:dyDescent="0.2">
      <c r="A3689" s="42">
        <v>4054</v>
      </c>
      <c r="B3689" s="42">
        <v>17366</v>
      </c>
      <c r="C3689" s="34" t="s">
        <v>4432</v>
      </c>
    </row>
    <row r="3690" spans="1:3" ht="15.75" customHeight="1" x14ac:dyDescent="0.2">
      <c r="A3690" s="42">
        <v>4055</v>
      </c>
      <c r="B3690" s="42">
        <v>17366</v>
      </c>
      <c r="C3690" s="34" t="s">
        <v>4433</v>
      </c>
    </row>
    <row r="3691" spans="1:3" ht="15.75" customHeight="1" x14ac:dyDescent="0.2">
      <c r="A3691" s="42">
        <v>4056</v>
      </c>
      <c r="B3691" s="42">
        <v>17384</v>
      </c>
      <c r="C3691" s="34" t="s">
        <v>4434</v>
      </c>
    </row>
    <row r="3692" spans="1:3" ht="15.75" customHeight="1" x14ac:dyDescent="0.2">
      <c r="A3692" s="42">
        <v>4057</v>
      </c>
      <c r="B3692" s="42">
        <v>17384</v>
      </c>
      <c r="C3692" s="34" t="s">
        <v>4435</v>
      </c>
    </row>
    <row r="3693" spans="1:3" ht="15.75" customHeight="1" x14ac:dyDescent="0.2">
      <c r="A3693" s="42">
        <v>4058</v>
      </c>
      <c r="B3693" s="42">
        <v>17384</v>
      </c>
      <c r="C3693" s="34" t="s">
        <v>4436</v>
      </c>
    </row>
    <row r="3694" spans="1:3" ht="15.75" customHeight="1" x14ac:dyDescent="0.2">
      <c r="A3694" s="42">
        <v>4059</v>
      </c>
      <c r="B3694" s="42">
        <v>17384</v>
      </c>
      <c r="C3694" s="34" t="s">
        <v>4437</v>
      </c>
    </row>
    <row r="3695" spans="1:3" ht="15.75" customHeight="1" x14ac:dyDescent="0.2">
      <c r="A3695" s="42">
        <v>4060</v>
      </c>
      <c r="B3695" s="42">
        <v>17384</v>
      </c>
      <c r="C3695" s="34" t="s">
        <v>4438</v>
      </c>
    </row>
    <row r="3696" spans="1:3" ht="15.75" customHeight="1" x14ac:dyDescent="0.2">
      <c r="A3696" s="42">
        <v>4061</v>
      </c>
      <c r="B3696" s="42">
        <v>17384</v>
      </c>
      <c r="C3696" s="34" t="s">
        <v>4439</v>
      </c>
    </row>
    <row r="3697" spans="1:3" ht="15.75" customHeight="1" x14ac:dyDescent="0.2">
      <c r="A3697" s="42">
        <v>4062</v>
      </c>
      <c r="B3697" s="42">
        <v>17384</v>
      </c>
      <c r="C3697" s="34" t="s">
        <v>4440</v>
      </c>
    </row>
    <row r="3698" spans="1:3" ht="15.75" customHeight="1" x14ac:dyDescent="0.2">
      <c r="A3698" s="42">
        <v>4063</v>
      </c>
      <c r="B3698" s="42">
        <v>17384</v>
      </c>
      <c r="C3698" s="34" t="s">
        <v>4441</v>
      </c>
    </row>
    <row r="3699" spans="1:3" ht="15.75" customHeight="1" x14ac:dyDescent="0.2">
      <c r="A3699" s="42">
        <v>4064</v>
      </c>
      <c r="B3699" s="42">
        <v>17384</v>
      </c>
      <c r="C3699" s="34" t="s">
        <v>4442</v>
      </c>
    </row>
    <row r="3700" spans="1:3" ht="15.75" customHeight="1" x14ac:dyDescent="0.2">
      <c r="A3700" s="42">
        <v>4065</v>
      </c>
      <c r="B3700" s="42">
        <v>17384</v>
      </c>
      <c r="C3700" s="34" t="s">
        <v>4443</v>
      </c>
    </row>
    <row r="3701" spans="1:3" ht="15.75" customHeight="1" x14ac:dyDescent="0.2">
      <c r="A3701" s="42">
        <v>4066</v>
      </c>
      <c r="B3701" s="42">
        <v>17384</v>
      </c>
      <c r="C3701" s="34" t="s">
        <v>4444</v>
      </c>
    </row>
    <row r="3702" spans="1:3" ht="15.75" customHeight="1" x14ac:dyDescent="0.2">
      <c r="A3702" s="42">
        <v>4067</v>
      </c>
      <c r="B3702" s="42">
        <v>17384</v>
      </c>
      <c r="C3702" s="34" t="s">
        <v>4445</v>
      </c>
    </row>
    <row r="3703" spans="1:3" ht="15.75" customHeight="1" x14ac:dyDescent="0.2">
      <c r="A3703" s="42">
        <v>4068</v>
      </c>
      <c r="B3703" s="42">
        <v>17384</v>
      </c>
      <c r="C3703" s="34" t="s">
        <v>4446</v>
      </c>
    </row>
    <row r="3704" spans="1:3" ht="15.75" customHeight="1" x14ac:dyDescent="0.2">
      <c r="A3704" s="42">
        <v>4069</v>
      </c>
      <c r="B3704" s="42">
        <v>17384</v>
      </c>
      <c r="C3704" s="34" t="s">
        <v>4447</v>
      </c>
    </row>
    <row r="3705" spans="1:3" ht="15.75" customHeight="1" x14ac:dyDescent="0.2">
      <c r="A3705" s="42">
        <v>4070</v>
      </c>
      <c r="B3705" s="42">
        <v>17384</v>
      </c>
      <c r="C3705" s="34" t="s">
        <v>4448</v>
      </c>
    </row>
    <row r="3706" spans="1:3" ht="15.75" customHeight="1" x14ac:dyDescent="0.2">
      <c r="A3706" s="42">
        <v>4071</v>
      </c>
      <c r="B3706" s="42">
        <v>17384</v>
      </c>
      <c r="C3706" s="34" t="s">
        <v>4449</v>
      </c>
    </row>
    <row r="3707" spans="1:3" ht="15.75" customHeight="1" x14ac:dyDescent="0.2">
      <c r="A3707" s="42">
        <v>4072</v>
      </c>
      <c r="B3707" s="42">
        <v>17384</v>
      </c>
      <c r="C3707" s="34" t="s">
        <v>4450</v>
      </c>
    </row>
    <row r="3708" spans="1:3" ht="15.75" customHeight="1" x14ac:dyDescent="0.2">
      <c r="A3708" s="42">
        <v>4073</v>
      </c>
      <c r="B3708" s="42">
        <v>17384</v>
      </c>
      <c r="C3708" s="34" t="s">
        <v>4451</v>
      </c>
    </row>
    <row r="3709" spans="1:3" ht="15.75" customHeight="1" x14ac:dyDescent="0.2">
      <c r="A3709" s="42">
        <v>4074</v>
      </c>
      <c r="B3709" s="42">
        <v>17384</v>
      </c>
      <c r="C3709" s="34" t="s">
        <v>4452</v>
      </c>
    </row>
    <row r="3710" spans="1:3" ht="15.75" customHeight="1" x14ac:dyDescent="0.2">
      <c r="A3710" s="42">
        <v>4075</v>
      </c>
      <c r="B3710" s="42">
        <v>17384</v>
      </c>
      <c r="C3710" s="34" t="s">
        <v>4453</v>
      </c>
    </row>
    <row r="3711" spans="1:3" ht="15.75" customHeight="1" x14ac:dyDescent="0.2">
      <c r="A3711" s="42">
        <v>4076</v>
      </c>
      <c r="B3711" s="42">
        <v>17384</v>
      </c>
      <c r="C3711" s="34" t="s">
        <v>4454</v>
      </c>
    </row>
    <row r="3712" spans="1:3" ht="15.75" customHeight="1" x14ac:dyDescent="0.2">
      <c r="A3712" s="42">
        <v>4077</v>
      </c>
      <c r="B3712" s="42">
        <v>17384</v>
      </c>
      <c r="C3712" s="34" t="s">
        <v>4455</v>
      </c>
    </row>
    <row r="3713" spans="1:3" ht="15.75" customHeight="1" x14ac:dyDescent="0.2">
      <c r="A3713" s="42">
        <v>4078</v>
      </c>
      <c r="B3713" s="42">
        <v>17384</v>
      </c>
      <c r="C3713" s="34" t="s">
        <v>4456</v>
      </c>
    </row>
    <row r="3714" spans="1:3" ht="15.75" customHeight="1" x14ac:dyDescent="0.2">
      <c r="A3714" s="42">
        <v>4079</v>
      </c>
      <c r="B3714" s="42">
        <v>17384</v>
      </c>
      <c r="C3714" s="34" t="s">
        <v>4457</v>
      </c>
    </row>
    <row r="3715" spans="1:3" ht="15.75" customHeight="1" x14ac:dyDescent="0.2">
      <c r="A3715" s="42">
        <v>4080</v>
      </c>
      <c r="B3715" s="42">
        <v>17384</v>
      </c>
      <c r="C3715" s="34" t="s">
        <v>4458</v>
      </c>
    </row>
    <row r="3716" spans="1:3" ht="15.75" customHeight="1" x14ac:dyDescent="0.2">
      <c r="A3716" s="42">
        <v>4081</v>
      </c>
      <c r="B3716" s="42">
        <v>17384</v>
      </c>
      <c r="C3716" s="34" t="s">
        <v>4459</v>
      </c>
    </row>
    <row r="3717" spans="1:3" ht="15.75" customHeight="1" x14ac:dyDescent="0.2">
      <c r="A3717" s="42">
        <v>4082</v>
      </c>
      <c r="B3717" s="42">
        <v>17384</v>
      </c>
      <c r="C3717" s="34" t="s">
        <v>4460</v>
      </c>
    </row>
    <row r="3718" spans="1:3" ht="15.75" customHeight="1" x14ac:dyDescent="0.2">
      <c r="A3718" s="42">
        <v>4083</v>
      </c>
      <c r="B3718" s="42">
        <v>17384</v>
      </c>
      <c r="C3718" s="34" t="s">
        <v>4461</v>
      </c>
    </row>
    <row r="3719" spans="1:3" ht="15.75" customHeight="1" x14ac:dyDescent="0.2">
      <c r="A3719" s="42">
        <v>4084</v>
      </c>
      <c r="B3719" s="42">
        <v>17384</v>
      </c>
      <c r="C3719" s="34" t="s">
        <v>4462</v>
      </c>
    </row>
    <row r="3720" spans="1:3" ht="15.75" customHeight="1" x14ac:dyDescent="0.2">
      <c r="A3720" s="42">
        <v>4085</v>
      </c>
      <c r="B3720" s="42">
        <v>17384</v>
      </c>
      <c r="C3720" s="34" t="s">
        <v>4463</v>
      </c>
    </row>
    <row r="3721" spans="1:3" ht="15.75" customHeight="1" x14ac:dyDescent="0.2">
      <c r="A3721" s="42">
        <v>4086</v>
      </c>
      <c r="B3721" s="42">
        <v>17384</v>
      </c>
      <c r="C3721" s="34" t="s">
        <v>4464</v>
      </c>
    </row>
    <row r="3722" spans="1:3" ht="15.75" customHeight="1" x14ac:dyDescent="0.2">
      <c r="A3722" s="42">
        <v>4087</v>
      </c>
      <c r="B3722" s="42">
        <v>17384</v>
      </c>
      <c r="C3722" s="34" t="s">
        <v>4465</v>
      </c>
    </row>
    <row r="3723" spans="1:3" ht="15.75" customHeight="1" x14ac:dyDescent="0.2">
      <c r="A3723" s="42">
        <v>4088</v>
      </c>
      <c r="B3723" s="42">
        <v>17384</v>
      </c>
      <c r="C3723" s="34" t="s">
        <v>4466</v>
      </c>
    </row>
    <row r="3724" spans="1:3" ht="15.75" customHeight="1" x14ac:dyDescent="0.2">
      <c r="A3724" s="42">
        <v>4089</v>
      </c>
      <c r="B3724" s="42">
        <v>17384</v>
      </c>
      <c r="C3724" s="34" t="s">
        <v>4467</v>
      </c>
    </row>
    <row r="3725" spans="1:3" ht="15.75" customHeight="1" x14ac:dyDescent="0.2">
      <c r="A3725" s="42">
        <v>4090</v>
      </c>
      <c r="B3725" s="42">
        <v>17384</v>
      </c>
      <c r="C3725" s="34" t="s">
        <v>4468</v>
      </c>
    </row>
    <row r="3726" spans="1:3" ht="15.75" customHeight="1" x14ac:dyDescent="0.2">
      <c r="A3726" s="42">
        <v>4091</v>
      </c>
      <c r="B3726" s="42">
        <v>17384</v>
      </c>
      <c r="C3726" s="34" t="s">
        <v>4469</v>
      </c>
    </row>
    <row r="3727" spans="1:3" ht="15.75" customHeight="1" x14ac:dyDescent="0.2">
      <c r="A3727" s="42">
        <v>4092</v>
      </c>
      <c r="B3727" s="42">
        <v>17384</v>
      </c>
      <c r="C3727" s="34" t="s">
        <v>4470</v>
      </c>
    </row>
    <row r="3728" spans="1:3" ht="15.75" customHeight="1" x14ac:dyDescent="0.2">
      <c r="A3728" s="42">
        <v>4093</v>
      </c>
      <c r="B3728" s="42">
        <v>17384</v>
      </c>
      <c r="C3728" s="34" t="s">
        <v>4471</v>
      </c>
    </row>
    <row r="3729" spans="1:3" ht="15.75" customHeight="1" x14ac:dyDescent="0.2">
      <c r="A3729" s="42">
        <v>4094</v>
      </c>
      <c r="B3729" s="42">
        <v>17384</v>
      </c>
      <c r="C3729" s="34" t="s">
        <v>4472</v>
      </c>
    </row>
    <row r="3730" spans="1:3" ht="15.75" customHeight="1" x14ac:dyDescent="0.2">
      <c r="A3730" s="42">
        <v>4095</v>
      </c>
      <c r="B3730" s="42">
        <v>17384</v>
      </c>
      <c r="C3730" s="34" t="s">
        <v>4473</v>
      </c>
    </row>
    <row r="3731" spans="1:3" ht="15.75" customHeight="1" x14ac:dyDescent="0.2">
      <c r="A3731" s="42">
        <v>4096</v>
      </c>
      <c r="B3731" s="42">
        <v>17384</v>
      </c>
      <c r="C3731" s="34" t="s">
        <v>4474</v>
      </c>
    </row>
    <row r="3732" spans="1:3" ht="15.75" customHeight="1" x14ac:dyDescent="0.2">
      <c r="A3732" s="42">
        <v>4097</v>
      </c>
      <c r="B3732" s="42">
        <v>17384</v>
      </c>
      <c r="C3732" s="34" t="s">
        <v>4475</v>
      </c>
    </row>
    <row r="3733" spans="1:3" ht="15.75" customHeight="1" x14ac:dyDescent="0.2">
      <c r="A3733" s="42">
        <v>4098</v>
      </c>
      <c r="B3733" s="42">
        <v>17384</v>
      </c>
      <c r="C3733" s="34" t="s">
        <v>4476</v>
      </c>
    </row>
    <row r="3734" spans="1:3" ht="15.75" customHeight="1" x14ac:dyDescent="0.2">
      <c r="A3734" s="42">
        <v>4099</v>
      </c>
      <c r="B3734" s="42">
        <v>17384</v>
      </c>
      <c r="C3734" s="34" t="s">
        <v>4477</v>
      </c>
    </row>
    <row r="3735" spans="1:3" ht="15.75" customHeight="1" x14ac:dyDescent="0.2">
      <c r="A3735" s="42">
        <v>4100</v>
      </c>
      <c r="B3735" s="42">
        <v>17384</v>
      </c>
      <c r="C3735" s="34" t="s">
        <v>4478</v>
      </c>
    </row>
    <row r="3736" spans="1:3" ht="15.75" customHeight="1" x14ac:dyDescent="0.2">
      <c r="A3736" s="42">
        <v>4101</v>
      </c>
      <c r="B3736" s="42">
        <v>17384</v>
      </c>
      <c r="C3736" s="34" t="s">
        <v>4479</v>
      </c>
    </row>
    <row r="3737" spans="1:3" ht="15.75" customHeight="1" x14ac:dyDescent="0.2">
      <c r="A3737" s="42">
        <v>4102</v>
      </c>
      <c r="B3737" s="42">
        <v>17384</v>
      </c>
      <c r="C3737" s="34" t="s">
        <v>4480</v>
      </c>
    </row>
    <row r="3738" spans="1:3" ht="15.75" customHeight="1" x14ac:dyDescent="0.2">
      <c r="A3738" s="42">
        <v>4103</v>
      </c>
      <c r="B3738" s="42">
        <v>17385</v>
      </c>
      <c r="C3738" s="34" t="s">
        <v>4481</v>
      </c>
    </row>
    <row r="3739" spans="1:3" ht="15.75" customHeight="1" x14ac:dyDescent="0.2">
      <c r="A3739" s="42">
        <v>4104</v>
      </c>
      <c r="B3739" s="42">
        <v>17385</v>
      </c>
      <c r="C3739" s="34" t="s">
        <v>4482</v>
      </c>
    </row>
    <row r="3740" spans="1:3" ht="15.75" customHeight="1" x14ac:dyDescent="0.2">
      <c r="A3740" s="42">
        <v>4105</v>
      </c>
      <c r="B3740" s="42">
        <v>17385</v>
      </c>
      <c r="C3740" s="34" t="s">
        <v>4483</v>
      </c>
    </row>
    <row r="3741" spans="1:3" ht="15.75" customHeight="1" x14ac:dyDescent="0.2">
      <c r="A3741" s="42">
        <v>4106</v>
      </c>
      <c r="B3741" s="42">
        <v>17385</v>
      </c>
      <c r="C3741" s="34" t="s">
        <v>4484</v>
      </c>
    </row>
    <row r="3742" spans="1:3" ht="15.75" customHeight="1" x14ac:dyDescent="0.2">
      <c r="A3742" s="42">
        <v>4107</v>
      </c>
      <c r="B3742" s="42">
        <v>17385</v>
      </c>
      <c r="C3742" s="34" t="s">
        <v>4485</v>
      </c>
    </row>
    <row r="3743" spans="1:3" ht="15.75" customHeight="1" x14ac:dyDescent="0.2">
      <c r="A3743" s="42">
        <v>4108</v>
      </c>
      <c r="B3743" s="42">
        <v>17385</v>
      </c>
      <c r="C3743" s="34" t="s">
        <v>4486</v>
      </c>
    </row>
    <row r="3744" spans="1:3" ht="15.75" customHeight="1" x14ac:dyDescent="0.2">
      <c r="A3744" s="42">
        <v>4109</v>
      </c>
      <c r="B3744" s="42">
        <v>17385</v>
      </c>
      <c r="C3744" s="34" t="s">
        <v>4487</v>
      </c>
    </row>
    <row r="3745" spans="1:3" ht="15.75" customHeight="1" x14ac:dyDescent="0.2">
      <c r="A3745" s="42">
        <v>4110</v>
      </c>
      <c r="B3745" s="42">
        <v>17385</v>
      </c>
      <c r="C3745" s="34" t="s">
        <v>4488</v>
      </c>
    </row>
    <row r="3746" spans="1:3" ht="15.75" customHeight="1" x14ac:dyDescent="0.2">
      <c r="A3746" s="42">
        <v>4111</v>
      </c>
      <c r="B3746" s="42">
        <v>17385</v>
      </c>
      <c r="C3746" s="34" t="s">
        <v>4489</v>
      </c>
    </row>
    <row r="3747" spans="1:3" ht="15.75" customHeight="1" x14ac:dyDescent="0.2">
      <c r="A3747" s="42">
        <v>4112</v>
      </c>
      <c r="B3747" s="42">
        <v>17385</v>
      </c>
      <c r="C3747" s="34" t="s">
        <v>4490</v>
      </c>
    </row>
    <row r="3748" spans="1:3" ht="15.75" customHeight="1" x14ac:dyDescent="0.2">
      <c r="A3748" s="42">
        <v>4113</v>
      </c>
      <c r="B3748" s="42">
        <v>17385</v>
      </c>
      <c r="C3748" s="34" t="s">
        <v>4491</v>
      </c>
    </row>
    <row r="3749" spans="1:3" ht="15.75" customHeight="1" x14ac:dyDescent="0.2">
      <c r="A3749" s="42">
        <v>4114</v>
      </c>
      <c r="B3749" s="42">
        <v>17385</v>
      </c>
      <c r="C3749" s="34" t="s">
        <v>4492</v>
      </c>
    </row>
    <row r="3750" spans="1:3" ht="15.75" customHeight="1" x14ac:dyDescent="0.2">
      <c r="A3750" s="42">
        <v>4115</v>
      </c>
      <c r="B3750" s="42">
        <v>17385</v>
      </c>
      <c r="C3750" s="34" t="s">
        <v>4493</v>
      </c>
    </row>
    <row r="3751" spans="1:3" ht="15.75" customHeight="1" x14ac:dyDescent="0.2">
      <c r="A3751" s="42">
        <v>4116</v>
      </c>
      <c r="B3751" s="42">
        <v>17385</v>
      </c>
      <c r="C3751" s="34" t="s">
        <v>4494</v>
      </c>
    </row>
    <row r="3752" spans="1:3" ht="15.75" customHeight="1" x14ac:dyDescent="0.2">
      <c r="A3752" s="42">
        <v>4117</v>
      </c>
      <c r="B3752" s="42">
        <v>17385</v>
      </c>
      <c r="C3752" s="34" t="s">
        <v>4495</v>
      </c>
    </row>
    <row r="3753" spans="1:3" ht="15.75" customHeight="1" x14ac:dyDescent="0.2">
      <c r="A3753" s="42">
        <v>4118</v>
      </c>
      <c r="B3753" s="42">
        <v>17385</v>
      </c>
      <c r="C3753" s="34" t="s">
        <v>4496</v>
      </c>
    </row>
    <row r="3754" spans="1:3" ht="15.75" customHeight="1" x14ac:dyDescent="0.2">
      <c r="A3754" s="42">
        <v>4119</v>
      </c>
      <c r="B3754" s="42">
        <v>17385</v>
      </c>
      <c r="C3754" s="34" t="s">
        <v>4497</v>
      </c>
    </row>
    <row r="3755" spans="1:3" ht="15.75" customHeight="1" x14ac:dyDescent="0.2">
      <c r="A3755" s="42">
        <v>4120</v>
      </c>
      <c r="B3755" s="42">
        <v>17385</v>
      </c>
      <c r="C3755" s="34" t="s">
        <v>4498</v>
      </c>
    </row>
    <row r="3756" spans="1:3" ht="15.75" customHeight="1" x14ac:dyDescent="0.2">
      <c r="A3756" s="42">
        <v>4121</v>
      </c>
      <c r="B3756" s="42">
        <v>17385</v>
      </c>
      <c r="C3756" s="34" t="s">
        <v>4499</v>
      </c>
    </row>
    <row r="3757" spans="1:3" ht="15.75" customHeight="1" x14ac:dyDescent="0.2">
      <c r="A3757" s="42">
        <v>4122</v>
      </c>
      <c r="B3757" s="42">
        <v>17385</v>
      </c>
      <c r="C3757" s="34" t="s">
        <v>4500</v>
      </c>
    </row>
    <row r="3758" spans="1:3" ht="15.75" customHeight="1" x14ac:dyDescent="0.2">
      <c r="A3758" s="42">
        <v>4123</v>
      </c>
      <c r="B3758" s="42">
        <v>17385</v>
      </c>
      <c r="C3758" s="34" t="s">
        <v>4501</v>
      </c>
    </row>
    <row r="3759" spans="1:3" ht="15.75" customHeight="1" x14ac:dyDescent="0.2">
      <c r="A3759" s="42">
        <v>4124</v>
      </c>
      <c r="B3759" s="42">
        <v>17385</v>
      </c>
      <c r="C3759" s="34" t="s">
        <v>4502</v>
      </c>
    </row>
    <row r="3760" spans="1:3" ht="15.75" customHeight="1" x14ac:dyDescent="0.2">
      <c r="A3760" s="42">
        <v>4125</v>
      </c>
      <c r="B3760" s="42">
        <v>17385</v>
      </c>
      <c r="C3760" s="34" t="s">
        <v>4503</v>
      </c>
    </row>
    <row r="3761" spans="1:3" ht="15.75" customHeight="1" x14ac:dyDescent="0.2">
      <c r="A3761" s="42">
        <v>4126</v>
      </c>
      <c r="B3761" s="42">
        <v>17385</v>
      </c>
      <c r="C3761" s="34" t="s">
        <v>4504</v>
      </c>
    </row>
    <row r="3762" spans="1:3" ht="15.75" customHeight="1" x14ac:dyDescent="0.2">
      <c r="A3762" s="42">
        <v>4127</v>
      </c>
      <c r="B3762" s="42">
        <v>17385</v>
      </c>
      <c r="C3762" s="34" t="s">
        <v>4505</v>
      </c>
    </row>
    <row r="3763" spans="1:3" ht="15.75" customHeight="1" x14ac:dyDescent="0.2">
      <c r="A3763" s="42">
        <v>4128</v>
      </c>
      <c r="B3763" s="42">
        <v>17385</v>
      </c>
      <c r="C3763" s="34" t="s">
        <v>4506</v>
      </c>
    </row>
    <row r="3764" spans="1:3" ht="15.75" customHeight="1" x14ac:dyDescent="0.2">
      <c r="A3764" s="42">
        <v>4129</v>
      </c>
      <c r="B3764" s="42">
        <v>17385</v>
      </c>
      <c r="C3764" s="34" t="s">
        <v>4507</v>
      </c>
    </row>
    <row r="3765" spans="1:3" ht="15.75" customHeight="1" x14ac:dyDescent="0.2">
      <c r="A3765" s="42">
        <v>4130</v>
      </c>
      <c r="B3765" s="42">
        <v>17385</v>
      </c>
      <c r="C3765" s="34" t="s">
        <v>4508</v>
      </c>
    </row>
    <row r="3766" spans="1:3" ht="15.75" customHeight="1" x14ac:dyDescent="0.2">
      <c r="A3766" s="42">
        <v>4131</v>
      </c>
      <c r="B3766" s="42">
        <v>17385</v>
      </c>
      <c r="C3766" s="34" t="s">
        <v>4509</v>
      </c>
    </row>
    <row r="3767" spans="1:3" ht="15.75" customHeight="1" x14ac:dyDescent="0.2">
      <c r="A3767" s="42">
        <v>4132</v>
      </c>
      <c r="B3767" s="42">
        <v>17385</v>
      </c>
      <c r="C3767" s="34" t="s">
        <v>4510</v>
      </c>
    </row>
    <row r="3768" spans="1:3" ht="15.75" customHeight="1" x14ac:dyDescent="0.2">
      <c r="A3768" s="42">
        <v>4133</v>
      </c>
      <c r="B3768" s="42">
        <v>17385</v>
      </c>
      <c r="C3768" s="34" t="s">
        <v>4511</v>
      </c>
    </row>
    <row r="3769" spans="1:3" ht="15.75" customHeight="1" x14ac:dyDescent="0.2">
      <c r="A3769" s="42">
        <v>4134</v>
      </c>
      <c r="B3769" s="42">
        <v>17385</v>
      </c>
      <c r="C3769" s="34" t="s">
        <v>4512</v>
      </c>
    </row>
    <row r="3770" spans="1:3" ht="15.75" customHeight="1" x14ac:dyDescent="0.2">
      <c r="A3770" s="42">
        <v>4135</v>
      </c>
      <c r="B3770" s="42">
        <v>17385</v>
      </c>
      <c r="C3770" s="34" t="s">
        <v>4513</v>
      </c>
    </row>
    <row r="3771" spans="1:3" ht="15.75" customHeight="1" x14ac:dyDescent="0.2">
      <c r="A3771" s="42">
        <v>4136</v>
      </c>
      <c r="B3771" s="42">
        <v>17385</v>
      </c>
      <c r="C3771" s="34" t="s">
        <v>4514</v>
      </c>
    </row>
    <row r="3772" spans="1:3" ht="15.75" customHeight="1" x14ac:dyDescent="0.2">
      <c r="A3772" s="42">
        <v>4137</v>
      </c>
      <c r="B3772" s="42">
        <v>17385</v>
      </c>
      <c r="C3772" s="34" t="s">
        <v>4515</v>
      </c>
    </row>
    <row r="3773" spans="1:3" ht="15.75" customHeight="1" x14ac:dyDescent="0.2">
      <c r="A3773" s="42">
        <v>4138</v>
      </c>
      <c r="B3773" s="42">
        <v>17385</v>
      </c>
      <c r="C3773" s="34" t="s">
        <v>4516</v>
      </c>
    </row>
    <row r="3774" spans="1:3" ht="15.75" customHeight="1" x14ac:dyDescent="0.2">
      <c r="A3774" s="42">
        <v>4139</v>
      </c>
      <c r="B3774" s="42">
        <v>17385</v>
      </c>
      <c r="C3774" s="34" t="s">
        <v>4517</v>
      </c>
    </row>
    <row r="3775" spans="1:3" ht="15.75" customHeight="1" x14ac:dyDescent="0.2">
      <c r="A3775" s="42">
        <v>4140</v>
      </c>
      <c r="B3775" s="42">
        <v>17385</v>
      </c>
      <c r="C3775" s="34" t="s">
        <v>4518</v>
      </c>
    </row>
    <row r="3776" spans="1:3" ht="15.75" customHeight="1" x14ac:dyDescent="0.2">
      <c r="A3776" s="42">
        <v>4141</v>
      </c>
      <c r="B3776" s="42">
        <v>17385</v>
      </c>
      <c r="C3776" s="34" t="s">
        <v>4519</v>
      </c>
    </row>
    <row r="3777" spans="1:3" ht="15.75" customHeight="1" x14ac:dyDescent="0.2">
      <c r="A3777" s="42">
        <v>4142</v>
      </c>
      <c r="B3777" s="42">
        <v>17385</v>
      </c>
      <c r="C3777" s="34" t="s">
        <v>4486</v>
      </c>
    </row>
    <row r="3778" spans="1:3" ht="15.75" customHeight="1" x14ac:dyDescent="0.2">
      <c r="A3778" s="42">
        <v>4143</v>
      </c>
      <c r="B3778" s="42">
        <v>17385</v>
      </c>
      <c r="C3778" s="34" t="s">
        <v>4520</v>
      </c>
    </row>
    <row r="3779" spans="1:3" ht="15.75" customHeight="1" x14ac:dyDescent="0.2">
      <c r="A3779" s="42">
        <v>4144</v>
      </c>
      <c r="B3779" s="42">
        <v>17385</v>
      </c>
      <c r="C3779" s="34" t="s">
        <v>4521</v>
      </c>
    </row>
    <row r="3780" spans="1:3" ht="15.75" customHeight="1" x14ac:dyDescent="0.2">
      <c r="A3780" s="42">
        <v>4145</v>
      </c>
      <c r="B3780" s="42">
        <v>17385</v>
      </c>
      <c r="C3780" s="34" t="s">
        <v>4522</v>
      </c>
    </row>
    <row r="3781" spans="1:3" ht="15.75" customHeight="1" x14ac:dyDescent="0.2">
      <c r="A3781" s="42">
        <v>4146</v>
      </c>
      <c r="B3781" s="42">
        <v>17385</v>
      </c>
      <c r="C3781" s="34" t="s">
        <v>4523</v>
      </c>
    </row>
    <row r="3782" spans="1:3" ht="15.75" customHeight="1" x14ac:dyDescent="0.2">
      <c r="A3782" s="42">
        <v>4147</v>
      </c>
      <c r="B3782" s="42">
        <v>17385</v>
      </c>
      <c r="C3782" s="34" t="s">
        <v>4524</v>
      </c>
    </row>
    <row r="3783" spans="1:3" ht="15.75" customHeight="1" x14ac:dyDescent="0.2">
      <c r="A3783" s="42">
        <v>4148</v>
      </c>
      <c r="B3783" s="42">
        <v>17385</v>
      </c>
      <c r="C3783" s="34" t="s">
        <v>4525</v>
      </c>
    </row>
    <row r="3784" spans="1:3" ht="15.75" customHeight="1" x14ac:dyDescent="0.2">
      <c r="A3784" s="42">
        <v>4149</v>
      </c>
      <c r="B3784" s="42">
        <v>17386</v>
      </c>
      <c r="C3784" s="34" t="s">
        <v>4526</v>
      </c>
    </row>
    <row r="3785" spans="1:3" ht="15.75" customHeight="1" x14ac:dyDescent="0.2">
      <c r="A3785" s="42">
        <v>4150</v>
      </c>
      <c r="B3785" s="42">
        <v>17386</v>
      </c>
      <c r="C3785" s="34" t="s">
        <v>4527</v>
      </c>
    </row>
    <row r="3786" spans="1:3" ht="15.75" customHeight="1" x14ac:dyDescent="0.2">
      <c r="A3786" s="42">
        <v>4151</v>
      </c>
      <c r="B3786" s="42">
        <v>17386</v>
      </c>
      <c r="C3786" s="34" t="s">
        <v>4528</v>
      </c>
    </row>
    <row r="3787" spans="1:3" ht="15.75" customHeight="1" x14ac:dyDescent="0.2">
      <c r="A3787" s="42">
        <v>4152</v>
      </c>
      <c r="B3787" s="42">
        <v>17386</v>
      </c>
      <c r="C3787" s="34" t="s">
        <v>4529</v>
      </c>
    </row>
    <row r="3788" spans="1:3" ht="15.75" customHeight="1" x14ac:dyDescent="0.2">
      <c r="A3788" s="42">
        <v>4153</v>
      </c>
      <c r="B3788" s="42">
        <v>17386</v>
      </c>
      <c r="C3788" s="34" t="s">
        <v>4530</v>
      </c>
    </row>
    <row r="3789" spans="1:3" ht="15.75" customHeight="1" x14ac:dyDescent="0.2">
      <c r="A3789" s="42">
        <v>4154</v>
      </c>
      <c r="B3789" s="42">
        <v>17386</v>
      </c>
      <c r="C3789" s="34" t="s">
        <v>4531</v>
      </c>
    </row>
    <row r="3790" spans="1:3" ht="15.75" customHeight="1" x14ac:dyDescent="0.2">
      <c r="A3790" s="42">
        <v>4155</v>
      </c>
      <c r="B3790" s="42">
        <v>17386</v>
      </c>
      <c r="C3790" s="34" t="s">
        <v>4532</v>
      </c>
    </row>
    <row r="3791" spans="1:3" ht="15.75" customHeight="1" x14ac:dyDescent="0.2">
      <c r="A3791" s="42">
        <v>4156</v>
      </c>
      <c r="B3791" s="42">
        <v>17386</v>
      </c>
      <c r="C3791" s="34" t="s">
        <v>4533</v>
      </c>
    </row>
    <row r="3792" spans="1:3" ht="15.75" customHeight="1" x14ac:dyDescent="0.2">
      <c r="A3792" s="42">
        <v>4157</v>
      </c>
      <c r="B3792" s="42">
        <v>17386</v>
      </c>
      <c r="C3792" s="34" t="s">
        <v>4534</v>
      </c>
    </row>
    <row r="3793" spans="1:3" ht="15.75" customHeight="1" x14ac:dyDescent="0.2">
      <c r="A3793" s="42">
        <v>4158</v>
      </c>
      <c r="B3793" s="42">
        <v>17386</v>
      </c>
      <c r="C3793" s="34" t="s">
        <v>4535</v>
      </c>
    </row>
    <row r="3794" spans="1:3" ht="15.75" customHeight="1" x14ac:dyDescent="0.2">
      <c r="A3794" s="42">
        <v>4159</v>
      </c>
      <c r="B3794" s="42">
        <v>17386</v>
      </c>
      <c r="C3794" s="34" t="s">
        <v>4536</v>
      </c>
    </row>
    <row r="3795" spans="1:3" ht="15.75" customHeight="1" x14ac:dyDescent="0.2">
      <c r="A3795" s="42">
        <v>4160</v>
      </c>
      <c r="B3795" s="42">
        <v>17386</v>
      </c>
      <c r="C3795" s="34" t="s">
        <v>4537</v>
      </c>
    </row>
    <row r="3796" spans="1:3" ht="15.75" customHeight="1" x14ac:dyDescent="0.2">
      <c r="A3796" s="42">
        <v>4161</v>
      </c>
      <c r="B3796" s="42">
        <v>17386</v>
      </c>
      <c r="C3796" s="34" t="s">
        <v>4538</v>
      </c>
    </row>
    <row r="3797" spans="1:3" ht="15.75" customHeight="1" x14ac:dyDescent="0.2">
      <c r="A3797" s="42">
        <v>4162</v>
      </c>
      <c r="B3797" s="42">
        <v>17386</v>
      </c>
      <c r="C3797" s="34" t="s">
        <v>4539</v>
      </c>
    </row>
    <row r="3798" spans="1:3" ht="15.75" customHeight="1" x14ac:dyDescent="0.2">
      <c r="A3798" s="42">
        <v>4163</v>
      </c>
      <c r="B3798" s="42">
        <v>17386</v>
      </c>
      <c r="C3798" s="34" t="s">
        <v>4540</v>
      </c>
    </row>
    <row r="3799" spans="1:3" ht="15.75" customHeight="1" x14ac:dyDescent="0.2">
      <c r="A3799" s="42">
        <v>4164</v>
      </c>
      <c r="B3799" s="42">
        <v>17386</v>
      </c>
      <c r="C3799" s="34" t="s">
        <v>4541</v>
      </c>
    </row>
    <row r="3800" spans="1:3" ht="15.75" customHeight="1" x14ac:dyDescent="0.2">
      <c r="A3800" s="42">
        <v>4165</v>
      </c>
      <c r="B3800" s="42">
        <v>17386</v>
      </c>
      <c r="C3800" s="34" t="s">
        <v>4542</v>
      </c>
    </row>
    <row r="3801" spans="1:3" ht="15.75" customHeight="1" x14ac:dyDescent="0.2">
      <c r="A3801" s="42">
        <v>4166</v>
      </c>
      <c r="B3801" s="42">
        <v>17386</v>
      </c>
      <c r="C3801" s="34" t="s">
        <v>4543</v>
      </c>
    </row>
    <row r="3802" spans="1:3" ht="15.75" customHeight="1" x14ac:dyDescent="0.2">
      <c r="A3802" s="42">
        <v>4167</v>
      </c>
      <c r="B3802" s="42">
        <v>17386</v>
      </c>
      <c r="C3802" s="34" t="s">
        <v>4544</v>
      </c>
    </row>
    <row r="3803" spans="1:3" ht="15.75" customHeight="1" x14ac:dyDescent="0.2">
      <c r="A3803" s="42">
        <v>4168</v>
      </c>
      <c r="B3803" s="42">
        <v>17386</v>
      </c>
      <c r="C3803" s="34" t="s">
        <v>4545</v>
      </c>
    </row>
    <row r="3804" spans="1:3" ht="15.75" customHeight="1" x14ac:dyDescent="0.2">
      <c r="A3804" s="42">
        <v>4169</v>
      </c>
      <c r="B3804" s="42">
        <v>17386</v>
      </c>
      <c r="C3804" s="34" t="s">
        <v>4546</v>
      </c>
    </row>
    <row r="3805" spans="1:3" ht="15.75" customHeight="1" x14ac:dyDescent="0.2">
      <c r="A3805" s="42">
        <v>4170</v>
      </c>
      <c r="B3805" s="42">
        <v>17386</v>
      </c>
      <c r="C3805" s="34" t="s">
        <v>4547</v>
      </c>
    </row>
    <row r="3806" spans="1:3" ht="15.75" customHeight="1" x14ac:dyDescent="0.2">
      <c r="A3806" s="42">
        <v>4171</v>
      </c>
      <c r="B3806" s="42">
        <v>17386</v>
      </c>
      <c r="C3806" s="34" t="s">
        <v>4548</v>
      </c>
    </row>
    <row r="3807" spans="1:3" ht="15.75" customHeight="1" x14ac:dyDescent="0.2">
      <c r="A3807" s="42">
        <v>4172</v>
      </c>
      <c r="B3807" s="42">
        <v>17386</v>
      </c>
      <c r="C3807" s="34" t="s">
        <v>4549</v>
      </c>
    </row>
    <row r="3808" spans="1:3" ht="15.75" customHeight="1" x14ac:dyDescent="0.2">
      <c r="A3808" s="42">
        <v>4173</v>
      </c>
      <c r="B3808" s="42">
        <v>17386</v>
      </c>
      <c r="C3808" s="34" t="s">
        <v>4550</v>
      </c>
    </row>
    <row r="3809" spans="1:3" ht="15.75" customHeight="1" x14ac:dyDescent="0.2">
      <c r="A3809" s="42">
        <v>4174</v>
      </c>
      <c r="B3809" s="42">
        <v>17386</v>
      </c>
      <c r="C3809" s="34" t="s">
        <v>4551</v>
      </c>
    </row>
    <row r="3810" spans="1:3" ht="15.75" customHeight="1" x14ac:dyDescent="0.2">
      <c r="A3810" s="42">
        <v>4175</v>
      </c>
      <c r="B3810" s="42">
        <v>17386</v>
      </c>
      <c r="C3810" s="34" t="s">
        <v>4552</v>
      </c>
    </row>
    <row r="3811" spans="1:3" ht="15.75" customHeight="1" x14ac:dyDescent="0.2">
      <c r="A3811" s="42">
        <v>4176</v>
      </c>
      <c r="B3811" s="42">
        <v>17386</v>
      </c>
      <c r="C3811" s="34" t="s">
        <v>4553</v>
      </c>
    </row>
    <row r="3812" spans="1:3" ht="15.75" customHeight="1" x14ac:dyDescent="0.2">
      <c r="A3812" s="42">
        <v>4177</v>
      </c>
      <c r="B3812" s="42">
        <v>17386</v>
      </c>
      <c r="C3812" s="34" t="s">
        <v>4551</v>
      </c>
    </row>
    <row r="3813" spans="1:3" ht="15.75" customHeight="1" x14ac:dyDescent="0.2">
      <c r="A3813" s="42">
        <v>4178</v>
      </c>
      <c r="B3813" s="42">
        <v>17386</v>
      </c>
      <c r="C3813" s="34" t="s">
        <v>4554</v>
      </c>
    </row>
    <row r="3814" spans="1:3" ht="15.75" customHeight="1" x14ac:dyDescent="0.2">
      <c r="A3814" s="42">
        <v>4179</v>
      </c>
      <c r="B3814" s="42">
        <v>17386</v>
      </c>
      <c r="C3814" s="34" t="s">
        <v>4555</v>
      </c>
    </row>
    <row r="3815" spans="1:3" ht="15.75" customHeight="1" x14ac:dyDescent="0.2">
      <c r="A3815" s="42">
        <v>4180</v>
      </c>
      <c r="B3815" s="42">
        <v>17386</v>
      </c>
      <c r="C3815" s="34" t="s">
        <v>4556</v>
      </c>
    </row>
    <row r="3816" spans="1:3" ht="15.75" customHeight="1" x14ac:dyDescent="0.2">
      <c r="A3816" s="42">
        <v>4181</v>
      </c>
      <c r="B3816" s="42">
        <v>17386</v>
      </c>
      <c r="C3816" s="34" t="s">
        <v>4557</v>
      </c>
    </row>
    <row r="3817" spans="1:3" ht="15.75" customHeight="1" x14ac:dyDescent="0.2">
      <c r="A3817" s="42">
        <v>4182</v>
      </c>
      <c r="B3817" s="42">
        <v>17386</v>
      </c>
      <c r="C3817" s="34" t="s">
        <v>4558</v>
      </c>
    </row>
    <row r="3818" spans="1:3" ht="15.75" customHeight="1" x14ac:dyDescent="0.2">
      <c r="A3818" s="42">
        <v>4183</v>
      </c>
      <c r="B3818" s="42">
        <v>17386</v>
      </c>
      <c r="C3818" s="34" t="s">
        <v>4559</v>
      </c>
    </row>
    <row r="3819" spans="1:3" ht="15.75" customHeight="1" x14ac:dyDescent="0.2">
      <c r="A3819" s="42">
        <v>4184</v>
      </c>
      <c r="B3819" s="42">
        <v>17386</v>
      </c>
      <c r="C3819" s="34" t="s">
        <v>4560</v>
      </c>
    </row>
    <row r="3820" spans="1:3" ht="15.75" customHeight="1" x14ac:dyDescent="0.2">
      <c r="A3820" s="42">
        <v>4185</v>
      </c>
      <c r="B3820" s="42">
        <v>17386</v>
      </c>
      <c r="C3820" s="34" t="s">
        <v>4561</v>
      </c>
    </row>
    <row r="3821" spans="1:3" ht="15.75" customHeight="1" x14ac:dyDescent="0.2">
      <c r="A3821" s="42">
        <v>4186</v>
      </c>
      <c r="B3821" s="42">
        <v>17386</v>
      </c>
      <c r="C3821" s="34" t="s">
        <v>4562</v>
      </c>
    </row>
    <row r="3822" spans="1:3" ht="15.75" customHeight="1" x14ac:dyDescent="0.2">
      <c r="A3822" s="42">
        <v>4187</v>
      </c>
      <c r="B3822" s="42">
        <v>17386</v>
      </c>
      <c r="C3822" s="34" t="s">
        <v>4531</v>
      </c>
    </row>
    <row r="3823" spans="1:3" ht="15.75" customHeight="1" x14ac:dyDescent="0.2">
      <c r="A3823" s="42">
        <v>4188</v>
      </c>
      <c r="B3823" s="42">
        <v>17386</v>
      </c>
      <c r="C3823" s="34" t="s">
        <v>4563</v>
      </c>
    </row>
    <row r="3824" spans="1:3" ht="15.75" customHeight="1" x14ac:dyDescent="0.2">
      <c r="A3824" s="42">
        <v>4189</v>
      </c>
      <c r="B3824" s="42">
        <v>17386</v>
      </c>
      <c r="C3824" s="34" t="s">
        <v>4564</v>
      </c>
    </row>
    <row r="3825" spans="1:3" ht="15.75" customHeight="1" x14ac:dyDescent="0.2">
      <c r="A3825" s="42">
        <v>4190</v>
      </c>
      <c r="B3825" s="42">
        <v>17386</v>
      </c>
      <c r="C3825" s="34" t="s">
        <v>4565</v>
      </c>
    </row>
    <row r="3826" spans="1:3" ht="15.75" customHeight="1" x14ac:dyDescent="0.2">
      <c r="A3826" s="42">
        <v>4191</v>
      </c>
      <c r="B3826" s="42">
        <v>17386</v>
      </c>
      <c r="C3826" s="34" t="s">
        <v>4566</v>
      </c>
    </row>
    <row r="3827" spans="1:3" ht="15.75" customHeight="1" x14ac:dyDescent="0.2">
      <c r="A3827" s="42">
        <v>4192</v>
      </c>
      <c r="B3827" s="42">
        <v>17386</v>
      </c>
      <c r="C3827" s="34" t="s">
        <v>4567</v>
      </c>
    </row>
    <row r="3828" spans="1:3" ht="15.75" customHeight="1" x14ac:dyDescent="0.2">
      <c r="A3828" s="42">
        <v>4193</v>
      </c>
      <c r="B3828" s="42">
        <v>17387</v>
      </c>
      <c r="C3828" s="34" t="s">
        <v>4568</v>
      </c>
    </row>
    <row r="3829" spans="1:3" ht="15.75" customHeight="1" x14ac:dyDescent="0.2">
      <c r="A3829" s="42">
        <v>4194</v>
      </c>
      <c r="B3829" s="42">
        <v>17387</v>
      </c>
      <c r="C3829" s="34" t="s">
        <v>4569</v>
      </c>
    </row>
    <row r="3830" spans="1:3" ht="15.75" customHeight="1" x14ac:dyDescent="0.2">
      <c r="A3830" s="42">
        <v>4195</v>
      </c>
      <c r="B3830" s="42">
        <v>17387</v>
      </c>
      <c r="C3830" s="34" t="s">
        <v>4570</v>
      </c>
    </row>
    <row r="3831" spans="1:3" ht="15.75" customHeight="1" x14ac:dyDescent="0.2">
      <c r="A3831" s="42">
        <v>4196</v>
      </c>
      <c r="B3831" s="42">
        <v>17387</v>
      </c>
      <c r="C3831" s="34" t="s">
        <v>4571</v>
      </c>
    </row>
    <row r="3832" spans="1:3" ht="15.75" customHeight="1" x14ac:dyDescent="0.2">
      <c r="A3832" s="42">
        <v>4197</v>
      </c>
      <c r="B3832" s="42">
        <v>17387</v>
      </c>
      <c r="C3832" s="34" t="s">
        <v>4572</v>
      </c>
    </row>
    <row r="3833" spans="1:3" ht="15.75" customHeight="1" x14ac:dyDescent="0.2">
      <c r="A3833" s="42">
        <v>4198</v>
      </c>
      <c r="B3833" s="42">
        <v>17387</v>
      </c>
      <c r="C3833" s="34" t="s">
        <v>4573</v>
      </c>
    </row>
    <row r="3834" spans="1:3" ht="15.75" customHeight="1" x14ac:dyDescent="0.2">
      <c r="A3834" s="42">
        <v>4199</v>
      </c>
      <c r="B3834" s="42">
        <v>17387</v>
      </c>
      <c r="C3834" s="34" t="s">
        <v>4574</v>
      </c>
    </row>
    <row r="3835" spans="1:3" ht="15.75" customHeight="1" x14ac:dyDescent="0.2">
      <c r="A3835" s="42">
        <v>4200</v>
      </c>
      <c r="B3835" s="42">
        <v>17387</v>
      </c>
      <c r="C3835" s="34" t="s">
        <v>4568</v>
      </c>
    </row>
    <row r="3836" spans="1:3" ht="15.75" customHeight="1" x14ac:dyDescent="0.2">
      <c r="A3836" s="42">
        <v>4201</v>
      </c>
      <c r="B3836" s="42">
        <v>17387</v>
      </c>
      <c r="C3836" s="34" t="s">
        <v>4575</v>
      </c>
    </row>
    <row r="3837" spans="1:3" ht="15.75" customHeight="1" x14ac:dyDescent="0.2">
      <c r="A3837" s="42">
        <v>4202</v>
      </c>
      <c r="B3837" s="42">
        <v>17387</v>
      </c>
      <c r="C3837" s="34" t="s">
        <v>4576</v>
      </c>
    </row>
    <row r="3838" spans="1:3" ht="15.75" customHeight="1" x14ac:dyDescent="0.2">
      <c r="A3838" s="42">
        <v>4203</v>
      </c>
      <c r="B3838" s="42">
        <v>17387</v>
      </c>
      <c r="C3838" s="34" t="s">
        <v>4577</v>
      </c>
    </row>
    <row r="3839" spans="1:3" ht="15.75" customHeight="1" x14ac:dyDescent="0.2">
      <c r="A3839" s="42">
        <v>4204</v>
      </c>
      <c r="B3839" s="42">
        <v>17387</v>
      </c>
      <c r="C3839" s="34" t="s">
        <v>4578</v>
      </c>
    </row>
    <row r="3840" spans="1:3" ht="15.75" customHeight="1" x14ac:dyDescent="0.2">
      <c r="A3840" s="42">
        <v>4205</v>
      </c>
      <c r="B3840" s="42">
        <v>17387</v>
      </c>
      <c r="C3840" s="34" t="s">
        <v>4579</v>
      </c>
    </row>
    <row r="3841" spans="1:3" ht="15.75" customHeight="1" x14ac:dyDescent="0.2">
      <c r="A3841" s="42">
        <v>4206</v>
      </c>
      <c r="B3841" s="42">
        <v>17387</v>
      </c>
      <c r="C3841" s="34" t="s">
        <v>4580</v>
      </c>
    </row>
    <row r="3842" spans="1:3" ht="15.75" customHeight="1" x14ac:dyDescent="0.2">
      <c r="A3842" s="42">
        <v>4207</v>
      </c>
      <c r="B3842" s="42">
        <v>17387</v>
      </c>
      <c r="C3842" s="34" t="s">
        <v>4581</v>
      </c>
    </row>
    <row r="3843" spans="1:3" ht="15.75" customHeight="1" x14ac:dyDescent="0.2">
      <c r="A3843" s="42">
        <v>4208</v>
      </c>
      <c r="B3843" s="42">
        <v>17387</v>
      </c>
      <c r="C3843" s="34" t="s">
        <v>4582</v>
      </c>
    </row>
    <row r="3844" spans="1:3" ht="15.75" customHeight="1" x14ac:dyDescent="0.2">
      <c r="A3844" s="42">
        <v>4209</v>
      </c>
      <c r="B3844" s="42">
        <v>17387</v>
      </c>
      <c r="C3844" s="34" t="s">
        <v>4583</v>
      </c>
    </row>
    <row r="3845" spans="1:3" ht="15.75" customHeight="1" x14ac:dyDescent="0.2">
      <c r="A3845" s="42">
        <v>4210</v>
      </c>
      <c r="B3845" s="42">
        <v>17387</v>
      </c>
      <c r="C3845" s="34" t="s">
        <v>4568</v>
      </c>
    </row>
    <row r="3846" spans="1:3" ht="15.75" customHeight="1" x14ac:dyDescent="0.2">
      <c r="A3846" s="42">
        <v>4211</v>
      </c>
      <c r="B3846" s="42">
        <v>17387</v>
      </c>
      <c r="C3846" s="34" t="s">
        <v>4570</v>
      </c>
    </row>
    <row r="3847" spans="1:3" ht="15.75" customHeight="1" x14ac:dyDescent="0.2">
      <c r="A3847" s="42">
        <v>4212</v>
      </c>
      <c r="B3847" s="42">
        <v>17387</v>
      </c>
      <c r="C3847" s="34" t="s">
        <v>4584</v>
      </c>
    </row>
    <row r="3848" spans="1:3" ht="15.75" customHeight="1" x14ac:dyDescent="0.2">
      <c r="A3848" s="42">
        <v>4213</v>
      </c>
      <c r="B3848" s="42">
        <v>17387</v>
      </c>
      <c r="C3848" s="34" t="s">
        <v>4585</v>
      </c>
    </row>
    <row r="3849" spans="1:3" ht="15.75" customHeight="1" x14ac:dyDescent="0.2">
      <c r="A3849" s="42">
        <v>4214</v>
      </c>
      <c r="B3849" s="42">
        <v>17387</v>
      </c>
      <c r="C3849" s="34" t="s">
        <v>4586</v>
      </c>
    </row>
    <row r="3850" spans="1:3" ht="15.75" customHeight="1" x14ac:dyDescent="0.2">
      <c r="A3850" s="42">
        <v>4215</v>
      </c>
      <c r="B3850" s="42">
        <v>17387</v>
      </c>
      <c r="C3850" s="34" t="s">
        <v>4587</v>
      </c>
    </row>
    <row r="3851" spans="1:3" ht="15.75" customHeight="1" x14ac:dyDescent="0.2">
      <c r="A3851" s="42">
        <v>4216</v>
      </c>
      <c r="B3851" s="42">
        <v>17387</v>
      </c>
      <c r="C3851" s="34" t="s">
        <v>4588</v>
      </c>
    </row>
    <row r="3852" spans="1:3" ht="15.75" customHeight="1" x14ac:dyDescent="0.2">
      <c r="A3852" s="42">
        <v>4217</v>
      </c>
      <c r="B3852" s="42">
        <v>17387</v>
      </c>
      <c r="C3852" s="34" t="s">
        <v>4568</v>
      </c>
    </row>
    <row r="3853" spans="1:3" ht="15.75" customHeight="1" x14ac:dyDescent="0.2">
      <c r="A3853" s="42">
        <v>4218</v>
      </c>
      <c r="B3853" s="42">
        <v>17387</v>
      </c>
      <c r="C3853" s="34" t="s">
        <v>4589</v>
      </c>
    </row>
    <row r="3854" spans="1:3" ht="15.75" customHeight="1" x14ac:dyDescent="0.2">
      <c r="A3854" s="42">
        <v>4219</v>
      </c>
      <c r="B3854" s="42">
        <v>17387</v>
      </c>
      <c r="C3854" s="34" t="s">
        <v>4590</v>
      </c>
    </row>
    <row r="3855" spans="1:3" ht="15.75" customHeight="1" x14ac:dyDescent="0.2">
      <c r="A3855" s="42">
        <v>4220</v>
      </c>
      <c r="B3855" s="42">
        <v>17387</v>
      </c>
      <c r="C3855" s="34" t="s">
        <v>4591</v>
      </c>
    </row>
    <row r="3856" spans="1:3" ht="15.75" customHeight="1" x14ac:dyDescent="0.2">
      <c r="A3856" s="42">
        <v>4221</v>
      </c>
      <c r="B3856" s="42">
        <v>17387</v>
      </c>
      <c r="C3856" s="34" t="s">
        <v>4592</v>
      </c>
    </row>
    <row r="3857" spans="1:3" ht="15.75" customHeight="1" x14ac:dyDescent="0.2">
      <c r="A3857" s="42">
        <v>4222</v>
      </c>
      <c r="B3857" s="42">
        <v>17387</v>
      </c>
      <c r="C3857" s="34" t="s">
        <v>4593</v>
      </c>
    </row>
    <row r="3858" spans="1:3" ht="15.75" customHeight="1" x14ac:dyDescent="0.2">
      <c r="A3858" s="42">
        <v>4223</v>
      </c>
      <c r="B3858" s="42">
        <v>17387</v>
      </c>
      <c r="C3858" s="34" t="s">
        <v>4594</v>
      </c>
    </row>
    <row r="3859" spans="1:3" ht="15.75" customHeight="1" x14ac:dyDescent="0.2">
      <c r="A3859" s="42">
        <v>4224</v>
      </c>
      <c r="B3859" s="42">
        <v>17387</v>
      </c>
      <c r="C3859" s="34" t="s">
        <v>4595</v>
      </c>
    </row>
    <row r="3860" spans="1:3" ht="15.75" customHeight="1" x14ac:dyDescent="0.2">
      <c r="A3860" s="42">
        <v>4225</v>
      </c>
      <c r="B3860" s="42">
        <v>17387</v>
      </c>
      <c r="C3860" s="34" t="s">
        <v>4596</v>
      </c>
    </row>
    <row r="3861" spans="1:3" ht="15.75" customHeight="1" x14ac:dyDescent="0.2">
      <c r="A3861" s="42">
        <v>4226</v>
      </c>
      <c r="B3861" s="42">
        <v>17387</v>
      </c>
      <c r="C3861" s="34" t="s">
        <v>4597</v>
      </c>
    </row>
    <row r="3862" spans="1:3" ht="15.75" customHeight="1" x14ac:dyDescent="0.2">
      <c r="A3862" s="42">
        <v>4227</v>
      </c>
      <c r="B3862" s="42">
        <v>17387</v>
      </c>
      <c r="C3862" s="34" t="s">
        <v>4598</v>
      </c>
    </row>
    <row r="3863" spans="1:3" ht="15.75" customHeight="1" x14ac:dyDescent="0.2">
      <c r="A3863" s="42">
        <v>4228</v>
      </c>
      <c r="B3863" s="42">
        <v>17387</v>
      </c>
      <c r="C3863" s="34" t="s">
        <v>4599</v>
      </c>
    </row>
    <row r="3864" spans="1:3" ht="15.75" customHeight="1" x14ac:dyDescent="0.2">
      <c r="A3864" s="42">
        <v>4229</v>
      </c>
      <c r="B3864" s="42">
        <v>17387</v>
      </c>
      <c r="C3864" s="34" t="s">
        <v>4600</v>
      </c>
    </row>
    <row r="3865" spans="1:3" ht="15.75" customHeight="1" x14ac:dyDescent="0.2">
      <c r="A3865" s="42">
        <v>4230</v>
      </c>
      <c r="B3865" s="42">
        <v>17387</v>
      </c>
      <c r="C3865" s="34" t="s">
        <v>4601</v>
      </c>
    </row>
    <row r="3866" spans="1:3" ht="15.75" customHeight="1" x14ac:dyDescent="0.2">
      <c r="A3866" s="42">
        <v>4231</v>
      </c>
      <c r="B3866" s="42">
        <v>17387</v>
      </c>
      <c r="C3866" s="34" t="s">
        <v>4602</v>
      </c>
    </row>
    <row r="3867" spans="1:3" ht="15.75" customHeight="1" x14ac:dyDescent="0.2">
      <c r="A3867" s="42">
        <v>4232</v>
      </c>
      <c r="B3867" s="42">
        <v>17387</v>
      </c>
      <c r="C3867" s="34" t="s">
        <v>4603</v>
      </c>
    </row>
    <row r="3868" spans="1:3" ht="15.75" customHeight="1" x14ac:dyDescent="0.2">
      <c r="A3868" s="42">
        <v>4233</v>
      </c>
      <c r="B3868" s="42">
        <v>17387</v>
      </c>
      <c r="C3868" s="34" t="s">
        <v>4604</v>
      </c>
    </row>
    <row r="3869" spans="1:3" ht="15.75" customHeight="1" x14ac:dyDescent="0.2">
      <c r="A3869" s="42">
        <v>4234</v>
      </c>
      <c r="B3869" s="42">
        <v>17387</v>
      </c>
      <c r="C3869" s="34" t="s">
        <v>4605</v>
      </c>
    </row>
    <row r="3870" spans="1:3" ht="15.75" customHeight="1" x14ac:dyDescent="0.2">
      <c r="A3870" s="42">
        <v>4235</v>
      </c>
      <c r="B3870" s="42">
        <v>17387</v>
      </c>
      <c r="C3870" s="34" t="s">
        <v>4606</v>
      </c>
    </row>
    <row r="3871" spans="1:3" ht="15.75" customHeight="1" x14ac:dyDescent="0.2">
      <c r="A3871" s="42">
        <v>4236</v>
      </c>
      <c r="B3871" s="42">
        <v>17387</v>
      </c>
      <c r="C3871" s="34" t="s">
        <v>4607</v>
      </c>
    </row>
    <row r="3872" spans="1:3" ht="15.75" customHeight="1" x14ac:dyDescent="0.2">
      <c r="A3872" s="42">
        <v>4237</v>
      </c>
      <c r="B3872" s="42">
        <v>17387</v>
      </c>
      <c r="C3872" s="34" t="s">
        <v>4608</v>
      </c>
    </row>
    <row r="3873" spans="1:3" ht="15.75" customHeight="1" x14ac:dyDescent="0.2">
      <c r="A3873" s="42">
        <v>4238</v>
      </c>
      <c r="B3873" s="42">
        <v>17388</v>
      </c>
      <c r="C3873" s="34" t="s">
        <v>4609</v>
      </c>
    </row>
    <row r="3874" spans="1:3" ht="15.75" customHeight="1" x14ac:dyDescent="0.2">
      <c r="A3874" s="42">
        <v>4239</v>
      </c>
      <c r="B3874" s="42">
        <v>17388</v>
      </c>
      <c r="C3874" s="34" t="s">
        <v>4610</v>
      </c>
    </row>
    <row r="3875" spans="1:3" ht="15.75" customHeight="1" x14ac:dyDescent="0.2">
      <c r="A3875" s="42">
        <v>4240</v>
      </c>
      <c r="B3875" s="42">
        <v>17388</v>
      </c>
      <c r="C3875" s="34" t="s">
        <v>4611</v>
      </c>
    </row>
    <row r="3876" spans="1:3" ht="15.75" customHeight="1" x14ac:dyDescent="0.2">
      <c r="A3876" s="42">
        <v>4241</v>
      </c>
      <c r="B3876" s="42">
        <v>17388</v>
      </c>
      <c r="C3876" s="34" t="s">
        <v>4612</v>
      </c>
    </row>
    <row r="3877" spans="1:3" ht="15.75" customHeight="1" x14ac:dyDescent="0.2">
      <c r="A3877" s="42">
        <v>4242</v>
      </c>
      <c r="B3877" s="42">
        <v>17388</v>
      </c>
      <c r="C3877" s="34" t="s">
        <v>4613</v>
      </c>
    </row>
    <row r="3878" spans="1:3" ht="15.75" customHeight="1" x14ac:dyDescent="0.2">
      <c r="A3878" s="42">
        <v>4243</v>
      </c>
      <c r="B3878" s="42">
        <v>17388</v>
      </c>
      <c r="C3878" s="34" t="s">
        <v>4614</v>
      </c>
    </row>
    <row r="3879" spans="1:3" ht="15.75" customHeight="1" x14ac:dyDescent="0.2">
      <c r="A3879" s="42">
        <v>4244</v>
      </c>
      <c r="B3879" s="42">
        <v>17388</v>
      </c>
      <c r="C3879" s="34" t="s">
        <v>4615</v>
      </c>
    </row>
    <row r="3880" spans="1:3" ht="15.75" customHeight="1" x14ac:dyDescent="0.2">
      <c r="A3880" s="42">
        <v>4245</v>
      </c>
      <c r="B3880" s="42">
        <v>17388</v>
      </c>
      <c r="C3880" s="34" t="s">
        <v>4616</v>
      </c>
    </row>
    <row r="3881" spans="1:3" ht="15.75" customHeight="1" x14ac:dyDescent="0.2">
      <c r="A3881" s="42">
        <v>4246</v>
      </c>
      <c r="B3881" s="42">
        <v>17388</v>
      </c>
      <c r="C3881" s="34" t="s">
        <v>4617</v>
      </c>
    </row>
    <row r="3882" spans="1:3" ht="15.75" customHeight="1" x14ac:dyDescent="0.2">
      <c r="A3882" s="42">
        <v>4247</v>
      </c>
      <c r="B3882" s="42">
        <v>17388</v>
      </c>
      <c r="C3882" s="34" t="s">
        <v>4618</v>
      </c>
    </row>
    <row r="3883" spans="1:3" ht="15.75" customHeight="1" x14ac:dyDescent="0.2">
      <c r="A3883" s="42">
        <v>4248</v>
      </c>
      <c r="B3883" s="42">
        <v>17388</v>
      </c>
      <c r="C3883" s="34" t="s">
        <v>4619</v>
      </c>
    </row>
    <row r="3884" spans="1:3" ht="15.75" customHeight="1" x14ac:dyDescent="0.2">
      <c r="A3884" s="42">
        <v>4249</v>
      </c>
      <c r="B3884" s="42">
        <v>17388</v>
      </c>
      <c r="C3884" s="34" t="s">
        <v>4620</v>
      </c>
    </row>
    <row r="3885" spans="1:3" ht="15.75" customHeight="1" x14ac:dyDescent="0.2">
      <c r="A3885" s="42">
        <v>4250</v>
      </c>
      <c r="B3885" s="42">
        <v>17388</v>
      </c>
      <c r="C3885" s="34" t="s">
        <v>4621</v>
      </c>
    </row>
    <row r="3886" spans="1:3" ht="15.75" customHeight="1" x14ac:dyDescent="0.2">
      <c r="A3886" s="42">
        <v>4251</v>
      </c>
      <c r="B3886" s="42">
        <v>17388</v>
      </c>
      <c r="C3886" s="34" t="s">
        <v>4622</v>
      </c>
    </row>
    <row r="3887" spans="1:3" ht="15.75" customHeight="1" x14ac:dyDescent="0.2">
      <c r="A3887" s="42">
        <v>4252</v>
      </c>
      <c r="B3887" s="42">
        <v>17388</v>
      </c>
      <c r="C3887" s="34" t="s">
        <v>4623</v>
      </c>
    </row>
    <row r="3888" spans="1:3" ht="15.75" customHeight="1" x14ac:dyDescent="0.2">
      <c r="A3888" s="42">
        <v>4253</v>
      </c>
      <c r="B3888" s="42">
        <v>17388</v>
      </c>
      <c r="C3888" s="34" t="s">
        <v>4624</v>
      </c>
    </row>
    <row r="3889" spans="1:3" ht="15.75" customHeight="1" x14ac:dyDescent="0.2">
      <c r="A3889" s="42">
        <v>4254</v>
      </c>
      <c r="B3889" s="42">
        <v>17388</v>
      </c>
      <c r="C3889" s="34" t="s">
        <v>4625</v>
      </c>
    </row>
    <row r="3890" spans="1:3" ht="15.75" customHeight="1" x14ac:dyDescent="0.2">
      <c r="A3890" s="42">
        <v>4255</v>
      </c>
      <c r="B3890" s="42">
        <v>17388</v>
      </c>
      <c r="C3890" s="34" t="s">
        <v>4626</v>
      </c>
    </row>
    <row r="3891" spans="1:3" ht="15.75" customHeight="1" x14ac:dyDescent="0.2">
      <c r="A3891" s="42">
        <v>4256</v>
      </c>
      <c r="B3891" s="42">
        <v>17388</v>
      </c>
      <c r="C3891" s="34" t="s">
        <v>4627</v>
      </c>
    </row>
    <row r="3892" spans="1:3" ht="15.75" customHeight="1" x14ac:dyDescent="0.2">
      <c r="A3892" s="42">
        <v>4257</v>
      </c>
      <c r="B3892" s="42">
        <v>17388</v>
      </c>
      <c r="C3892" s="34" t="s">
        <v>4628</v>
      </c>
    </row>
    <row r="3893" spans="1:3" ht="15.75" customHeight="1" x14ac:dyDescent="0.2">
      <c r="A3893" s="42">
        <v>4258</v>
      </c>
      <c r="B3893" s="42">
        <v>17388</v>
      </c>
      <c r="C3893" s="34" t="s">
        <v>4629</v>
      </c>
    </row>
    <row r="3894" spans="1:3" ht="15.75" customHeight="1" x14ac:dyDescent="0.2">
      <c r="A3894" s="42">
        <v>4259</v>
      </c>
      <c r="B3894" s="42">
        <v>17388</v>
      </c>
      <c r="C3894" s="34" t="s">
        <v>4630</v>
      </c>
    </row>
    <row r="3895" spans="1:3" ht="15.75" customHeight="1" x14ac:dyDescent="0.2">
      <c r="A3895" s="42">
        <v>4260</v>
      </c>
      <c r="B3895" s="42">
        <v>17388</v>
      </c>
      <c r="C3895" s="34" t="s">
        <v>4631</v>
      </c>
    </row>
    <row r="3896" spans="1:3" ht="15.75" customHeight="1" x14ac:dyDescent="0.2">
      <c r="A3896" s="42">
        <v>4261</v>
      </c>
      <c r="B3896" s="42">
        <v>17388</v>
      </c>
      <c r="C3896" s="34" t="s">
        <v>4632</v>
      </c>
    </row>
    <row r="3897" spans="1:3" ht="15.75" customHeight="1" x14ac:dyDescent="0.2">
      <c r="A3897" s="42">
        <v>4262</v>
      </c>
      <c r="B3897" s="42">
        <v>17388</v>
      </c>
      <c r="C3897" s="34" t="s">
        <v>4633</v>
      </c>
    </row>
    <row r="3898" spans="1:3" ht="15.75" customHeight="1" x14ac:dyDescent="0.2">
      <c r="A3898" s="42">
        <v>4263</v>
      </c>
      <c r="B3898" s="42">
        <v>17388</v>
      </c>
      <c r="C3898" s="34" t="s">
        <v>4634</v>
      </c>
    </row>
    <row r="3899" spans="1:3" ht="15.75" customHeight="1" x14ac:dyDescent="0.2">
      <c r="A3899" s="42">
        <v>4264</v>
      </c>
      <c r="B3899" s="42">
        <v>17388</v>
      </c>
      <c r="C3899" s="34" t="s">
        <v>4635</v>
      </c>
    </row>
    <row r="3900" spans="1:3" ht="15.75" customHeight="1" x14ac:dyDescent="0.2">
      <c r="A3900" s="42">
        <v>4265</v>
      </c>
      <c r="B3900" s="42">
        <v>17388</v>
      </c>
      <c r="C3900" s="34" t="s">
        <v>4636</v>
      </c>
    </row>
    <row r="3901" spans="1:3" ht="15.75" customHeight="1" x14ac:dyDescent="0.2">
      <c r="A3901" s="42">
        <v>4266</v>
      </c>
      <c r="B3901" s="42">
        <v>17388</v>
      </c>
      <c r="C3901" s="34" t="s">
        <v>4637</v>
      </c>
    </row>
    <row r="3902" spans="1:3" ht="15.75" customHeight="1" x14ac:dyDescent="0.2">
      <c r="A3902" s="42">
        <v>4267</v>
      </c>
      <c r="B3902" s="42">
        <v>17388</v>
      </c>
      <c r="C3902" s="34" t="s">
        <v>4638</v>
      </c>
    </row>
    <row r="3903" spans="1:3" ht="15.75" customHeight="1" x14ac:dyDescent="0.2">
      <c r="A3903" s="42">
        <v>4268</v>
      </c>
      <c r="B3903" s="42">
        <v>17388</v>
      </c>
      <c r="C3903" s="34" t="s">
        <v>4639</v>
      </c>
    </row>
    <row r="3904" spans="1:3" ht="15.75" customHeight="1" x14ac:dyDescent="0.2">
      <c r="A3904" s="42">
        <v>4269</v>
      </c>
      <c r="B3904" s="42">
        <v>17388</v>
      </c>
      <c r="C3904" s="34" t="s">
        <v>4640</v>
      </c>
    </row>
    <row r="3905" spans="1:3" ht="15.75" customHeight="1" x14ac:dyDescent="0.2">
      <c r="A3905" s="42">
        <v>4270</v>
      </c>
      <c r="B3905" s="42">
        <v>17388</v>
      </c>
      <c r="C3905" s="34" t="s">
        <v>4641</v>
      </c>
    </row>
    <row r="3906" spans="1:3" ht="15.75" customHeight="1" x14ac:dyDescent="0.2">
      <c r="A3906" s="42">
        <v>4271</v>
      </c>
      <c r="B3906" s="42">
        <v>17388</v>
      </c>
      <c r="C3906" s="34" t="s">
        <v>4642</v>
      </c>
    </row>
    <row r="3907" spans="1:3" ht="15.75" customHeight="1" x14ac:dyDescent="0.2">
      <c r="A3907" s="42">
        <v>4272</v>
      </c>
      <c r="B3907" s="42">
        <v>17388</v>
      </c>
      <c r="C3907" s="34" t="s">
        <v>4643</v>
      </c>
    </row>
    <row r="3908" spans="1:3" ht="15.75" customHeight="1" x14ac:dyDescent="0.2">
      <c r="A3908" s="42">
        <v>4273</v>
      </c>
      <c r="B3908" s="42">
        <v>17388</v>
      </c>
      <c r="C3908" s="34" t="s">
        <v>4644</v>
      </c>
    </row>
    <row r="3909" spans="1:3" ht="15.75" customHeight="1" x14ac:dyDescent="0.2">
      <c r="A3909" s="42">
        <v>4274</v>
      </c>
      <c r="B3909" s="42">
        <v>17388</v>
      </c>
      <c r="C3909" s="34" t="s">
        <v>4645</v>
      </c>
    </row>
    <row r="3910" spans="1:3" ht="15.75" customHeight="1" x14ac:dyDescent="0.2">
      <c r="A3910" s="42">
        <v>4275</v>
      </c>
      <c r="B3910" s="42">
        <v>17388</v>
      </c>
      <c r="C3910" s="34" t="s">
        <v>4646</v>
      </c>
    </row>
    <row r="3911" spans="1:3" ht="15.75" customHeight="1" x14ac:dyDescent="0.2">
      <c r="A3911" s="42">
        <v>4276</v>
      </c>
      <c r="B3911" s="42">
        <v>17388</v>
      </c>
      <c r="C3911" s="34" t="s">
        <v>4647</v>
      </c>
    </row>
    <row r="3912" spans="1:3" ht="15.75" customHeight="1" x14ac:dyDescent="0.2">
      <c r="A3912" s="42">
        <v>4277</v>
      </c>
      <c r="B3912" s="42">
        <v>17388</v>
      </c>
      <c r="C3912" s="34" t="s">
        <v>4648</v>
      </c>
    </row>
    <row r="3913" spans="1:3" ht="15.75" customHeight="1" x14ac:dyDescent="0.2">
      <c r="A3913" s="42">
        <v>4278</v>
      </c>
      <c r="B3913" s="42">
        <v>17388</v>
      </c>
      <c r="C3913" s="34" t="s">
        <v>4649</v>
      </c>
    </row>
    <row r="3914" spans="1:3" ht="15.75" customHeight="1" x14ac:dyDescent="0.2">
      <c r="A3914" s="42">
        <v>4279</v>
      </c>
      <c r="B3914" s="42">
        <v>17388</v>
      </c>
      <c r="C3914" s="34" t="s">
        <v>4650</v>
      </c>
    </row>
    <row r="3915" spans="1:3" ht="15.75" customHeight="1" x14ac:dyDescent="0.2">
      <c r="A3915" s="42">
        <v>4280</v>
      </c>
      <c r="B3915" s="42">
        <v>17388</v>
      </c>
      <c r="C3915" s="34" t="s">
        <v>4651</v>
      </c>
    </row>
    <row r="3916" spans="1:3" ht="15.75" customHeight="1" x14ac:dyDescent="0.2">
      <c r="A3916" s="42">
        <v>4281</v>
      </c>
      <c r="B3916" s="42">
        <v>17388</v>
      </c>
      <c r="C3916" s="34" t="s">
        <v>4652</v>
      </c>
    </row>
    <row r="3917" spans="1:3" ht="15.75" customHeight="1" x14ac:dyDescent="0.2">
      <c r="A3917" s="42">
        <v>4282</v>
      </c>
      <c r="B3917" s="42">
        <v>17388</v>
      </c>
      <c r="C3917" s="34" t="s">
        <v>4653</v>
      </c>
    </row>
    <row r="3918" spans="1:3" ht="15.75" customHeight="1" x14ac:dyDescent="0.2">
      <c r="A3918" s="42">
        <v>4283</v>
      </c>
      <c r="B3918" s="42">
        <v>17388</v>
      </c>
      <c r="C3918" s="34" t="s">
        <v>4654</v>
      </c>
    </row>
    <row r="3919" spans="1:3" ht="15.75" customHeight="1" x14ac:dyDescent="0.2">
      <c r="A3919" s="42">
        <v>4284</v>
      </c>
      <c r="B3919" s="42">
        <v>17388</v>
      </c>
      <c r="C3919" s="34" t="s">
        <v>4655</v>
      </c>
    </row>
    <row r="3920" spans="1:3" ht="15.75" customHeight="1" x14ac:dyDescent="0.2">
      <c r="A3920" s="42">
        <v>4285</v>
      </c>
      <c r="B3920" s="42">
        <v>17388</v>
      </c>
      <c r="C3920" s="34" t="s">
        <v>4656</v>
      </c>
    </row>
    <row r="3921" spans="1:3" ht="15.75" customHeight="1" x14ac:dyDescent="0.2">
      <c r="A3921" s="42">
        <v>4286</v>
      </c>
      <c r="B3921" s="42">
        <v>17388</v>
      </c>
      <c r="C3921" s="34" t="s">
        <v>4657</v>
      </c>
    </row>
    <row r="3922" spans="1:3" ht="15.75" customHeight="1" x14ac:dyDescent="0.2">
      <c r="A3922" s="42">
        <v>4287</v>
      </c>
      <c r="B3922" s="42">
        <v>17388</v>
      </c>
      <c r="C3922" s="34" t="s">
        <v>4658</v>
      </c>
    </row>
    <row r="3923" spans="1:3" ht="15.75" customHeight="1" x14ac:dyDescent="0.2">
      <c r="A3923" s="42">
        <v>4288</v>
      </c>
      <c r="B3923" s="42">
        <v>17388</v>
      </c>
      <c r="C3923" s="34" t="s">
        <v>4659</v>
      </c>
    </row>
    <row r="3924" spans="1:3" ht="15.75" customHeight="1" x14ac:dyDescent="0.2">
      <c r="A3924" s="42">
        <v>4289</v>
      </c>
      <c r="B3924" s="42">
        <v>17388</v>
      </c>
      <c r="C3924" s="34" t="s">
        <v>4660</v>
      </c>
    </row>
    <row r="3925" spans="1:3" ht="15.75" customHeight="1" x14ac:dyDescent="0.2">
      <c r="A3925" s="42">
        <v>4290</v>
      </c>
      <c r="B3925" s="42">
        <v>17388</v>
      </c>
      <c r="C3925" s="34" t="s">
        <v>4661</v>
      </c>
    </row>
    <row r="3926" spans="1:3" ht="15.75" customHeight="1" x14ac:dyDescent="0.2">
      <c r="A3926" s="42">
        <v>4291</v>
      </c>
      <c r="B3926" s="42">
        <v>17388</v>
      </c>
      <c r="C3926" s="34" t="s">
        <v>4662</v>
      </c>
    </row>
    <row r="3927" spans="1:3" ht="15.75" customHeight="1" x14ac:dyDescent="0.2">
      <c r="A3927" s="42">
        <v>4292</v>
      </c>
      <c r="B3927" s="42">
        <v>17388</v>
      </c>
      <c r="C3927" s="34" t="s">
        <v>4663</v>
      </c>
    </row>
    <row r="3928" spans="1:3" ht="15.75" customHeight="1" x14ac:dyDescent="0.2">
      <c r="A3928" s="42">
        <v>4293</v>
      </c>
      <c r="B3928" s="42">
        <v>17388</v>
      </c>
      <c r="C3928" s="34" t="s">
        <v>4664</v>
      </c>
    </row>
    <row r="3929" spans="1:3" ht="15.75" customHeight="1" x14ac:dyDescent="0.2">
      <c r="A3929" s="42">
        <v>4294</v>
      </c>
      <c r="B3929" s="42">
        <v>17388</v>
      </c>
      <c r="C3929" s="34" t="s">
        <v>4665</v>
      </c>
    </row>
    <row r="3930" spans="1:3" ht="15.75" customHeight="1" x14ac:dyDescent="0.2">
      <c r="A3930" s="42">
        <v>4295</v>
      </c>
      <c r="B3930" s="42">
        <v>17388</v>
      </c>
      <c r="C3930" s="34" t="s">
        <v>4666</v>
      </c>
    </row>
    <row r="3931" spans="1:3" ht="15.75" customHeight="1" x14ac:dyDescent="0.2">
      <c r="A3931" s="42">
        <v>4296</v>
      </c>
      <c r="B3931" s="42">
        <v>17388</v>
      </c>
      <c r="C3931" s="34" t="s">
        <v>4667</v>
      </c>
    </row>
    <row r="3932" spans="1:3" ht="15.75" customHeight="1" x14ac:dyDescent="0.2">
      <c r="A3932" s="42">
        <v>4297</v>
      </c>
      <c r="B3932" s="42">
        <v>17388</v>
      </c>
      <c r="C3932" s="34" t="s">
        <v>4668</v>
      </c>
    </row>
    <row r="3933" spans="1:3" ht="15.75" customHeight="1" x14ac:dyDescent="0.2">
      <c r="A3933" s="42">
        <v>4298</v>
      </c>
      <c r="B3933" s="42">
        <v>17388</v>
      </c>
      <c r="C3933" s="34" t="s">
        <v>4669</v>
      </c>
    </row>
    <row r="3934" spans="1:3" ht="15.75" customHeight="1" x14ac:dyDescent="0.2">
      <c r="A3934" s="42">
        <v>4299</v>
      </c>
      <c r="B3934" s="42">
        <v>17388</v>
      </c>
      <c r="C3934" s="34" t="s">
        <v>4670</v>
      </c>
    </row>
    <row r="3935" spans="1:3" ht="15.75" customHeight="1" x14ac:dyDescent="0.2">
      <c r="A3935" s="42">
        <v>4300</v>
      </c>
      <c r="B3935" s="42">
        <v>17388</v>
      </c>
      <c r="C3935" s="34" t="s">
        <v>4671</v>
      </c>
    </row>
    <row r="3936" spans="1:3" ht="15.75" customHeight="1" x14ac:dyDescent="0.2">
      <c r="A3936" s="42">
        <v>4301</v>
      </c>
      <c r="B3936" s="42">
        <v>17388</v>
      </c>
      <c r="C3936" s="34" t="s">
        <v>4672</v>
      </c>
    </row>
    <row r="3937" spans="1:3" ht="15.75" customHeight="1" x14ac:dyDescent="0.2">
      <c r="A3937" s="42">
        <v>4302</v>
      </c>
      <c r="B3937" s="42">
        <v>17388</v>
      </c>
      <c r="C3937" s="34" t="s">
        <v>4673</v>
      </c>
    </row>
    <row r="3938" spans="1:3" ht="15.75" customHeight="1" x14ac:dyDescent="0.2">
      <c r="A3938" s="42">
        <v>4303</v>
      </c>
      <c r="B3938" s="42">
        <v>17388</v>
      </c>
      <c r="C3938" s="34" t="s">
        <v>4674</v>
      </c>
    </row>
    <row r="3939" spans="1:3" ht="15.75" customHeight="1" x14ac:dyDescent="0.2">
      <c r="A3939" s="42">
        <v>4304</v>
      </c>
      <c r="B3939" s="42">
        <v>17388</v>
      </c>
      <c r="C3939" s="34" t="s">
        <v>4675</v>
      </c>
    </row>
    <row r="3940" spans="1:3" ht="15.75" customHeight="1" x14ac:dyDescent="0.2">
      <c r="A3940" s="42">
        <v>4305</v>
      </c>
      <c r="B3940" s="42">
        <v>17388</v>
      </c>
      <c r="C3940" s="34" t="s">
        <v>4676</v>
      </c>
    </row>
    <row r="3941" spans="1:3" ht="15.75" customHeight="1" x14ac:dyDescent="0.2">
      <c r="A3941" s="42">
        <v>4306</v>
      </c>
      <c r="B3941" s="42">
        <v>17388</v>
      </c>
      <c r="C3941" s="34" t="s">
        <v>4677</v>
      </c>
    </row>
    <row r="3942" spans="1:3" ht="15.75" customHeight="1" x14ac:dyDescent="0.2">
      <c r="A3942" s="42">
        <v>4307</v>
      </c>
      <c r="B3942" s="42">
        <v>17388</v>
      </c>
      <c r="C3942" s="34" t="s">
        <v>4678</v>
      </c>
    </row>
    <row r="3943" spans="1:3" ht="15.75" customHeight="1" x14ac:dyDescent="0.2">
      <c r="A3943" s="42">
        <v>4308</v>
      </c>
      <c r="B3943" s="42">
        <v>17388</v>
      </c>
      <c r="C3943" s="34" t="s">
        <v>4679</v>
      </c>
    </row>
    <row r="3944" spans="1:3" ht="15.75" customHeight="1" x14ac:dyDescent="0.2">
      <c r="A3944" s="42">
        <v>4309</v>
      </c>
      <c r="B3944" s="42">
        <v>17388</v>
      </c>
      <c r="C3944" s="34" t="s">
        <v>4680</v>
      </c>
    </row>
    <row r="3945" spans="1:3" ht="15.75" customHeight="1" x14ac:dyDescent="0.2">
      <c r="A3945" s="42">
        <v>4310</v>
      </c>
      <c r="B3945" s="42">
        <v>17388</v>
      </c>
      <c r="C3945" s="34" t="s">
        <v>4681</v>
      </c>
    </row>
    <row r="3946" spans="1:3" ht="15.75" customHeight="1" x14ac:dyDescent="0.2">
      <c r="A3946" s="42">
        <v>4311</v>
      </c>
      <c r="B3946" s="42">
        <v>17388</v>
      </c>
      <c r="C3946" s="34" t="s">
        <v>4682</v>
      </c>
    </row>
    <row r="3947" spans="1:3" ht="15.75" customHeight="1" x14ac:dyDescent="0.2">
      <c r="A3947" s="42">
        <v>4312</v>
      </c>
      <c r="B3947" s="42">
        <v>17389</v>
      </c>
      <c r="C3947" s="34" t="s">
        <v>4683</v>
      </c>
    </row>
    <row r="3948" spans="1:3" ht="15.75" customHeight="1" x14ac:dyDescent="0.2">
      <c r="A3948" s="42">
        <v>4313</v>
      </c>
      <c r="B3948" s="42">
        <v>17389</v>
      </c>
      <c r="C3948" s="34" t="s">
        <v>4684</v>
      </c>
    </row>
    <row r="3949" spans="1:3" ht="15.75" customHeight="1" x14ac:dyDescent="0.2">
      <c r="A3949" s="42">
        <v>4314</v>
      </c>
      <c r="B3949" s="42">
        <v>17389</v>
      </c>
      <c r="C3949" s="34" t="s">
        <v>4685</v>
      </c>
    </row>
    <row r="3950" spans="1:3" ht="15.75" customHeight="1" x14ac:dyDescent="0.2">
      <c r="A3950" s="42">
        <v>4315</v>
      </c>
      <c r="B3950" s="42">
        <v>17389</v>
      </c>
      <c r="C3950" s="34" t="s">
        <v>4686</v>
      </c>
    </row>
    <row r="3951" spans="1:3" ht="15.75" customHeight="1" x14ac:dyDescent="0.2">
      <c r="A3951" s="42">
        <v>4316</v>
      </c>
      <c r="B3951" s="42">
        <v>17389</v>
      </c>
      <c r="C3951" s="34" t="s">
        <v>4687</v>
      </c>
    </row>
    <row r="3952" spans="1:3" ht="15.75" customHeight="1" x14ac:dyDescent="0.2">
      <c r="A3952" s="42">
        <v>4317</v>
      </c>
      <c r="B3952" s="42">
        <v>17389</v>
      </c>
      <c r="C3952" s="34" t="s">
        <v>4688</v>
      </c>
    </row>
    <row r="3953" spans="1:3" ht="15.75" customHeight="1" x14ac:dyDescent="0.2">
      <c r="A3953" s="42">
        <v>4318</v>
      </c>
      <c r="B3953" s="42">
        <v>17389</v>
      </c>
      <c r="C3953" s="34" t="s">
        <v>4689</v>
      </c>
    </row>
    <row r="3954" spans="1:3" ht="15.75" customHeight="1" x14ac:dyDescent="0.2">
      <c r="A3954" s="42">
        <v>4319</v>
      </c>
      <c r="B3954" s="42">
        <v>17389</v>
      </c>
      <c r="C3954" s="34" t="s">
        <v>4690</v>
      </c>
    </row>
    <row r="3955" spans="1:3" ht="15.75" customHeight="1" x14ac:dyDescent="0.2">
      <c r="A3955" s="42">
        <v>4320</v>
      </c>
      <c r="B3955" s="42">
        <v>17389</v>
      </c>
      <c r="C3955" s="34" t="s">
        <v>4691</v>
      </c>
    </row>
    <row r="3956" spans="1:3" ht="15.75" customHeight="1" x14ac:dyDescent="0.2">
      <c r="A3956" s="42">
        <v>4321</v>
      </c>
      <c r="B3956" s="42">
        <v>17389</v>
      </c>
      <c r="C3956" s="34" t="s">
        <v>4692</v>
      </c>
    </row>
    <row r="3957" spans="1:3" ht="15.75" customHeight="1" x14ac:dyDescent="0.2">
      <c r="A3957" s="42">
        <v>4322</v>
      </c>
      <c r="B3957" s="42">
        <v>17389</v>
      </c>
      <c r="C3957" s="34" t="s">
        <v>4693</v>
      </c>
    </row>
    <row r="3958" spans="1:3" ht="15.75" customHeight="1" x14ac:dyDescent="0.2">
      <c r="A3958" s="42">
        <v>4323</v>
      </c>
      <c r="B3958" s="42">
        <v>17389</v>
      </c>
      <c r="C3958" s="34" t="s">
        <v>4694</v>
      </c>
    </row>
    <row r="3959" spans="1:3" ht="15.75" customHeight="1" x14ac:dyDescent="0.2">
      <c r="A3959" s="42">
        <v>4324</v>
      </c>
      <c r="B3959" s="42">
        <v>17389</v>
      </c>
      <c r="C3959" s="34" t="s">
        <v>4695</v>
      </c>
    </row>
    <row r="3960" spans="1:3" ht="15.75" customHeight="1" x14ac:dyDescent="0.2">
      <c r="A3960" s="42">
        <v>4325</v>
      </c>
      <c r="B3960" s="42">
        <v>17389</v>
      </c>
      <c r="C3960" s="34" t="s">
        <v>4696</v>
      </c>
    </row>
    <row r="3961" spans="1:3" ht="15.75" customHeight="1" x14ac:dyDescent="0.2">
      <c r="A3961" s="42">
        <v>4326</v>
      </c>
      <c r="B3961" s="42">
        <v>17389</v>
      </c>
      <c r="C3961" s="34" t="s">
        <v>4697</v>
      </c>
    </row>
    <row r="3962" spans="1:3" ht="15.75" customHeight="1" x14ac:dyDescent="0.2">
      <c r="A3962" s="42">
        <v>4327</v>
      </c>
      <c r="B3962" s="42">
        <v>17389</v>
      </c>
      <c r="C3962" s="34" t="s">
        <v>4698</v>
      </c>
    </row>
    <row r="3963" spans="1:3" ht="15.75" customHeight="1" x14ac:dyDescent="0.2">
      <c r="A3963" s="42">
        <v>4328</v>
      </c>
      <c r="B3963" s="42">
        <v>17389</v>
      </c>
      <c r="C3963" s="34" t="s">
        <v>4699</v>
      </c>
    </row>
    <row r="3964" spans="1:3" ht="15.75" customHeight="1" x14ac:dyDescent="0.2">
      <c r="A3964" s="42">
        <v>4329</v>
      </c>
      <c r="B3964" s="42">
        <v>17389</v>
      </c>
      <c r="C3964" s="34" t="s">
        <v>4700</v>
      </c>
    </row>
    <row r="3965" spans="1:3" ht="15.75" customHeight="1" x14ac:dyDescent="0.2">
      <c r="A3965" s="42">
        <v>4330</v>
      </c>
      <c r="B3965" s="42">
        <v>17389</v>
      </c>
      <c r="C3965" s="34" t="s">
        <v>4701</v>
      </c>
    </row>
    <row r="3966" spans="1:3" ht="15.75" customHeight="1" x14ac:dyDescent="0.2">
      <c r="A3966" s="42">
        <v>4331</v>
      </c>
      <c r="B3966" s="42">
        <v>17389</v>
      </c>
      <c r="C3966" s="34" t="s">
        <v>4702</v>
      </c>
    </row>
    <row r="3967" spans="1:3" ht="15.75" customHeight="1" x14ac:dyDescent="0.2">
      <c r="A3967" s="42">
        <v>4332</v>
      </c>
      <c r="B3967" s="42">
        <v>17389</v>
      </c>
      <c r="C3967" s="34" t="s">
        <v>4703</v>
      </c>
    </row>
    <row r="3968" spans="1:3" ht="15.75" customHeight="1" x14ac:dyDescent="0.2">
      <c r="A3968" s="42">
        <v>4333</v>
      </c>
      <c r="B3968" s="42">
        <v>17389</v>
      </c>
      <c r="C3968" s="34" t="s">
        <v>4704</v>
      </c>
    </row>
    <row r="3969" spans="1:3" ht="15.75" customHeight="1" x14ac:dyDescent="0.2">
      <c r="A3969" s="42">
        <v>4334</v>
      </c>
      <c r="B3969" s="42">
        <v>17389</v>
      </c>
      <c r="C3969" s="34" t="s">
        <v>4705</v>
      </c>
    </row>
    <row r="3970" spans="1:3" ht="15.75" customHeight="1" x14ac:dyDescent="0.2">
      <c r="A3970" s="42">
        <v>4335</v>
      </c>
      <c r="B3970" s="42">
        <v>17389</v>
      </c>
      <c r="C3970" s="34" t="s">
        <v>4706</v>
      </c>
    </row>
    <row r="3971" spans="1:3" ht="15.75" customHeight="1" x14ac:dyDescent="0.2">
      <c r="A3971" s="42">
        <v>4336</v>
      </c>
      <c r="B3971" s="42">
        <v>17389</v>
      </c>
      <c r="C3971" s="34" t="s">
        <v>4707</v>
      </c>
    </row>
    <row r="3972" spans="1:3" ht="15.75" customHeight="1" x14ac:dyDescent="0.2">
      <c r="A3972" s="42">
        <v>4337</v>
      </c>
      <c r="B3972" s="42">
        <v>17389</v>
      </c>
      <c r="C3972" s="34" t="s">
        <v>4708</v>
      </c>
    </row>
    <row r="3973" spans="1:3" ht="15.75" customHeight="1" x14ac:dyDescent="0.2">
      <c r="A3973" s="42">
        <v>4338</v>
      </c>
      <c r="B3973" s="42">
        <v>17389</v>
      </c>
      <c r="C3973" s="34" t="s">
        <v>4709</v>
      </c>
    </row>
    <row r="3974" spans="1:3" ht="15.75" customHeight="1" x14ac:dyDescent="0.2">
      <c r="A3974" s="42">
        <v>4339</v>
      </c>
      <c r="B3974" s="42">
        <v>17389</v>
      </c>
      <c r="C3974" s="34" t="s">
        <v>4710</v>
      </c>
    </row>
    <row r="3975" spans="1:3" ht="15.75" customHeight="1" x14ac:dyDescent="0.2">
      <c r="A3975" s="42">
        <v>4340</v>
      </c>
      <c r="B3975" s="42">
        <v>17389</v>
      </c>
      <c r="C3975" s="34" t="s">
        <v>4711</v>
      </c>
    </row>
    <row r="3976" spans="1:3" ht="15.75" customHeight="1" x14ac:dyDescent="0.2">
      <c r="A3976" s="42">
        <v>4341</v>
      </c>
      <c r="B3976" s="42">
        <v>17389</v>
      </c>
      <c r="C3976" s="34" t="s">
        <v>4712</v>
      </c>
    </row>
    <row r="3977" spans="1:3" ht="15.75" customHeight="1" x14ac:dyDescent="0.2">
      <c r="A3977" s="42">
        <v>4342</v>
      </c>
      <c r="B3977" s="42">
        <v>17389</v>
      </c>
      <c r="C3977" s="34" t="s">
        <v>4713</v>
      </c>
    </row>
    <row r="3978" spans="1:3" ht="15.75" customHeight="1" x14ac:dyDescent="0.2">
      <c r="A3978" s="42">
        <v>4343</v>
      </c>
      <c r="B3978" s="42">
        <v>17389</v>
      </c>
      <c r="C3978" s="34" t="s">
        <v>4714</v>
      </c>
    </row>
    <row r="3979" spans="1:3" ht="15.75" customHeight="1" x14ac:dyDescent="0.2">
      <c r="A3979" s="42">
        <v>4344</v>
      </c>
      <c r="B3979" s="42">
        <v>17389</v>
      </c>
      <c r="C3979" s="34" t="s">
        <v>4715</v>
      </c>
    </row>
    <row r="3980" spans="1:3" ht="15.75" customHeight="1" x14ac:dyDescent="0.2">
      <c r="A3980" s="42">
        <v>4345</v>
      </c>
      <c r="B3980" s="42">
        <v>17389</v>
      </c>
      <c r="C3980" s="34" t="s">
        <v>4716</v>
      </c>
    </row>
    <row r="3981" spans="1:3" ht="15.75" customHeight="1" x14ac:dyDescent="0.2">
      <c r="A3981" s="42">
        <v>4346</v>
      </c>
      <c r="B3981" s="42">
        <v>17389</v>
      </c>
      <c r="C3981" s="34" t="s">
        <v>4717</v>
      </c>
    </row>
    <row r="3982" spans="1:3" ht="15.75" customHeight="1" x14ac:dyDescent="0.2">
      <c r="A3982" s="42">
        <v>4347</v>
      </c>
      <c r="B3982" s="42">
        <v>17389</v>
      </c>
      <c r="C3982" s="34" t="s">
        <v>4718</v>
      </c>
    </row>
    <row r="3983" spans="1:3" ht="15.75" customHeight="1" x14ac:dyDescent="0.2">
      <c r="A3983" s="42">
        <v>4348</v>
      </c>
      <c r="B3983" s="42">
        <v>17389</v>
      </c>
      <c r="C3983" s="34" t="s">
        <v>4719</v>
      </c>
    </row>
    <row r="3984" spans="1:3" ht="15.75" customHeight="1" x14ac:dyDescent="0.2">
      <c r="A3984" s="42">
        <v>4349</v>
      </c>
      <c r="B3984" s="42">
        <v>17389</v>
      </c>
      <c r="C3984" s="34" t="s">
        <v>4698</v>
      </c>
    </row>
    <row r="3985" spans="1:3" ht="15.75" customHeight="1" x14ac:dyDescent="0.2">
      <c r="A3985" s="42">
        <v>4350</v>
      </c>
      <c r="B3985" s="42">
        <v>17389</v>
      </c>
      <c r="C3985" s="34" t="s">
        <v>4720</v>
      </c>
    </row>
    <row r="3986" spans="1:3" ht="15.75" customHeight="1" x14ac:dyDescent="0.2">
      <c r="A3986" s="42">
        <v>4351</v>
      </c>
      <c r="B3986" s="42">
        <v>17389</v>
      </c>
      <c r="C3986" s="34" t="s">
        <v>4721</v>
      </c>
    </row>
    <row r="3987" spans="1:3" ht="15.75" customHeight="1" x14ac:dyDescent="0.2">
      <c r="A3987" s="42">
        <v>4352</v>
      </c>
      <c r="B3987" s="42">
        <v>17389</v>
      </c>
      <c r="C3987" s="34" t="s">
        <v>4722</v>
      </c>
    </row>
    <row r="3988" spans="1:3" ht="15.75" customHeight="1" x14ac:dyDescent="0.2">
      <c r="A3988" s="42">
        <v>4353</v>
      </c>
      <c r="B3988" s="42">
        <v>17389</v>
      </c>
      <c r="C3988" s="34" t="s">
        <v>4723</v>
      </c>
    </row>
    <row r="3989" spans="1:3" ht="15.75" customHeight="1" x14ac:dyDescent="0.2">
      <c r="A3989" s="42">
        <v>4354</v>
      </c>
      <c r="B3989" s="42">
        <v>17389</v>
      </c>
      <c r="C3989" s="34" t="s">
        <v>4724</v>
      </c>
    </row>
    <row r="3990" spans="1:3" ht="15.75" customHeight="1" x14ac:dyDescent="0.2">
      <c r="A3990" s="42">
        <v>4355</v>
      </c>
      <c r="B3990" s="42">
        <v>17389</v>
      </c>
      <c r="C3990" s="34" t="s">
        <v>4725</v>
      </c>
    </row>
    <row r="3991" spans="1:3" ht="15.75" customHeight="1" x14ac:dyDescent="0.2">
      <c r="A3991" s="42">
        <v>4356</v>
      </c>
      <c r="B3991" s="42">
        <v>17389</v>
      </c>
      <c r="C3991" s="34" t="s">
        <v>4726</v>
      </c>
    </row>
    <row r="3992" spans="1:3" ht="15.75" customHeight="1" x14ac:dyDescent="0.2">
      <c r="A3992" s="42">
        <v>4357</v>
      </c>
      <c r="B3992" s="42">
        <v>17389</v>
      </c>
      <c r="C3992" s="34" t="s">
        <v>4727</v>
      </c>
    </row>
    <row r="3993" spans="1:3" ht="15.75" customHeight="1" x14ac:dyDescent="0.2">
      <c r="A3993" s="42">
        <v>4358</v>
      </c>
      <c r="B3993" s="42">
        <v>17389</v>
      </c>
      <c r="C3993" s="34" t="s">
        <v>4728</v>
      </c>
    </row>
    <row r="3994" spans="1:3" ht="15.75" customHeight="1" x14ac:dyDescent="0.2">
      <c r="A3994" s="42">
        <v>4359</v>
      </c>
      <c r="B3994" s="42">
        <v>17389</v>
      </c>
      <c r="C3994" s="34" t="s">
        <v>4693</v>
      </c>
    </row>
    <row r="3995" spans="1:3" ht="15.75" customHeight="1" x14ac:dyDescent="0.2">
      <c r="A3995" s="42">
        <v>4360</v>
      </c>
      <c r="B3995" s="42">
        <v>17389</v>
      </c>
      <c r="C3995" s="34" t="s">
        <v>4729</v>
      </c>
    </row>
    <row r="3996" spans="1:3" ht="15.75" customHeight="1" x14ac:dyDescent="0.2">
      <c r="A3996" s="42">
        <v>4361</v>
      </c>
      <c r="B3996" s="42">
        <v>17389</v>
      </c>
      <c r="C3996" s="34" t="s">
        <v>4730</v>
      </c>
    </row>
    <row r="3997" spans="1:3" ht="15.75" customHeight="1" x14ac:dyDescent="0.2">
      <c r="A3997" s="42">
        <v>4362</v>
      </c>
      <c r="B3997" s="42">
        <v>17389</v>
      </c>
      <c r="C3997" s="34" t="s">
        <v>4731</v>
      </c>
    </row>
    <row r="3998" spans="1:3" ht="15.75" customHeight="1" x14ac:dyDescent="0.2">
      <c r="A3998" s="42">
        <v>4363</v>
      </c>
      <c r="B3998" s="42">
        <v>17389</v>
      </c>
      <c r="C3998" s="34" t="s">
        <v>4732</v>
      </c>
    </row>
    <row r="3999" spans="1:3" ht="15.75" customHeight="1" x14ac:dyDescent="0.2">
      <c r="A3999" s="42">
        <v>4364</v>
      </c>
      <c r="B3999" s="42">
        <v>17389</v>
      </c>
      <c r="C3999" s="34" t="s">
        <v>4733</v>
      </c>
    </row>
    <row r="4000" spans="1:3" ht="15.75" customHeight="1" x14ac:dyDescent="0.2">
      <c r="A4000" s="42">
        <v>4365</v>
      </c>
      <c r="B4000" s="42">
        <v>17389</v>
      </c>
      <c r="C4000" s="34" t="s">
        <v>4734</v>
      </c>
    </row>
    <row r="4001" spans="1:3" ht="15.75" customHeight="1" x14ac:dyDescent="0.2">
      <c r="A4001" s="42">
        <v>4366</v>
      </c>
      <c r="B4001" s="42">
        <v>17389</v>
      </c>
      <c r="C4001" s="34" t="s">
        <v>4735</v>
      </c>
    </row>
    <row r="4002" spans="1:3" ht="15.75" customHeight="1" x14ac:dyDescent="0.2">
      <c r="A4002" s="42">
        <v>4367</v>
      </c>
      <c r="B4002" s="42">
        <v>17389</v>
      </c>
      <c r="C4002" s="34" t="s">
        <v>4736</v>
      </c>
    </row>
    <row r="4003" spans="1:3" ht="15.75" customHeight="1" x14ac:dyDescent="0.2">
      <c r="A4003" s="42">
        <v>4368</v>
      </c>
      <c r="B4003" s="42">
        <v>17389</v>
      </c>
      <c r="C4003" s="34" t="s">
        <v>4737</v>
      </c>
    </row>
    <row r="4004" spans="1:3" ht="15.75" customHeight="1" x14ac:dyDescent="0.2">
      <c r="A4004" s="42">
        <v>4369</v>
      </c>
      <c r="B4004" s="42">
        <v>17389</v>
      </c>
      <c r="C4004" s="34" t="s">
        <v>4738</v>
      </c>
    </row>
    <row r="4005" spans="1:3" ht="15.75" customHeight="1" x14ac:dyDescent="0.2">
      <c r="A4005" s="42">
        <v>4370</v>
      </c>
      <c r="B4005" s="42">
        <v>17389</v>
      </c>
      <c r="C4005" s="34" t="s">
        <v>4739</v>
      </c>
    </row>
    <row r="4006" spans="1:3" ht="15.75" customHeight="1" x14ac:dyDescent="0.2">
      <c r="A4006" s="42">
        <v>4371</v>
      </c>
      <c r="B4006" s="42">
        <v>17389</v>
      </c>
      <c r="C4006" s="34" t="s">
        <v>4740</v>
      </c>
    </row>
    <row r="4007" spans="1:3" ht="15.75" customHeight="1" x14ac:dyDescent="0.2">
      <c r="A4007" s="42">
        <v>4372</v>
      </c>
      <c r="B4007" s="42">
        <v>17389</v>
      </c>
      <c r="C4007" s="34" t="s">
        <v>4741</v>
      </c>
    </row>
    <row r="4008" spans="1:3" ht="15.75" customHeight="1" x14ac:dyDescent="0.2">
      <c r="A4008" s="42">
        <v>4373</v>
      </c>
      <c r="B4008" s="42">
        <v>17389</v>
      </c>
      <c r="C4008" s="34" t="s">
        <v>4742</v>
      </c>
    </row>
    <row r="4009" spans="1:3" ht="15.75" customHeight="1" x14ac:dyDescent="0.2">
      <c r="A4009" s="42">
        <v>4374</v>
      </c>
      <c r="B4009" s="42">
        <v>17389</v>
      </c>
      <c r="C4009" s="34" t="s">
        <v>4743</v>
      </c>
    </row>
    <row r="4010" spans="1:3" ht="15.75" customHeight="1" x14ac:dyDescent="0.2">
      <c r="A4010" s="42">
        <v>4375</v>
      </c>
      <c r="B4010" s="42">
        <v>17389</v>
      </c>
      <c r="C4010" s="34" t="s">
        <v>4744</v>
      </c>
    </row>
    <row r="4011" spans="1:3" ht="15.75" customHeight="1" x14ac:dyDescent="0.2">
      <c r="A4011" s="42">
        <v>4376</v>
      </c>
      <c r="B4011" s="42">
        <v>17389</v>
      </c>
      <c r="C4011" s="34" t="s">
        <v>4745</v>
      </c>
    </row>
    <row r="4012" spans="1:3" ht="15.75" customHeight="1" x14ac:dyDescent="0.2">
      <c r="A4012" s="42">
        <v>4377</v>
      </c>
      <c r="B4012" s="42">
        <v>17389</v>
      </c>
      <c r="C4012" s="34" t="s">
        <v>4746</v>
      </c>
    </row>
    <row r="4013" spans="1:3" ht="15.75" customHeight="1" x14ac:dyDescent="0.2">
      <c r="A4013" s="42">
        <v>4378</v>
      </c>
      <c r="B4013" s="42">
        <v>17389</v>
      </c>
      <c r="C4013" s="34" t="s">
        <v>4747</v>
      </c>
    </row>
    <row r="4014" spans="1:3" ht="15.75" customHeight="1" x14ac:dyDescent="0.2">
      <c r="A4014" s="42">
        <v>4379</v>
      </c>
      <c r="B4014" s="42">
        <v>17389</v>
      </c>
      <c r="C4014" s="34" t="s">
        <v>4748</v>
      </c>
    </row>
    <row r="4015" spans="1:3" ht="15.75" customHeight="1" x14ac:dyDescent="0.2">
      <c r="A4015" s="42">
        <v>4380</v>
      </c>
      <c r="B4015" s="42">
        <v>17389</v>
      </c>
      <c r="C4015" s="34" t="s">
        <v>4749</v>
      </c>
    </row>
    <row r="4016" spans="1:3" ht="15.75" customHeight="1" x14ac:dyDescent="0.2">
      <c r="A4016" s="42">
        <v>4381</v>
      </c>
      <c r="B4016" s="42">
        <v>17389</v>
      </c>
      <c r="C4016" s="34" t="s">
        <v>4750</v>
      </c>
    </row>
    <row r="4017" spans="1:3" ht="15.75" customHeight="1" x14ac:dyDescent="0.2">
      <c r="A4017" s="42">
        <v>4382</v>
      </c>
      <c r="B4017" s="42">
        <v>17389</v>
      </c>
      <c r="C4017" s="34" t="s">
        <v>4751</v>
      </c>
    </row>
    <row r="4018" spans="1:3" ht="15.75" customHeight="1" x14ac:dyDescent="0.2">
      <c r="A4018" s="42">
        <v>4383</v>
      </c>
      <c r="B4018" s="42">
        <v>17389</v>
      </c>
      <c r="C4018" s="34" t="s">
        <v>4752</v>
      </c>
    </row>
    <row r="4019" spans="1:3" ht="15.75" customHeight="1" x14ac:dyDescent="0.2">
      <c r="A4019" s="42">
        <v>4384</v>
      </c>
      <c r="B4019" s="42">
        <v>17389</v>
      </c>
      <c r="C4019" s="34" t="s">
        <v>4753</v>
      </c>
    </row>
    <row r="4020" spans="1:3" ht="15.75" customHeight="1" x14ac:dyDescent="0.2">
      <c r="A4020" s="42">
        <v>4385</v>
      </c>
      <c r="B4020" s="42">
        <v>17389</v>
      </c>
      <c r="C4020" s="34" t="s">
        <v>4754</v>
      </c>
    </row>
    <row r="4021" spans="1:3" ht="15.75" customHeight="1" x14ac:dyDescent="0.2">
      <c r="A4021" s="42">
        <v>4386</v>
      </c>
      <c r="B4021" s="42">
        <v>17389</v>
      </c>
      <c r="C4021" s="34" t="s">
        <v>4755</v>
      </c>
    </row>
    <row r="4022" spans="1:3" ht="15.75" customHeight="1" x14ac:dyDescent="0.2">
      <c r="A4022" s="42">
        <v>4387</v>
      </c>
      <c r="B4022" s="42">
        <v>17390</v>
      </c>
      <c r="C4022" s="34" t="s">
        <v>4756</v>
      </c>
    </row>
    <row r="4023" spans="1:3" ht="15.75" customHeight="1" x14ac:dyDescent="0.2">
      <c r="A4023" s="42">
        <v>4388</v>
      </c>
      <c r="B4023" s="42">
        <v>17390</v>
      </c>
      <c r="C4023" s="34" t="s">
        <v>4757</v>
      </c>
    </row>
    <row r="4024" spans="1:3" ht="15.75" customHeight="1" x14ac:dyDescent="0.2">
      <c r="A4024" s="42">
        <v>4389</v>
      </c>
      <c r="B4024" s="42">
        <v>17390</v>
      </c>
      <c r="C4024" s="34" t="s">
        <v>4758</v>
      </c>
    </row>
    <row r="4025" spans="1:3" ht="15.75" customHeight="1" x14ac:dyDescent="0.2">
      <c r="A4025" s="42">
        <v>4390</v>
      </c>
      <c r="B4025" s="42">
        <v>17390</v>
      </c>
      <c r="C4025" s="34" t="s">
        <v>4759</v>
      </c>
    </row>
    <row r="4026" spans="1:3" ht="15.75" customHeight="1" x14ac:dyDescent="0.2">
      <c r="A4026" s="42">
        <v>4391</v>
      </c>
      <c r="B4026" s="42">
        <v>17390</v>
      </c>
      <c r="C4026" s="34" t="s">
        <v>4760</v>
      </c>
    </row>
    <row r="4027" spans="1:3" ht="15.75" customHeight="1" x14ac:dyDescent="0.2">
      <c r="A4027" s="42">
        <v>4392</v>
      </c>
      <c r="B4027" s="42">
        <v>17390</v>
      </c>
      <c r="C4027" s="34" t="s">
        <v>4761</v>
      </c>
    </row>
    <row r="4028" spans="1:3" ht="15.75" customHeight="1" x14ac:dyDescent="0.2">
      <c r="A4028" s="42">
        <v>4393</v>
      </c>
      <c r="B4028" s="42">
        <v>17390</v>
      </c>
      <c r="C4028" s="34" t="s">
        <v>4762</v>
      </c>
    </row>
    <row r="4029" spans="1:3" ht="15.75" customHeight="1" x14ac:dyDescent="0.2">
      <c r="A4029" s="42">
        <v>4394</v>
      </c>
      <c r="B4029" s="42">
        <v>17390</v>
      </c>
      <c r="C4029" s="34" t="s">
        <v>4763</v>
      </c>
    </row>
    <row r="4030" spans="1:3" ht="15.75" customHeight="1" x14ac:dyDescent="0.2">
      <c r="A4030" s="42">
        <v>4395</v>
      </c>
      <c r="B4030" s="42">
        <v>17390</v>
      </c>
      <c r="C4030" s="34" t="s">
        <v>4764</v>
      </c>
    </row>
    <row r="4031" spans="1:3" ht="15.75" customHeight="1" x14ac:dyDescent="0.2">
      <c r="A4031" s="42">
        <v>4396</v>
      </c>
      <c r="B4031" s="42">
        <v>17390</v>
      </c>
      <c r="C4031" s="34" t="s">
        <v>4765</v>
      </c>
    </row>
    <row r="4032" spans="1:3" ht="15.75" customHeight="1" x14ac:dyDescent="0.2">
      <c r="A4032" s="42">
        <v>4397</v>
      </c>
      <c r="B4032" s="42">
        <v>17390</v>
      </c>
      <c r="C4032" s="34" t="s">
        <v>4766</v>
      </c>
    </row>
    <row r="4033" spans="1:3" ht="15.75" customHeight="1" x14ac:dyDescent="0.2">
      <c r="A4033" s="42">
        <v>4398</v>
      </c>
      <c r="B4033" s="42">
        <v>17390</v>
      </c>
      <c r="C4033" s="34" t="s">
        <v>4767</v>
      </c>
    </row>
    <row r="4034" spans="1:3" ht="15.75" customHeight="1" x14ac:dyDescent="0.2">
      <c r="A4034" s="42">
        <v>4399</v>
      </c>
      <c r="B4034" s="42">
        <v>17390</v>
      </c>
      <c r="C4034" s="34" t="s">
        <v>4768</v>
      </c>
    </row>
    <row r="4035" spans="1:3" ht="15.75" customHeight="1" x14ac:dyDescent="0.2">
      <c r="A4035" s="42">
        <v>4400</v>
      </c>
      <c r="B4035" s="42">
        <v>17390</v>
      </c>
      <c r="C4035" s="34" t="s">
        <v>4769</v>
      </c>
    </row>
    <row r="4036" spans="1:3" ht="15.75" customHeight="1" x14ac:dyDescent="0.2">
      <c r="A4036" s="42">
        <v>4401</v>
      </c>
      <c r="B4036" s="42">
        <v>17390</v>
      </c>
      <c r="C4036" s="34" t="s">
        <v>4770</v>
      </c>
    </row>
    <row r="4037" spans="1:3" ht="15.75" customHeight="1" x14ac:dyDescent="0.2">
      <c r="A4037" s="42">
        <v>4402</v>
      </c>
      <c r="B4037" s="42">
        <v>17390</v>
      </c>
      <c r="C4037" s="34" t="s">
        <v>4771</v>
      </c>
    </row>
    <row r="4038" spans="1:3" ht="15.75" customHeight="1" x14ac:dyDescent="0.2">
      <c r="A4038" s="42">
        <v>4403</v>
      </c>
      <c r="B4038" s="42">
        <v>17390</v>
      </c>
      <c r="C4038" s="34" t="s">
        <v>4772</v>
      </c>
    </row>
    <row r="4039" spans="1:3" ht="15.75" customHeight="1" x14ac:dyDescent="0.2">
      <c r="A4039" s="42">
        <v>4404</v>
      </c>
      <c r="B4039" s="42">
        <v>17390</v>
      </c>
      <c r="C4039" s="34" t="s">
        <v>4773</v>
      </c>
    </row>
    <row r="4040" spans="1:3" ht="15.75" customHeight="1" x14ac:dyDescent="0.2">
      <c r="A4040" s="42">
        <v>4405</v>
      </c>
      <c r="B4040" s="42">
        <v>17390</v>
      </c>
      <c r="C4040" s="34" t="s">
        <v>4774</v>
      </c>
    </row>
    <row r="4041" spans="1:3" ht="15.75" customHeight="1" x14ac:dyDescent="0.2">
      <c r="A4041" s="42">
        <v>4406</v>
      </c>
      <c r="B4041" s="42">
        <v>17390</v>
      </c>
      <c r="C4041" s="34" t="s">
        <v>4775</v>
      </c>
    </row>
    <row r="4042" spans="1:3" ht="15.75" customHeight="1" x14ac:dyDescent="0.2">
      <c r="A4042" s="42">
        <v>4407</v>
      </c>
      <c r="B4042" s="42">
        <v>17390</v>
      </c>
      <c r="C4042" s="34" t="s">
        <v>4776</v>
      </c>
    </row>
    <row r="4043" spans="1:3" ht="15.75" customHeight="1" x14ac:dyDescent="0.2">
      <c r="A4043" s="42">
        <v>4408</v>
      </c>
      <c r="B4043" s="42">
        <v>17390</v>
      </c>
      <c r="C4043" s="34" t="s">
        <v>4777</v>
      </c>
    </row>
    <row r="4044" spans="1:3" ht="15.75" customHeight="1" x14ac:dyDescent="0.2">
      <c r="A4044" s="42">
        <v>4409</v>
      </c>
      <c r="B4044" s="42">
        <v>17390</v>
      </c>
      <c r="C4044" s="34" t="s">
        <v>4778</v>
      </c>
    </row>
    <row r="4045" spans="1:3" ht="15.75" customHeight="1" x14ac:dyDescent="0.2">
      <c r="A4045" s="42">
        <v>4410</v>
      </c>
      <c r="B4045" s="42">
        <v>17390</v>
      </c>
      <c r="C4045" s="34" t="s">
        <v>4779</v>
      </c>
    </row>
    <row r="4046" spans="1:3" ht="15.75" customHeight="1" x14ac:dyDescent="0.2">
      <c r="A4046" s="42">
        <v>4411</v>
      </c>
      <c r="B4046" s="42">
        <v>17390</v>
      </c>
      <c r="C4046" s="34" t="s">
        <v>4780</v>
      </c>
    </row>
    <row r="4047" spans="1:3" ht="15.75" customHeight="1" x14ac:dyDescent="0.2">
      <c r="A4047" s="42">
        <v>4412</v>
      </c>
      <c r="B4047" s="42">
        <v>17390</v>
      </c>
      <c r="C4047" s="34" t="s">
        <v>4781</v>
      </c>
    </row>
    <row r="4048" spans="1:3" ht="15.75" customHeight="1" x14ac:dyDescent="0.2">
      <c r="A4048" s="42">
        <v>4413</v>
      </c>
      <c r="B4048" s="42">
        <v>17390</v>
      </c>
      <c r="C4048" s="34" t="s">
        <v>4782</v>
      </c>
    </row>
    <row r="4049" spans="1:3" ht="15.75" customHeight="1" x14ac:dyDescent="0.2">
      <c r="A4049" s="42">
        <v>4414</v>
      </c>
      <c r="B4049" s="42">
        <v>17390</v>
      </c>
      <c r="C4049" s="34" t="s">
        <v>4783</v>
      </c>
    </row>
    <row r="4050" spans="1:3" ht="15.75" customHeight="1" x14ac:dyDescent="0.2">
      <c r="A4050" s="42">
        <v>4415</v>
      </c>
      <c r="B4050" s="42">
        <v>17390</v>
      </c>
      <c r="C4050" s="34" t="s">
        <v>4784</v>
      </c>
    </row>
    <row r="4051" spans="1:3" ht="15.75" customHeight="1" x14ac:dyDescent="0.2">
      <c r="A4051" s="42">
        <v>4416</v>
      </c>
      <c r="B4051" s="42">
        <v>17390</v>
      </c>
      <c r="C4051" s="34" t="s">
        <v>4785</v>
      </c>
    </row>
    <row r="4052" spans="1:3" ht="15.75" customHeight="1" x14ac:dyDescent="0.2">
      <c r="A4052" s="42">
        <v>4417</v>
      </c>
      <c r="B4052" s="42">
        <v>17390</v>
      </c>
      <c r="C4052" s="34" t="s">
        <v>4786</v>
      </c>
    </row>
    <row r="4053" spans="1:3" ht="15.75" customHeight="1" x14ac:dyDescent="0.2">
      <c r="A4053" s="42">
        <v>4418</v>
      </c>
      <c r="B4053" s="42">
        <v>17390</v>
      </c>
      <c r="C4053" s="34" t="s">
        <v>4787</v>
      </c>
    </row>
    <row r="4054" spans="1:3" ht="15.75" customHeight="1" x14ac:dyDescent="0.2">
      <c r="A4054" s="42">
        <v>4419</v>
      </c>
      <c r="B4054" s="42">
        <v>17390</v>
      </c>
      <c r="C4054" s="34" t="s">
        <v>4788</v>
      </c>
    </row>
    <row r="4055" spans="1:3" ht="15.75" customHeight="1" x14ac:dyDescent="0.2">
      <c r="A4055" s="42">
        <v>4420</v>
      </c>
      <c r="B4055" s="42">
        <v>17390</v>
      </c>
      <c r="C4055" s="34" t="s">
        <v>4789</v>
      </c>
    </row>
    <row r="4056" spans="1:3" ht="15.75" customHeight="1" x14ac:dyDescent="0.2">
      <c r="A4056" s="42">
        <v>4421</v>
      </c>
      <c r="B4056" s="42">
        <v>17390</v>
      </c>
      <c r="C4056" s="34" t="s">
        <v>4790</v>
      </c>
    </row>
    <row r="4057" spans="1:3" ht="15.75" customHeight="1" x14ac:dyDescent="0.2">
      <c r="A4057" s="42">
        <v>4422</v>
      </c>
      <c r="B4057" s="42">
        <v>17390</v>
      </c>
      <c r="C4057" s="34" t="s">
        <v>4791</v>
      </c>
    </row>
    <row r="4058" spans="1:3" ht="15.75" customHeight="1" x14ac:dyDescent="0.2">
      <c r="A4058" s="42">
        <v>4423</v>
      </c>
      <c r="B4058" s="42">
        <v>17390</v>
      </c>
      <c r="C4058" s="34" t="s">
        <v>4792</v>
      </c>
    </row>
    <row r="4059" spans="1:3" ht="15.75" customHeight="1" x14ac:dyDescent="0.2">
      <c r="A4059" s="42">
        <v>4424</v>
      </c>
      <c r="B4059" s="42">
        <v>17390</v>
      </c>
      <c r="C4059" s="34" t="s">
        <v>4766</v>
      </c>
    </row>
    <row r="4060" spans="1:3" ht="15.75" customHeight="1" x14ac:dyDescent="0.2">
      <c r="A4060" s="42">
        <v>4425</v>
      </c>
      <c r="B4060" s="42">
        <v>17390</v>
      </c>
      <c r="C4060" s="34" t="s">
        <v>4793</v>
      </c>
    </row>
    <row r="4061" spans="1:3" ht="15.75" customHeight="1" x14ac:dyDescent="0.2">
      <c r="A4061" s="42">
        <v>4426</v>
      </c>
      <c r="B4061" s="42">
        <v>17390</v>
      </c>
      <c r="C4061" s="34" t="s">
        <v>4794</v>
      </c>
    </row>
    <row r="4062" spans="1:3" ht="15.75" customHeight="1" x14ac:dyDescent="0.2">
      <c r="A4062" s="42">
        <v>4427</v>
      </c>
      <c r="B4062" s="42">
        <v>17390</v>
      </c>
      <c r="C4062" s="34" t="s">
        <v>4795</v>
      </c>
    </row>
    <row r="4063" spans="1:3" ht="15.75" customHeight="1" x14ac:dyDescent="0.2">
      <c r="A4063" s="42">
        <v>4428</v>
      </c>
      <c r="B4063" s="42">
        <v>17390</v>
      </c>
      <c r="C4063" s="34" t="s">
        <v>4796</v>
      </c>
    </row>
    <row r="4064" spans="1:3" ht="15.75" customHeight="1" x14ac:dyDescent="0.2">
      <c r="A4064" s="42">
        <v>4429</v>
      </c>
      <c r="B4064" s="42">
        <v>17390</v>
      </c>
      <c r="C4064" s="34" t="s">
        <v>4797</v>
      </c>
    </row>
    <row r="4065" spans="1:3" ht="15.75" customHeight="1" x14ac:dyDescent="0.2">
      <c r="A4065" s="42">
        <v>4430</v>
      </c>
      <c r="B4065" s="42">
        <v>17390</v>
      </c>
      <c r="C4065" s="34" t="s">
        <v>4798</v>
      </c>
    </row>
    <row r="4066" spans="1:3" ht="15.75" customHeight="1" x14ac:dyDescent="0.2">
      <c r="A4066" s="42">
        <v>4431</v>
      </c>
      <c r="B4066" s="42">
        <v>17390</v>
      </c>
      <c r="C4066" s="34" t="s">
        <v>4799</v>
      </c>
    </row>
    <row r="4067" spans="1:3" ht="15.75" customHeight="1" x14ac:dyDescent="0.2">
      <c r="A4067" s="42">
        <v>4432</v>
      </c>
      <c r="B4067" s="42">
        <v>17390</v>
      </c>
      <c r="C4067" s="34" t="s">
        <v>4800</v>
      </c>
    </row>
    <row r="4068" spans="1:3" ht="15.75" customHeight="1" x14ac:dyDescent="0.2">
      <c r="A4068" s="42">
        <v>4433</v>
      </c>
      <c r="B4068" s="42">
        <v>17390</v>
      </c>
      <c r="C4068" s="34" t="s">
        <v>1063</v>
      </c>
    </row>
    <row r="4069" spans="1:3" ht="15.75" customHeight="1" x14ac:dyDescent="0.2">
      <c r="A4069" s="42">
        <v>4434</v>
      </c>
      <c r="B4069" s="42">
        <v>17390</v>
      </c>
      <c r="C4069" s="34" t="s">
        <v>4801</v>
      </c>
    </row>
    <row r="4070" spans="1:3" ht="15.75" customHeight="1" x14ac:dyDescent="0.2">
      <c r="A4070" s="42">
        <v>4435</v>
      </c>
      <c r="B4070" s="42">
        <v>17390</v>
      </c>
      <c r="C4070" s="34" t="s">
        <v>4802</v>
      </c>
    </row>
    <row r="4071" spans="1:3" ht="15.75" customHeight="1" x14ac:dyDescent="0.2">
      <c r="A4071" s="42">
        <v>4436</v>
      </c>
      <c r="B4071" s="42">
        <v>17390</v>
      </c>
      <c r="C4071" s="34" t="s">
        <v>4803</v>
      </c>
    </row>
    <row r="4072" spans="1:3" ht="15.75" customHeight="1" x14ac:dyDescent="0.2">
      <c r="A4072" s="42">
        <v>4437</v>
      </c>
      <c r="B4072" s="42">
        <v>17390</v>
      </c>
      <c r="C4072" s="34" t="s">
        <v>4804</v>
      </c>
    </row>
    <row r="4073" spans="1:3" ht="15.75" customHeight="1" x14ac:dyDescent="0.2">
      <c r="A4073" s="42">
        <v>4438</v>
      </c>
      <c r="B4073" s="42">
        <v>17390</v>
      </c>
      <c r="C4073" s="34" t="s">
        <v>4805</v>
      </c>
    </row>
    <row r="4074" spans="1:3" ht="15.75" customHeight="1" x14ac:dyDescent="0.2">
      <c r="A4074" s="42">
        <v>4439</v>
      </c>
      <c r="B4074" s="42">
        <v>17390</v>
      </c>
      <c r="C4074" s="34" t="s">
        <v>4806</v>
      </c>
    </row>
    <row r="4075" spans="1:3" ht="15.75" customHeight="1" x14ac:dyDescent="0.2">
      <c r="A4075" s="42">
        <v>4440</v>
      </c>
      <c r="B4075" s="42">
        <v>17390</v>
      </c>
      <c r="C4075" s="34" t="s">
        <v>4807</v>
      </c>
    </row>
    <row r="4076" spans="1:3" ht="15.75" customHeight="1" x14ac:dyDescent="0.2">
      <c r="A4076" s="42">
        <v>4441</v>
      </c>
      <c r="B4076" s="42">
        <v>17390</v>
      </c>
      <c r="C4076" s="34" t="s">
        <v>4808</v>
      </c>
    </row>
    <row r="4077" spans="1:3" ht="15.75" customHeight="1" x14ac:dyDescent="0.2">
      <c r="A4077" s="42">
        <v>4442</v>
      </c>
      <c r="B4077" s="42">
        <v>17390</v>
      </c>
      <c r="C4077" s="34" t="s">
        <v>4809</v>
      </c>
    </row>
    <row r="4078" spans="1:3" ht="15.75" customHeight="1" x14ac:dyDescent="0.2">
      <c r="A4078" s="42">
        <v>4443</v>
      </c>
      <c r="B4078" s="42">
        <v>17390</v>
      </c>
      <c r="C4078" s="34" t="s">
        <v>4810</v>
      </c>
    </row>
    <row r="4079" spans="1:3" ht="15.75" customHeight="1" x14ac:dyDescent="0.2">
      <c r="A4079" s="42">
        <v>4444</v>
      </c>
      <c r="B4079" s="42">
        <v>17390</v>
      </c>
      <c r="C4079" s="34" t="s">
        <v>4811</v>
      </c>
    </row>
    <row r="4080" spans="1:3" ht="15.75" customHeight="1" x14ac:dyDescent="0.2">
      <c r="A4080" s="42">
        <v>4445</v>
      </c>
      <c r="B4080" s="42">
        <v>17390</v>
      </c>
      <c r="C4080" s="34" t="s">
        <v>4812</v>
      </c>
    </row>
    <row r="4081" spans="1:3" ht="15.75" customHeight="1" x14ac:dyDescent="0.2">
      <c r="A4081" s="42">
        <v>4446</v>
      </c>
      <c r="B4081" s="42">
        <v>17390</v>
      </c>
      <c r="C4081" s="34" t="s">
        <v>4813</v>
      </c>
    </row>
    <row r="4082" spans="1:3" ht="15.75" customHeight="1" x14ac:dyDescent="0.2">
      <c r="A4082" s="42">
        <v>4447</v>
      </c>
      <c r="B4082" s="42">
        <v>17390</v>
      </c>
      <c r="C4082" s="34" t="s">
        <v>4814</v>
      </c>
    </row>
    <row r="4083" spans="1:3" ht="15.75" customHeight="1" x14ac:dyDescent="0.2">
      <c r="A4083" s="42">
        <v>4448</v>
      </c>
      <c r="B4083" s="42">
        <v>17390</v>
      </c>
      <c r="C4083" s="34" t="s">
        <v>4815</v>
      </c>
    </row>
    <row r="4084" spans="1:3" ht="15.75" customHeight="1" x14ac:dyDescent="0.2">
      <c r="A4084" s="42">
        <v>4449</v>
      </c>
      <c r="B4084" s="42">
        <v>17390</v>
      </c>
      <c r="C4084" s="34" t="s">
        <v>4816</v>
      </c>
    </row>
    <row r="4085" spans="1:3" ht="15.75" customHeight="1" x14ac:dyDescent="0.2">
      <c r="A4085" s="42">
        <v>4450</v>
      </c>
      <c r="B4085" s="42">
        <v>17390</v>
      </c>
      <c r="C4085" s="34" t="s">
        <v>4817</v>
      </c>
    </row>
    <row r="4086" spans="1:3" ht="15.75" customHeight="1" x14ac:dyDescent="0.2">
      <c r="A4086" s="42">
        <v>4451</v>
      </c>
      <c r="B4086" s="42">
        <v>17390</v>
      </c>
      <c r="C4086" s="34" t="s">
        <v>4818</v>
      </c>
    </row>
    <row r="4087" spans="1:3" ht="15.75" customHeight="1" x14ac:dyDescent="0.2">
      <c r="A4087" s="42">
        <v>4452</v>
      </c>
      <c r="B4087" s="42">
        <v>17390</v>
      </c>
      <c r="C4087" s="34" t="s">
        <v>4819</v>
      </c>
    </row>
    <row r="4088" spans="1:3" ht="15.75" customHeight="1" x14ac:dyDescent="0.2">
      <c r="A4088" s="42">
        <v>4453</v>
      </c>
      <c r="B4088" s="42">
        <v>17390</v>
      </c>
      <c r="C4088" s="34" t="s">
        <v>4820</v>
      </c>
    </row>
    <row r="4089" spans="1:3" ht="15.75" customHeight="1" x14ac:dyDescent="0.2">
      <c r="A4089" s="42">
        <v>4454</v>
      </c>
      <c r="B4089" s="42">
        <v>17390</v>
      </c>
      <c r="C4089" s="34" t="s">
        <v>4821</v>
      </c>
    </row>
    <row r="4090" spans="1:3" ht="15.75" customHeight="1" x14ac:dyDescent="0.2">
      <c r="A4090" s="42">
        <v>4455</v>
      </c>
      <c r="B4090" s="42">
        <v>17390</v>
      </c>
      <c r="C4090" s="34" t="s">
        <v>4822</v>
      </c>
    </row>
    <row r="4091" spans="1:3" ht="15.75" customHeight="1" x14ac:dyDescent="0.2">
      <c r="A4091" s="42">
        <v>4456</v>
      </c>
      <c r="B4091" s="42">
        <v>17390</v>
      </c>
      <c r="C4091" s="34" t="s">
        <v>4823</v>
      </c>
    </row>
    <row r="4092" spans="1:3" ht="15.75" customHeight="1" x14ac:dyDescent="0.2">
      <c r="A4092" s="42">
        <v>4457</v>
      </c>
      <c r="B4092" s="42">
        <v>17390</v>
      </c>
      <c r="C4092" s="34" t="s">
        <v>4824</v>
      </c>
    </row>
    <row r="4093" spans="1:3" ht="15.75" customHeight="1" x14ac:dyDescent="0.2">
      <c r="A4093" s="42">
        <v>4458</v>
      </c>
      <c r="B4093" s="42">
        <v>17390</v>
      </c>
      <c r="C4093" s="34" t="s">
        <v>4825</v>
      </c>
    </row>
    <row r="4094" spans="1:3" ht="15.75" customHeight="1" x14ac:dyDescent="0.2">
      <c r="A4094" s="42">
        <v>4459</v>
      </c>
      <c r="B4094" s="42">
        <v>17390</v>
      </c>
      <c r="C4094" s="34" t="s">
        <v>4826</v>
      </c>
    </row>
    <row r="4095" spans="1:3" ht="15.75" customHeight="1" x14ac:dyDescent="0.2">
      <c r="A4095" s="42">
        <v>4460</v>
      </c>
      <c r="B4095" s="42">
        <v>17390</v>
      </c>
      <c r="C4095" s="34" t="s">
        <v>4827</v>
      </c>
    </row>
    <row r="4096" spans="1:3" ht="15.75" customHeight="1" x14ac:dyDescent="0.2">
      <c r="A4096" s="42">
        <v>4461</v>
      </c>
      <c r="B4096" s="42">
        <v>17391</v>
      </c>
      <c r="C4096" s="34" t="s">
        <v>4828</v>
      </c>
    </row>
    <row r="4097" spans="1:3" ht="15.75" customHeight="1" x14ac:dyDescent="0.2">
      <c r="A4097" s="42">
        <v>4462</v>
      </c>
      <c r="B4097" s="42">
        <v>17391</v>
      </c>
      <c r="C4097" s="34" t="s">
        <v>4829</v>
      </c>
    </row>
    <row r="4098" spans="1:3" ht="15.75" customHeight="1" x14ac:dyDescent="0.2">
      <c r="A4098" s="42">
        <v>4463</v>
      </c>
      <c r="B4098" s="42">
        <v>17391</v>
      </c>
      <c r="C4098" s="34" t="s">
        <v>4830</v>
      </c>
    </row>
    <row r="4099" spans="1:3" ht="15.75" customHeight="1" x14ac:dyDescent="0.2">
      <c r="A4099" s="42">
        <v>4464</v>
      </c>
      <c r="B4099" s="42">
        <v>17391</v>
      </c>
      <c r="C4099" s="34" t="s">
        <v>4831</v>
      </c>
    </row>
    <row r="4100" spans="1:3" ht="15.75" customHeight="1" x14ac:dyDescent="0.2">
      <c r="A4100" s="42">
        <v>4465</v>
      </c>
      <c r="B4100" s="42">
        <v>17391</v>
      </c>
      <c r="C4100" s="34" t="s">
        <v>4832</v>
      </c>
    </row>
    <row r="4101" spans="1:3" ht="15.75" customHeight="1" x14ac:dyDescent="0.2">
      <c r="A4101" s="42">
        <v>4466</v>
      </c>
      <c r="B4101" s="42">
        <v>17391</v>
      </c>
      <c r="C4101" s="34" t="s">
        <v>4833</v>
      </c>
    </row>
    <row r="4102" spans="1:3" ht="15.75" customHeight="1" x14ac:dyDescent="0.2">
      <c r="A4102" s="42">
        <v>4467</v>
      </c>
      <c r="B4102" s="42">
        <v>17391</v>
      </c>
      <c r="C4102" s="34" t="s">
        <v>4834</v>
      </c>
    </row>
    <row r="4103" spans="1:3" ht="15.75" customHeight="1" x14ac:dyDescent="0.2">
      <c r="A4103" s="42">
        <v>4468</v>
      </c>
      <c r="B4103" s="42">
        <v>17391</v>
      </c>
      <c r="C4103" s="34" t="s">
        <v>4835</v>
      </c>
    </row>
    <row r="4104" spans="1:3" ht="15.75" customHeight="1" x14ac:dyDescent="0.2">
      <c r="A4104" s="42">
        <v>4469</v>
      </c>
      <c r="B4104" s="42">
        <v>17391</v>
      </c>
      <c r="C4104" s="34" t="s">
        <v>4836</v>
      </c>
    </row>
    <row r="4105" spans="1:3" ht="15.75" customHeight="1" x14ac:dyDescent="0.2">
      <c r="A4105" s="42">
        <v>4470</v>
      </c>
      <c r="B4105" s="42">
        <v>17391</v>
      </c>
      <c r="C4105" s="34" t="s">
        <v>4837</v>
      </c>
    </row>
    <row r="4106" spans="1:3" ht="15.75" customHeight="1" x14ac:dyDescent="0.2">
      <c r="A4106" s="42">
        <v>4471</v>
      </c>
      <c r="B4106" s="42">
        <v>17391</v>
      </c>
      <c r="C4106" s="34" t="s">
        <v>4838</v>
      </c>
    </row>
    <row r="4107" spans="1:3" ht="15.75" customHeight="1" x14ac:dyDescent="0.2">
      <c r="A4107" s="42">
        <v>4472</v>
      </c>
      <c r="B4107" s="42">
        <v>17391</v>
      </c>
      <c r="C4107" s="34" t="s">
        <v>4839</v>
      </c>
    </row>
    <row r="4108" spans="1:3" ht="15.75" customHeight="1" x14ac:dyDescent="0.2">
      <c r="A4108" s="42">
        <v>4473</v>
      </c>
      <c r="B4108" s="42">
        <v>17391</v>
      </c>
      <c r="C4108" s="34" t="s">
        <v>4840</v>
      </c>
    </row>
    <row r="4109" spans="1:3" ht="15.75" customHeight="1" x14ac:dyDescent="0.2">
      <c r="A4109" s="42">
        <v>4474</v>
      </c>
      <c r="B4109" s="42">
        <v>17391</v>
      </c>
      <c r="C4109" s="34" t="s">
        <v>4841</v>
      </c>
    </row>
    <row r="4110" spans="1:3" ht="15.75" customHeight="1" x14ac:dyDescent="0.2">
      <c r="A4110" s="42">
        <v>4475</v>
      </c>
      <c r="B4110" s="42">
        <v>17391</v>
      </c>
      <c r="C4110" s="34" t="s">
        <v>4842</v>
      </c>
    </row>
    <row r="4111" spans="1:3" ht="15.75" customHeight="1" x14ac:dyDescent="0.2">
      <c r="A4111" s="42">
        <v>4476</v>
      </c>
      <c r="B4111" s="42">
        <v>17391</v>
      </c>
      <c r="C4111" s="34" t="s">
        <v>4843</v>
      </c>
    </row>
    <row r="4112" spans="1:3" ht="15.75" customHeight="1" x14ac:dyDescent="0.2">
      <c r="A4112" s="42">
        <v>4477</v>
      </c>
      <c r="B4112" s="42">
        <v>17391</v>
      </c>
      <c r="C4112" s="34" t="s">
        <v>4844</v>
      </c>
    </row>
    <row r="4113" spans="1:3" ht="15.75" customHeight="1" x14ac:dyDescent="0.2">
      <c r="A4113" s="42">
        <v>4478</v>
      </c>
      <c r="B4113" s="42">
        <v>17391</v>
      </c>
      <c r="C4113" s="34" t="s">
        <v>4845</v>
      </c>
    </row>
    <row r="4114" spans="1:3" ht="15.75" customHeight="1" x14ac:dyDescent="0.2">
      <c r="A4114" s="42">
        <v>4479</v>
      </c>
      <c r="B4114" s="42">
        <v>17391</v>
      </c>
      <c r="C4114" s="34" t="s">
        <v>4846</v>
      </c>
    </row>
    <row r="4115" spans="1:3" ht="15.75" customHeight="1" x14ac:dyDescent="0.2">
      <c r="A4115" s="42">
        <v>4480</v>
      </c>
      <c r="B4115" s="42">
        <v>17391</v>
      </c>
      <c r="C4115" s="34" t="s">
        <v>4847</v>
      </c>
    </row>
    <row r="4116" spans="1:3" ht="15.75" customHeight="1" x14ac:dyDescent="0.2">
      <c r="A4116" s="42">
        <v>4481</v>
      </c>
      <c r="B4116" s="42">
        <v>17391</v>
      </c>
      <c r="C4116" s="34" t="s">
        <v>4848</v>
      </c>
    </row>
    <row r="4117" spans="1:3" ht="15.75" customHeight="1" x14ac:dyDescent="0.2">
      <c r="A4117" s="42">
        <v>4482</v>
      </c>
      <c r="B4117" s="42">
        <v>17391</v>
      </c>
      <c r="C4117" s="34" t="s">
        <v>4849</v>
      </c>
    </row>
    <row r="4118" spans="1:3" ht="15.75" customHeight="1" x14ac:dyDescent="0.2">
      <c r="A4118" s="42">
        <v>4483</v>
      </c>
      <c r="B4118" s="42">
        <v>17391</v>
      </c>
      <c r="C4118" s="34" t="s">
        <v>4850</v>
      </c>
    </row>
    <row r="4119" spans="1:3" ht="15.75" customHeight="1" x14ac:dyDescent="0.2">
      <c r="A4119" s="42">
        <v>4484</v>
      </c>
      <c r="B4119" s="42">
        <v>17391</v>
      </c>
      <c r="C4119" s="34" t="s">
        <v>4851</v>
      </c>
    </row>
    <row r="4120" spans="1:3" ht="15.75" customHeight="1" x14ac:dyDescent="0.2">
      <c r="A4120" s="42">
        <v>4485</v>
      </c>
      <c r="B4120" s="42">
        <v>17391</v>
      </c>
      <c r="C4120" s="34" t="s">
        <v>4852</v>
      </c>
    </row>
    <row r="4121" spans="1:3" ht="15.75" customHeight="1" x14ac:dyDescent="0.2">
      <c r="A4121" s="42">
        <v>4486</v>
      </c>
      <c r="B4121" s="42">
        <v>17391</v>
      </c>
      <c r="C4121" s="34" t="s">
        <v>4853</v>
      </c>
    </row>
    <row r="4122" spans="1:3" ht="15.75" customHeight="1" x14ac:dyDescent="0.2">
      <c r="A4122" s="42">
        <v>4487</v>
      </c>
      <c r="B4122" s="42">
        <v>17391</v>
      </c>
      <c r="C4122" s="34" t="s">
        <v>4854</v>
      </c>
    </row>
    <row r="4123" spans="1:3" ht="15.75" customHeight="1" x14ac:dyDescent="0.2">
      <c r="A4123" s="42">
        <v>4488</v>
      </c>
      <c r="B4123" s="42">
        <v>17391</v>
      </c>
      <c r="C4123" s="34" t="s">
        <v>4855</v>
      </c>
    </row>
    <row r="4124" spans="1:3" ht="15.75" customHeight="1" x14ac:dyDescent="0.2">
      <c r="A4124" s="42">
        <v>4489</v>
      </c>
      <c r="B4124" s="42">
        <v>17391</v>
      </c>
      <c r="C4124" s="34" t="s">
        <v>4856</v>
      </c>
    </row>
    <row r="4125" spans="1:3" ht="15.75" customHeight="1" x14ac:dyDescent="0.2">
      <c r="A4125" s="42">
        <v>4490</v>
      </c>
      <c r="B4125" s="42">
        <v>17391</v>
      </c>
      <c r="C4125" s="34" t="s">
        <v>4857</v>
      </c>
    </row>
    <row r="4126" spans="1:3" ht="15.75" customHeight="1" x14ac:dyDescent="0.2">
      <c r="A4126" s="42">
        <v>4491</v>
      </c>
      <c r="B4126" s="42">
        <v>17391</v>
      </c>
      <c r="C4126" s="34" t="s">
        <v>4858</v>
      </c>
    </row>
    <row r="4127" spans="1:3" ht="15.75" customHeight="1" x14ac:dyDescent="0.2">
      <c r="A4127" s="42">
        <v>4492</v>
      </c>
      <c r="B4127" s="42">
        <v>17391</v>
      </c>
      <c r="C4127" s="34" t="s">
        <v>4859</v>
      </c>
    </row>
    <row r="4128" spans="1:3" ht="15.75" customHeight="1" x14ac:dyDescent="0.2">
      <c r="A4128" s="42">
        <v>4493</v>
      </c>
      <c r="B4128" s="42">
        <v>17391</v>
      </c>
      <c r="C4128" s="34" t="s">
        <v>4860</v>
      </c>
    </row>
    <row r="4129" spans="1:3" ht="15.75" customHeight="1" x14ac:dyDescent="0.2">
      <c r="A4129" s="42">
        <v>4494</v>
      </c>
      <c r="B4129" s="42">
        <v>17391</v>
      </c>
      <c r="C4129" s="34" t="s">
        <v>4861</v>
      </c>
    </row>
    <row r="4130" spans="1:3" ht="15.75" customHeight="1" x14ac:dyDescent="0.2">
      <c r="A4130" s="42">
        <v>4495</v>
      </c>
      <c r="B4130" s="42">
        <v>17391</v>
      </c>
      <c r="C4130" s="34" t="s">
        <v>4862</v>
      </c>
    </row>
    <row r="4131" spans="1:3" ht="15.75" customHeight="1" x14ac:dyDescent="0.2">
      <c r="A4131" s="42">
        <v>4496</v>
      </c>
      <c r="B4131" s="42">
        <v>17391</v>
      </c>
      <c r="C4131" s="34" t="s">
        <v>4863</v>
      </c>
    </row>
    <row r="4132" spans="1:3" ht="15.75" customHeight="1" x14ac:dyDescent="0.2">
      <c r="A4132" s="42">
        <v>4497</v>
      </c>
      <c r="B4132" s="42">
        <v>17391</v>
      </c>
      <c r="C4132" s="34" t="s">
        <v>4864</v>
      </c>
    </row>
    <row r="4133" spans="1:3" ht="15.75" customHeight="1" x14ac:dyDescent="0.2">
      <c r="A4133" s="42">
        <v>4498</v>
      </c>
      <c r="B4133" s="42">
        <v>17391</v>
      </c>
      <c r="C4133" s="34" t="s">
        <v>4865</v>
      </c>
    </row>
    <row r="4134" spans="1:3" ht="15.75" customHeight="1" x14ac:dyDescent="0.2">
      <c r="A4134" s="42">
        <v>4499</v>
      </c>
      <c r="B4134" s="42">
        <v>17391</v>
      </c>
      <c r="C4134" s="34" t="s">
        <v>4866</v>
      </c>
    </row>
    <row r="4135" spans="1:3" ht="15.75" customHeight="1" x14ac:dyDescent="0.2">
      <c r="A4135" s="42">
        <v>4500</v>
      </c>
      <c r="B4135" s="42">
        <v>17391</v>
      </c>
      <c r="C4135" s="34" t="s">
        <v>4867</v>
      </c>
    </row>
    <row r="4136" spans="1:3" ht="15.75" customHeight="1" x14ac:dyDescent="0.2">
      <c r="A4136" s="42">
        <v>4501</v>
      </c>
      <c r="B4136" s="42">
        <v>17391</v>
      </c>
      <c r="C4136" s="34" t="s">
        <v>4868</v>
      </c>
    </row>
    <row r="4137" spans="1:3" ht="15.75" customHeight="1" x14ac:dyDescent="0.2">
      <c r="A4137" s="42">
        <v>4502</v>
      </c>
      <c r="B4137" s="42">
        <v>17391</v>
      </c>
      <c r="C4137" s="34" t="s">
        <v>4869</v>
      </c>
    </row>
    <row r="4138" spans="1:3" ht="15.75" customHeight="1" x14ac:dyDescent="0.2">
      <c r="A4138" s="42">
        <v>4503</v>
      </c>
      <c r="B4138" s="42">
        <v>17391</v>
      </c>
      <c r="C4138" s="34" t="s">
        <v>4870</v>
      </c>
    </row>
    <row r="4139" spans="1:3" ht="15.75" customHeight="1" x14ac:dyDescent="0.2">
      <c r="A4139" s="42">
        <v>4504</v>
      </c>
      <c r="B4139" s="42">
        <v>17391</v>
      </c>
      <c r="C4139" s="34" t="s">
        <v>4871</v>
      </c>
    </row>
    <row r="4140" spans="1:3" ht="15.75" customHeight="1" x14ac:dyDescent="0.2">
      <c r="A4140" s="42">
        <v>4505</v>
      </c>
      <c r="B4140" s="42">
        <v>17391</v>
      </c>
      <c r="C4140" s="34" t="s">
        <v>4872</v>
      </c>
    </row>
    <row r="4141" spans="1:3" ht="15.75" customHeight="1" x14ac:dyDescent="0.2">
      <c r="A4141" s="42">
        <v>4506</v>
      </c>
      <c r="B4141" s="42">
        <v>17391</v>
      </c>
      <c r="C4141" s="34" t="s">
        <v>4873</v>
      </c>
    </row>
    <row r="4142" spans="1:3" ht="15.75" customHeight="1" x14ac:dyDescent="0.2">
      <c r="A4142" s="42">
        <v>4507</v>
      </c>
      <c r="B4142" s="42">
        <v>17391</v>
      </c>
      <c r="C4142" s="34" t="s">
        <v>4874</v>
      </c>
    </row>
    <row r="4143" spans="1:3" ht="15.75" customHeight="1" x14ac:dyDescent="0.2">
      <c r="A4143" s="42">
        <v>4508</v>
      </c>
      <c r="B4143" s="42">
        <v>17391</v>
      </c>
      <c r="C4143" s="34" t="s">
        <v>4875</v>
      </c>
    </row>
    <row r="4144" spans="1:3" ht="15.75" customHeight="1" x14ac:dyDescent="0.2">
      <c r="A4144" s="42">
        <v>4509</v>
      </c>
      <c r="B4144" s="42">
        <v>17391</v>
      </c>
      <c r="C4144" s="34" t="s">
        <v>4876</v>
      </c>
    </row>
    <row r="4145" spans="1:3" ht="15.75" customHeight="1" x14ac:dyDescent="0.2">
      <c r="A4145" s="42">
        <v>4510</v>
      </c>
      <c r="B4145" s="42">
        <v>17391</v>
      </c>
      <c r="C4145" s="34" t="s">
        <v>4875</v>
      </c>
    </row>
    <row r="4146" spans="1:3" ht="15.75" customHeight="1" x14ac:dyDescent="0.2">
      <c r="A4146" s="42">
        <v>4511</v>
      </c>
      <c r="B4146" s="42">
        <v>17391</v>
      </c>
      <c r="C4146" s="34" t="s">
        <v>4877</v>
      </c>
    </row>
    <row r="4147" spans="1:3" ht="15.75" customHeight="1" x14ac:dyDescent="0.2">
      <c r="A4147" s="42">
        <v>4512</v>
      </c>
      <c r="B4147" s="42">
        <v>17391</v>
      </c>
      <c r="C4147" s="34" t="s">
        <v>4854</v>
      </c>
    </row>
    <row r="4148" spans="1:3" ht="15.75" customHeight="1" x14ac:dyDescent="0.2">
      <c r="A4148" s="42">
        <v>4513</v>
      </c>
      <c r="B4148" s="42">
        <v>17391</v>
      </c>
      <c r="C4148" s="34" t="s">
        <v>4878</v>
      </c>
    </row>
    <row r="4149" spans="1:3" ht="15.75" customHeight="1" x14ac:dyDescent="0.2">
      <c r="A4149" s="42">
        <v>4514</v>
      </c>
      <c r="B4149" s="42">
        <v>17391</v>
      </c>
      <c r="C4149" s="34" t="s">
        <v>4879</v>
      </c>
    </row>
    <row r="4150" spans="1:3" ht="15.75" customHeight="1" x14ac:dyDescent="0.2">
      <c r="A4150" s="42">
        <v>4515</v>
      </c>
      <c r="B4150" s="42">
        <v>17391</v>
      </c>
      <c r="C4150" s="34" t="s">
        <v>4880</v>
      </c>
    </row>
    <row r="4151" spans="1:3" ht="15.75" customHeight="1" x14ac:dyDescent="0.2">
      <c r="A4151" s="42">
        <v>4516</v>
      </c>
      <c r="B4151" s="42">
        <v>17391</v>
      </c>
      <c r="C4151" s="34" t="s">
        <v>4881</v>
      </c>
    </row>
    <row r="4152" spans="1:3" ht="15.75" customHeight="1" x14ac:dyDescent="0.2">
      <c r="A4152" s="42">
        <v>4517</v>
      </c>
      <c r="B4152" s="42">
        <v>17391</v>
      </c>
      <c r="C4152" s="34" t="s">
        <v>4882</v>
      </c>
    </row>
    <row r="4153" spans="1:3" ht="15.75" customHeight="1" x14ac:dyDescent="0.2">
      <c r="A4153" s="42">
        <v>4518</v>
      </c>
      <c r="B4153" s="42">
        <v>17391</v>
      </c>
      <c r="C4153" s="34" t="s">
        <v>4883</v>
      </c>
    </row>
    <row r="4154" spans="1:3" ht="15.75" customHeight="1" x14ac:dyDescent="0.2">
      <c r="A4154" s="42">
        <v>4519</v>
      </c>
      <c r="B4154" s="42">
        <v>17391</v>
      </c>
      <c r="C4154" s="34" t="s">
        <v>4884</v>
      </c>
    </row>
    <row r="4155" spans="1:3" ht="15.75" customHeight="1" x14ac:dyDescent="0.2">
      <c r="A4155" s="42">
        <v>4520</v>
      </c>
      <c r="B4155" s="42">
        <v>17391</v>
      </c>
      <c r="C4155" s="34" t="s">
        <v>4885</v>
      </c>
    </row>
    <row r="4156" spans="1:3" ht="15.75" customHeight="1" x14ac:dyDescent="0.2">
      <c r="A4156" s="42">
        <v>4521</v>
      </c>
      <c r="B4156" s="42">
        <v>17391</v>
      </c>
      <c r="C4156" s="34" t="s">
        <v>4886</v>
      </c>
    </row>
    <row r="4157" spans="1:3" ht="15.75" customHeight="1" x14ac:dyDescent="0.2">
      <c r="A4157" s="42">
        <v>4522</v>
      </c>
      <c r="B4157" s="42">
        <v>17391</v>
      </c>
      <c r="C4157" s="34" t="s">
        <v>4887</v>
      </c>
    </row>
    <row r="4158" spans="1:3" ht="15.75" customHeight="1" x14ac:dyDescent="0.2">
      <c r="A4158" s="42">
        <v>4523</v>
      </c>
      <c r="B4158" s="42">
        <v>17391</v>
      </c>
      <c r="C4158" s="34" t="s">
        <v>4888</v>
      </c>
    </row>
    <row r="4159" spans="1:3" ht="15.75" customHeight="1" x14ac:dyDescent="0.2">
      <c r="A4159" s="42">
        <v>4524</v>
      </c>
      <c r="B4159" s="42">
        <v>17391</v>
      </c>
      <c r="C4159" s="34" t="s">
        <v>4889</v>
      </c>
    </row>
    <row r="4160" spans="1:3" ht="15.75" customHeight="1" x14ac:dyDescent="0.2">
      <c r="A4160" s="42">
        <v>4525</v>
      </c>
      <c r="B4160" s="42">
        <v>17391</v>
      </c>
      <c r="C4160" s="34" t="s">
        <v>4890</v>
      </c>
    </row>
    <row r="4161" spans="1:3" ht="15.75" customHeight="1" x14ac:dyDescent="0.2">
      <c r="A4161" s="42">
        <v>4526</v>
      </c>
      <c r="B4161" s="42">
        <v>17391</v>
      </c>
      <c r="C4161" s="34" t="s">
        <v>4891</v>
      </c>
    </row>
    <row r="4162" spans="1:3" ht="15.75" customHeight="1" x14ac:dyDescent="0.2">
      <c r="A4162" s="42">
        <v>4527</v>
      </c>
      <c r="B4162" s="42">
        <v>17391</v>
      </c>
      <c r="C4162" s="34" t="s">
        <v>4892</v>
      </c>
    </row>
    <row r="4163" spans="1:3" ht="15.75" customHeight="1" x14ac:dyDescent="0.2">
      <c r="A4163" s="42">
        <v>4528</v>
      </c>
      <c r="B4163" s="42">
        <v>17391</v>
      </c>
      <c r="C4163" s="34" t="s">
        <v>4893</v>
      </c>
    </row>
    <row r="4164" spans="1:3" ht="15.75" customHeight="1" x14ac:dyDescent="0.2">
      <c r="A4164" s="42">
        <v>4529</v>
      </c>
      <c r="B4164" s="42">
        <v>17391</v>
      </c>
      <c r="C4164" s="34" t="s">
        <v>4894</v>
      </c>
    </row>
    <row r="4165" spans="1:3" ht="15.75" customHeight="1" x14ac:dyDescent="0.2">
      <c r="A4165" s="42">
        <v>4530</v>
      </c>
      <c r="B4165" s="42">
        <v>17391</v>
      </c>
      <c r="C4165" s="34" t="s">
        <v>4895</v>
      </c>
    </row>
    <row r="4166" spans="1:3" ht="15.75" customHeight="1" x14ac:dyDescent="0.2">
      <c r="A4166" s="42">
        <v>4531</v>
      </c>
      <c r="B4166" s="42">
        <v>17391</v>
      </c>
      <c r="C4166" s="34" t="s">
        <v>4896</v>
      </c>
    </row>
    <row r="4167" spans="1:3" ht="15.75" customHeight="1" x14ac:dyDescent="0.2">
      <c r="A4167" s="42">
        <v>4532</v>
      </c>
      <c r="B4167" s="42">
        <v>17391</v>
      </c>
      <c r="C4167" s="34" t="s">
        <v>4897</v>
      </c>
    </row>
    <row r="4168" spans="1:3" ht="15.75" customHeight="1" x14ac:dyDescent="0.2">
      <c r="A4168" s="42">
        <v>4533</v>
      </c>
      <c r="B4168" s="42">
        <v>17391</v>
      </c>
      <c r="C4168" s="34" t="s">
        <v>4898</v>
      </c>
    </row>
    <row r="4169" spans="1:3" ht="15.75" customHeight="1" x14ac:dyDescent="0.2">
      <c r="A4169" s="42">
        <v>4534</v>
      </c>
      <c r="B4169" s="42">
        <v>17391</v>
      </c>
      <c r="C4169" s="34" t="s">
        <v>4899</v>
      </c>
    </row>
    <row r="4170" spans="1:3" ht="15.75" customHeight="1" x14ac:dyDescent="0.2">
      <c r="A4170" s="42">
        <v>4535</v>
      </c>
      <c r="B4170" s="42">
        <v>17391</v>
      </c>
      <c r="C4170" s="34" t="s">
        <v>4900</v>
      </c>
    </row>
    <row r="4171" spans="1:3" ht="15.75" customHeight="1" x14ac:dyDescent="0.2">
      <c r="A4171" s="42">
        <v>4536</v>
      </c>
      <c r="B4171" s="42">
        <v>17391</v>
      </c>
      <c r="C4171" s="34" t="s">
        <v>4901</v>
      </c>
    </row>
    <row r="4172" spans="1:3" ht="15.75" customHeight="1" x14ac:dyDescent="0.2">
      <c r="A4172" s="42">
        <v>4537</v>
      </c>
      <c r="B4172" s="42">
        <v>17391</v>
      </c>
      <c r="C4172" s="34" t="s">
        <v>4902</v>
      </c>
    </row>
    <row r="4173" spans="1:3" ht="15.75" customHeight="1" x14ac:dyDescent="0.2">
      <c r="A4173" s="42">
        <v>4538</v>
      </c>
      <c r="B4173" s="42">
        <v>17391</v>
      </c>
      <c r="C4173" s="34" t="s">
        <v>4903</v>
      </c>
    </row>
    <row r="4174" spans="1:3" ht="15.75" customHeight="1" x14ac:dyDescent="0.2">
      <c r="A4174" s="42">
        <v>4539</v>
      </c>
      <c r="B4174" s="42">
        <v>17391</v>
      </c>
      <c r="C4174" s="34" t="s">
        <v>4904</v>
      </c>
    </row>
    <row r="4175" spans="1:3" ht="15.75" customHeight="1" x14ac:dyDescent="0.2">
      <c r="A4175" s="42">
        <v>4540</v>
      </c>
      <c r="B4175" s="42">
        <v>17391</v>
      </c>
      <c r="C4175" s="34" t="s">
        <v>4905</v>
      </c>
    </row>
    <row r="4176" spans="1:3" ht="15.75" customHeight="1" x14ac:dyDescent="0.2">
      <c r="A4176" s="42">
        <v>4541</v>
      </c>
      <c r="B4176" s="42">
        <v>17391</v>
      </c>
      <c r="C4176" s="34" t="s">
        <v>4906</v>
      </c>
    </row>
    <row r="4177" spans="1:3" ht="15.75" customHeight="1" x14ac:dyDescent="0.2">
      <c r="A4177" s="42">
        <v>4542</v>
      </c>
      <c r="B4177" s="42">
        <v>17391</v>
      </c>
      <c r="C4177" s="34" t="s">
        <v>4907</v>
      </c>
    </row>
    <row r="4178" spans="1:3" ht="15.75" customHeight="1" x14ac:dyDescent="0.2">
      <c r="A4178" s="42">
        <v>4543</v>
      </c>
      <c r="B4178" s="42">
        <v>17391</v>
      </c>
      <c r="C4178" s="34" t="s">
        <v>4908</v>
      </c>
    </row>
    <row r="4179" spans="1:3" ht="15.75" customHeight="1" x14ac:dyDescent="0.2">
      <c r="A4179" s="42">
        <v>4544</v>
      </c>
      <c r="B4179" s="42">
        <v>17391</v>
      </c>
      <c r="C4179" s="34" t="s">
        <v>4909</v>
      </c>
    </row>
    <row r="4180" spans="1:3" ht="15.75" customHeight="1" x14ac:dyDescent="0.2">
      <c r="A4180" s="42">
        <v>4545</v>
      </c>
      <c r="B4180" s="42">
        <v>17391</v>
      </c>
      <c r="C4180" s="34" t="s">
        <v>4910</v>
      </c>
    </row>
    <row r="4181" spans="1:3" ht="15.75" customHeight="1" x14ac:dyDescent="0.2">
      <c r="A4181" s="42">
        <v>4546</v>
      </c>
      <c r="B4181" s="42">
        <v>17391</v>
      </c>
      <c r="C4181" s="34" t="s">
        <v>4911</v>
      </c>
    </row>
    <row r="4182" spans="1:3" ht="15.75" customHeight="1" x14ac:dyDescent="0.2">
      <c r="A4182" s="42">
        <v>4547</v>
      </c>
      <c r="B4182" s="42">
        <v>17391</v>
      </c>
      <c r="C4182" s="34" t="s">
        <v>4912</v>
      </c>
    </row>
    <row r="4183" spans="1:3" ht="15.75" customHeight="1" x14ac:dyDescent="0.2">
      <c r="A4183" s="42">
        <v>4548</v>
      </c>
      <c r="B4183" s="42">
        <v>17391</v>
      </c>
      <c r="C4183" s="34" t="s">
        <v>4913</v>
      </c>
    </row>
    <row r="4184" spans="1:3" ht="15.75" customHeight="1" x14ac:dyDescent="0.2">
      <c r="A4184" s="42">
        <v>4549</v>
      </c>
      <c r="B4184" s="42">
        <v>17391</v>
      </c>
      <c r="C4184" s="34" t="s">
        <v>4914</v>
      </c>
    </row>
    <row r="4185" spans="1:3" ht="15.75" customHeight="1" x14ac:dyDescent="0.2">
      <c r="A4185" s="42">
        <v>4550</v>
      </c>
      <c r="B4185" s="42">
        <v>17392</v>
      </c>
      <c r="C4185" s="34" t="s">
        <v>4915</v>
      </c>
    </row>
    <row r="4186" spans="1:3" ht="15.75" customHeight="1" x14ac:dyDescent="0.2">
      <c r="A4186" s="42">
        <v>4551</v>
      </c>
      <c r="B4186" s="42">
        <v>17392</v>
      </c>
      <c r="C4186" s="34" t="s">
        <v>4916</v>
      </c>
    </row>
    <row r="4187" spans="1:3" ht="15.75" customHeight="1" x14ac:dyDescent="0.2">
      <c r="A4187" s="42">
        <v>4552</v>
      </c>
      <c r="B4187" s="42">
        <v>17392</v>
      </c>
      <c r="C4187" s="34" t="s">
        <v>4917</v>
      </c>
    </row>
    <row r="4188" spans="1:3" ht="15.75" customHeight="1" x14ac:dyDescent="0.2">
      <c r="A4188" s="42">
        <v>4553</v>
      </c>
      <c r="B4188" s="42">
        <v>17392</v>
      </c>
      <c r="C4188" s="34" t="s">
        <v>4918</v>
      </c>
    </row>
    <row r="4189" spans="1:3" ht="15.75" customHeight="1" x14ac:dyDescent="0.2">
      <c r="A4189" s="42">
        <v>4554</v>
      </c>
      <c r="B4189" s="42">
        <v>17392</v>
      </c>
      <c r="C4189" s="34" t="s">
        <v>4919</v>
      </c>
    </row>
    <row r="4190" spans="1:3" ht="15.75" customHeight="1" x14ac:dyDescent="0.2">
      <c r="A4190" s="42">
        <v>4555</v>
      </c>
      <c r="B4190" s="42">
        <v>17392</v>
      </c>
      <c r="C4190" s="34" t="s">
        <v>4920</v>
      </c>
    </row>
    <row r="4191" spans="1:3" ht="15.75" customHeight="1" x14ac:dyDescent="0.2">
      <c r="A4191" s="42">
        <v>4556</v>
      </c>
      <c r="B4191" s="42">
        <v>17392</v>
      </c>
      <c r="C4191" s="34" t="s">
        <v>4921</v>
      </c>
    </row>
    <row r="4192" spans="1:3" ht="15.75" customHeight="1" x14ac:dyDescent="0.2">
      <c r="A4192" s="42">
        <v>4557</v>
      </c>
      <c r="B4192" s="42">
        <v>17392</v>
      </c>
      <c r="C4192" s="34" t="s">
        <v>4922</v>
      </c>
    </row>
    <row r="4193" spans="1:3" ht="15.75" customHeight="1" x14ac:dyDescent="0.2">
      <c r="A4193" s="42">
        <v>4558</v>
      </c>
      <c r="B4193" s="42">
        <v>17392</v>
      </c>
      <c r="C4193" s="34" t="s">
        <v>4923</v>
      </c>
    </row>
    <row r="4194" spans="1:3" ht="15.75" customHeight="1" x14ac:dyDescent="0.2">
      <c r="A4194" s="42">
        <v>4559</v>
      </c>
      <c r="B4194" s="42">
        <v>17392</v>
      </c>
      <c r="C4194" s="34" t="s">
        <v>4924</v>
      </c>
    </row>
    <row r="4195" spans="1:3" ht="15.75" customHeight="1" x14ac:dyDescent="0.2">
      <c r="A4195" s="42">
        <v>4560</v>
      </c>
      <c r="B4195" s="42">
        <v>17392</v>
      </c>
      <c r="C4195" s="34" t="s">
        <v>4925</v>
      </c>
    </row>
    <row r="4196" spans="1:3" ht="15.75" customHeight="1" x14ac:dyDescent="0.2">
      <c r="A4196" s="42">
        <v>4561</v>
      </c>
      <c r="B4196" s="42">
        <v>17392</v>
      </c>
      <c r="C4196" s="34" t="s">
        <v>4926</v>
      </c>
    </row>
    <row r="4197" spans="1:3" ht="15.75" customHeight="1" x14ac:dyDescent="0.2">
      <c r="A4197" s="42">
        <v>4562</v>
      </c>
      <c r="B4197" s="42">
        <v>17392</v>
      </c>
      <c r="C4197" s="34" t="s">
        <v>4927</v>
      </c>
    </row>
    <row r="4198" spans="1:3" ht="15.75" customHeight="1" x14ac:dyDescent="0.2">
      <c r="A4198" s="42">
        <v>4563</v>
      </c>
      <c r="B4198" s="42">
        <v>17392</v>
      </c>
      <c r="C4198" s="34" t="s">
        <v>4928</v>
      </c>
    </row>
    <row r="4199" spans="1:3" ht="15.75" customHeight="1" x14ac:dyDescent="0.2">
      <c r="A4199" s="42">
        <v>4564</v>
      </c>
      <c r="B4199" s="42">
        <v>17392</v>
      </c>
      <c r="C4199" s="34" t="s">
        <v>4929</v>
      </c>
    </row>
    <row r="4200" spans="1:3" ht="15.75" customHeight="1" x14ac:dyDescent="0.2">
      <c r="A4200" s="42">
        <v>4565</v>
      </c>
      <c r="B4200" s="42">
        <v>17392</v>
      </c>
      <c r="C4200" s="34" t="s">
        <v>4930</v>
      </c>
    </row>
    <row r="4201" spans="1:3" ht="15.75" customHeight="1" x14ac:dyDescent="0.2">
      <c r="A4201" s="42">
        <v>4566</v>
      </c>
      <c r="B4201" s="42">
        <v>17392</v>
      </c>
      <c r="C4201" s="34" t="s">
        <v>4931</v>
      </c>
    </row>
    <row r="4202" spans="1:3" ht="15.75" customHeight="1" x14ac:dyDescent="0.2">
      <c r="A4202" s="42">
        <v>4567</v>
      </c>
      <c r="B4202" s="42">
        <v>17392</v>
      </c>
      <c r="C4202" s="34" t="s">
        <v>4932</v>
      </c>
    </row>
    <row r="4203" spans="1:3" ht="15.75" customHeight="1" x14ac:dyDescent="0.2">
      <c r="A4203" s="42">
        <v>4568</v>
      </c>
      <c r="B4203" s="42">
        <v>17392</v>
      </c>
      <c r="C4203" s="34" t="s">
        <v>4933</v>
      </c>
    </row>
    <row r="4204" spans="1:3" ht="15.75" customHeight="1" x14ac:dyDescent="0.2">
      <c r="A4204" s="42">
        <v>4569</v>
      </c>
      <c r="B4204" s="42">
        <v>17392</v>
      </c>
      <c r="C4204" s="34" t="s">
        <v>4934</v>
      </c>
    </row>
    <row r="4205" spans="1:3" ht="15.75" customHeight="1" x14ac:dyDescent="0.2">
      <c r="A4205" s="42">
        <v>4570</v>
      </c>
      <c r="B4205" s="42">
        <v>17392</v>
      </c>
      <c r="C4205" s="34" t="s">
        <v>4935</v>
      </c>
    </row>
    <row r="4206" spans="1:3" ht="15.75" customHeight="1" x14ac:dyDescent="0.2">
      <c r="A4206" s="42">
        <v>4571</v>
      </c>
      <c r="B4206" s="42">
        <v>17392</v>
      </c>
      <c r="C4206" s="34" t="s">
        <v>4936</v>
      </c>
    </row>
    <row r="4207" spans="1:3" ht="15.75" customHeight="1" x14ac:dyDescent="0.2">
      <c r="A4207" s="42">
        <v>4572</v>
      </c>
      <c r="B4207" s="42">
        <v>17392</v>
      </c>
      <c r="C4207" s="34" t="s">
        <v>4937</v>
      </c>
    </row>
    <row r="4208" spans="1:3" ht="15.75" customHeight="1" x14ac:dyDescent="0.2">
      <c r="A4208" s="42">
        <v>4573</v>
      </c>
      <c r="B4208" s="42">
        <v>17392</v>
      </c>
      <c r="C4208" s="34" t="s">
        <v>4938</v>
      </c>
    </row>
    <row r="4209" spans="1:3" ht="15.75" customHeight="1" x14ac:dyDescent="0.2">
      <c r="A4209" s="42">
        <v>4574</v>
      </c>
      <c r="B4209" s="42">
        <v>17392</v>
      </c>
      <c r="C4209" s="34" t="s">
        <v>4939</v>
      </c>
    </row>
    <row r="4210" spans="1:3" ht="15.75" customHeight="1" x14ac:dyDescent="0.2">
      <c r="A4210" s="42">
        <v>4575</v>
      </c>
      <c r="B4210" s="42">
        <v>17392</v>
      </c>
      <c r="C4210" s="34" t="s">
        <v>4940</v>
      </c>
    </row>
    <row r="4211" spans="1:3" ht="15.75" customHeight="1" x14ac:dyDescent="0.2">
      <c r="A4211" s="42">
        <v>4576</v>
      </c>
      <c r="B4211" s="42">
        <v>17392</v>
      </c>
      <c r="C4211" s="34" t="s">
        <v>4941</v>
      </c>
    </row>
    <row r="4212" spans="1:3" ht="15.75" customHeight="1" x14ac:dyDescent="0.2">
      <c r="A4212" s="42">
        <v>4577</v>
      </c>
      <c r="B4212" s="42">
        <v>17392</v>
      </c>
      <c r="C4212" s="34" t="s">
        <v>4942</v>
      </c>
    </row>
    <row r="4213" spans="1:3" ht="15.75" customHeight="1" x14ac:dyDescent="0.2">
      <c r="A4213" s="42">
        <v>4578</v>
      </c>
      <c r="B4213" s="42">
        <v>17392</v>
      </c>
      <c r="C4213" s="34" t="s">
        <v>4943</v>
      </c>
    </row>
    <row r="4214" spans="1:3" ht="15.75" customHeight="1" x14ac:dyDescent="0.2">
      <c r="A4214" s="42">
        <v>4579</v>
      </c>
      <c r="B4214" s="42">
        <v>17392</v>
      </c>
      <c r="C4214" s="34" t="s">
        <v>4944</v>
      </c>
    </row>
    <row r="4215" spans="1:3" ht="15.75" customHeight="1" x14ac:dyDescent="0.2">
      <c r="A4215" s="42">
        <v>4580</v>
      </c>
      <c r="B4215" s="42">
        <v>17392</v>
      </c>
      <c r="C4215" s="34" t="s">
        <v>4945</v>
      </c>
    </row>
    <row r="4216" spans="1:3" ht="15.75" customHeight="1" x14ac:dyDescent="0.2">
      <c r="A4216" s="42">
        <v>4581</v>
      </c>
      <c r="B4216" s="42">
        <v>17392</v>
      </c>
      <c r="C4216" s="34" t="s">
        <v>4946</v>
      </c>
    </row>
    <row r="4217" spans="1:3" ht="15.75" customHeight="1" x14ac:dyDescent="0.2">
      <c r="A4217" s="42">
        <v>4582</v>
      </c>
      <c r="B4217" s="42">
        <v>17392</v>
      </c>
      <c r="C4217" s="34" t="s">
        <v>4947</v>
      </c>
    </row>
    <row r="4218" spans="1:3" ht="15.75" customHeight="1" x14ac:dyDescent="0.2">
      <c r="A4218" s="42">
        <v>4583</v>
      </c>
      <c r="B4218" s="42">
        <v>17392</v>
      </c>
      <c r="C4218" s="34" t="s">
        <v>4948</v>
      </c>
    </row>
    <row r="4219" spans="1:3" ht="15.75" customHeight="1" x14ac:dyDescent="0.2">
      <c r="A4219" s="42">
        <v>4584</v>
      </c>
      <c r="B4219" s="42">
        <v>17392</v>
      </c>
      <c r="C4219" s="34" t="s">
        <v>4949</v>
      </c>
    </row>
    <row r="4220" spans="1:3" ht="15.75" customHeight="1" x14ac:dyDescent="0.2">
      <c r="A4220" s="42">
        <v>4585</v>
      </c>
      <c r="B4220" s="42">
        <v>17392</v>
      </c>
      <c r="C4220" s="34" t="s">
        <v>4950</v>
      </c>
    </row>
    <row r="4221" spans="1:3" ht="15.75" customHeight="1" x14ac:dyDescent="0.2">
      <c r="A4221" s="42">
        <v>4586</v>
      </c>
      <c r="B4221" s="42">
        <v>17392</v>
      </c>
      <c r="C4221" s="34" t="s">
        <v>4951</v>
      </c>
    </row>
    <row r="4222" spans="1:3" ht="15.75" customHeight="1" x14ac:dyDescent="0.2">
      <c r="A4222" s="42">
        <v>4587</v>
      </c>
      <c r="B4222" s="42">
        <v>17392</v>
      </c>
      <c r="C4222" s="34" t="s">
        <v>4952</v>
      </c>
    </row>
    <row r="4223" spans="1:3" ht="15.75" customHeight="1" x14ac:dyDescent="0.2">
      <c r="A4223" s="42">
        <v>4588</v>
      </c>
      <c r="B4223" s="42">
        <v>17392</v>
      </c>
      <c r="C4223" s="34" t="s">
        <v>4953</v>
      </c>
    </row>
    <row r="4224" spans="1:3" ht="15.75" customHeight="1" x14ac:dyDescent="0.2">
      <c r="A4224" s="42">
        <v>4589</v>
      </c>
      <c r="B4224" s="42">
        <v>17392</v>
      </c>
      <c r="C4224" s="34" t="s">
        <v>4954</v>
      </c>
    </row>
    <row r="4225" spans="1:3" ht="15.75" customHeight="1" x14ac:dyDescent="0.2">
      <c r="A4225" s="42">
        <v>4590</v>
      </c>
      <c r="B4225" s="42">
        <v>17392</v>
      </c>
      <c r="C4225" s="34" t="s">
        <v>4955</v>
      </c>
    </row>
    <row r="4226" spans="1:3" ht="15.75" customHeight="1" x14ac:dyDescent="0.2">
      <c r="A4226" s="42">
        <v>4591</v>
      </c>
      <c r="B4226" s="42">
        <v>17392</v>
      </c>
      <c r="C4226" s="34" t="s">
        <v>4956</v>
      </c>
    </row>
    <row r="4227" spans="1:3" ht="15.75" customHeight="1" x14ac:dyDescent="0.2">
      <c r="A4227" s="42">
        <v>4592</v>
      </c>
      <c r="B4227" s="42">
        <v>17392</v>
      </c>
      <c r="C4227" s="34" t="s">
        <v>4957</v>
      </c>
    </row>
    <row r="4228" spans="1:3" ht="15.75" customHeight="1" x14ac:dyDescent="0.2">
      <c r="A4228" s="42">
        <v>4593</v>
      </c>
      <c r="B4228" s="42">
        <v>17392</v>
      </c>
      <c r="C4228" s="34" t="s">
        <v>4958</v>
      </c>
    </row>
    <row r="4229" spans="1:3" ht="15.75" customHeight="1" x14ac:dyDescent="0.2">
      <c r="A4229" s="42">
        <v>4594</v>
      </c>
      <c r="B4229" s="42">
        <v>17392</v>
      </c>
      <c r="C4229" s="34" t="s">
        <v>4959</v>
      </c>
    </row>
    <row r="4230" spans="1:3" ht="15.75" customHeight="1" x14ac:dyDescent="0.2">
      <c r="A4230" s="42">
        <v>4595</v>
      </c>
      <c r="B4230" s="42">
        <v>17392</v>
      </c>
      <c r="C4230" s="34" t="s">
        <v>4960</v>
      </c>
    </row>
    <row r="4231" spans="1:3" ht="15.75" customHeight="1" x14ac:dyDescent="0.2">
      <c r="A4231" s="42">
        <v>4596</v>
      </c>
      <c r="B4231" s="42">
        <v>17392</v>
      </c>
      <c r="C4231" s="34" t="s">
        <v>4961</v>
      </c>
    </row>
    <row r="4232" spans="1:3" ht="15.75" customHeight="1" x14ac:dyDescent="0.2">
      <c r="A4232" s="42">
        <v>4597</v>
      </c>
      <c r="B4232" s="42">
        <v>17392</v>
      </c>
      <c r="C4232" s="34" t="s">
        <v>4962</v>
      </c>
    </row>
    <row r="4233" spans="1:3" ht="15.75" customHeight="1" x14ac:dyDescent="0.2">
      <c r="A4233" s="42">
        <v>4598</v>
      </c>
      <c r="B4233" s="42">
        <v>17392</v>
      </c>
      <c r="C4233" s="34" t="s">
        <v>4963</v>
      </c>
    </row>
    <row r="4234" spans="1:3" ht="15.75" customHeight="1" x14ac:dyDescent="0.2">
      <c r="A4234" s="42">
        <v>4599</v>
      </c>
      <c r="B4234" s="42">
        <v>17392</v>
      </c>
      <c r="C4234" s="34" t="s">
        <v>4964</v>
      </c>
    </row>
    <row r="4235" spans="1:3" ht="15.75" customHeight="1" x14ac:dyDescent="0.2">
      <c r="A4235" s="42">
        <v>4600</v>
      </c>
      <c r="B4235" s="42">
        <v>17392</v>
      </c>
      <c r="C4235" s="34" t="s">
        <v>4965</v>
      </c>
    </row>
    <row r="4236" spans="1:3" ht="15.75" customHeight="1" x14ac:dyDescent="0.2">
      <c r="A4236" s="42">
        <v>4601</v>
      </c>
      <c r="B4236" s="42">
        <v>17392</v>
      </c>
      <c r="C4236" s="34" t="s">
        <v>4966</v>
      </c>
    </row>
    <row r="4237" spans="1:3" ht="15.75" customHeight="1" x14ac:dyDescent="0.2">
      <c r="A4237" s="42">
        <v>4602</v>
      </c>
      <c r="B4237" s="42">
        <v>17392</v>
      </c>
      <c r="C4237" s="34" t="s">
        <v>4967</v>
      </c>
    </row>
    <row r="4238" spans="1:3" ht="15.75" customHeight="1" x14ac:dyDescent="0.2">
      <c r="A4238" s="42">
        <v>4603</v>
      </c>
      <c r="B4238" s="42">
        <v>17392</v>
      </c>
      <c r="C4238" s="34" t="s">
        <v>4968</v>
      </c>
    </row>
    <row r="4239" spans="1:3" ht="15.75" customHeight="1" x14ac:dyDescent="0.2">
      <c r="A4239" s="42">
        <v>4604</v>
      </c>
      <c r="B4239" s="42">
        <v>17392</v>
      </c>
      <c r="C4239" s="34" t="s">
        <v>4969</v>
      </c>
    </row>
    <row r="4240" spans="1:3" ht="15.75" customHeight="1" x14ac:dyDescent="0.2">
      <c r="A4240" s="42">
        <v>4605</v>
      </c>
      <c r="B4240" s="42">
        <v>17392</v>
      </c>
      <c r="C4240" s="34" t="s">
        <v>4970</v>
      </c>
    </row>
    <row r="4241" spans="1:3" ht="15.75" customHeight="1" x14ac:dyDescent="0.2">
      <c r="A4241" s="42">
        <v>4606</v>
      </c>
      <c r="B4241" s="42">
        <v>17392</v>
      </c>
      <c r="C4241" s="34" t="s">
        <v>4971</v>
      </c>
    </row>
    <row r="4242" spans="1:3" ht="15.75" customHeight="1" x14ac:dyDescent="0.2">
      <c r="A4242" s="42">
        <v>4607</v>
      </c>
      <c r="B4242" s="42">
        <v>17392</v>
      </c>
      <c r="C4242" s="34" t="s">
        <v>4972</v>
      </c>
    </row>
    <row r="4243" spans="1:3" ht="15.75" customHeight="1" x14ac:dyDescent="0.2">
      <c r="A4243" s="42">
        <v>4608</v>
      </c>
      <c r="B4243" s="42">
        <v>17392</v>
      </c>
      <c r="C4243" s="34" t="s">
        <v>4973</v>
      </c>
    </row>
    <row r="4244" spans="1:3" ht="15.75" customHeight="1" x14ac:dyDescent="0.2">
      <c r="A4244" s="42">
        <v>4609</v>
      </c>
      <c r="B4244" s="42">
        <v>17392</v>
      </c>
      <c r="C4244" s="34" t="s">
        <v>4974</v>
      </c>
    </row>
    <row r="4245" spans="1:3" ht="15.75" customHeight="1" x14ac:dyDescent="0.2">
      <c r="A4245" s="42">
        <v>4610</v>
      </c>
      <c r="B4245" s="42">
        <v>17392</v>
      </c>
      <c r="C4245" s="34" t="s">
        <v>4975</v>
      </c>
    </row>
    <row r="4246" spans="1:3" ht="15.75" customHeight="1" x14ac:dyDescent="0.2">
      <c r="A4246" s="42">
        <v>4611</v>
      </c>
      <c r="B4246" s="42">
        <v>17392</v>
      </c>
      <c r="C4246" s="34" t="s">
        <v>4976</v>
      </c>
    </row>
    <row r="4247" spans="1:3" ht="15.75" customHeight="1" x14ac:dyDescent="0.2">
      <c r="A4247" s="42">
        <v>4612</v>
      </c>
      <c r="B4247" s="42">
        <v>17392</v>
      </c>
      <c r="C4247" s="34" t="s">
        <v>4977</v>
      </c>
    </row>
    <row r="4248" spans="1:3" ht="15.75" customHeight="1" x14ac:dyDescent="0.2">
      <c r="A4248" s="42">
        <v>4613</v>
      </c>
      <c r="B4248" s="42">
        <v>17392</v>
      </c>
      <c r="C4248" s="34" t="s">
        <v>4978</v>
      </c>
    </row>
    <row r="4249" spans="1:3" ht="15.75" customHeight="1" x14ac:dyDescent="0.2">
      <c r="A4249" s="42">
        <v>4614</v>
      </c>
      <c r="B4249" s="42">
        <v>17392</v>
      </c>
      <c r="C4249" s="34" t="s">
        <v>4979</v>
      </c>
    </row>
    <row r="4250" spans="1:3" ht="15.75" customHeight="1" x14ac:dyDescent="0.2">
      <c r="A4250" s="42">
        <v>4615</v>
      </c>
      <c r="B4250" s="42">
        <v>17392</v>
      </c>
      <c r="C4250" s="34" t="s">
        <v>4980</v>
      </c>
    </row>
    <row r="4251" spans="1:3" ht="15.75" customHeight="1" x14ac:dyDescent="0.2">
      <c r="A4251" s="42">
        <v>4616</v>
      </c>
      <c r="B4251" s="42">
        <v>17392</v>
      </c>
      <c r="C4251" s="34" t="s">
        <v>4981</v>
      </c>
    </row>
    <row r="4252" spans="1:3" ht="15.75" customHeight="1" x14ac:dyDescent="0.2">
      <c r="A4252" s="42">
        <v>4617</v>
      </c>
      <c r="B4252" s="42">
        <v>17392</v>
      </c>
      <c r="C4252" s="34" t="s">
        <v>4982</v>
      </c>
    </row>
    <row r="4253" spans="1:3" ht="15.75" customHeight="1" x14ac:dyDescent="0.2">
      <c r="A4253" s="42">
        <v>4618</v>
      </c>
      <c r="B4253" s="42">
        <v>17392</v>
      </c>
      <c r="C4253" s="34" t="s">
        <v>4983</v>
      </c>
    </row>
    <row r="4254" spans="1:3" ht="15.75" customHeight="1" x14ac:dyDescent="0.2">
      <c r="A4254" s="42">
        <v>4619</v>
      </c>
      <c r="B4254" s="42">
        <v>17392</v>
      </c>
      <c r="C4254" s="34" t="s">
        <v>4984</v>
      </c>
    </row>
    <row r="4255" spans="1:3" ht="15.75" customHeight="1" x14ac:dyDescent="0.2">
      <c r="A4255" s="42">
        <v>4620</v>
      </c>
      <c r="B4255" s="42">
        <v>17392</v>
      </c>
      <c r="C4255" s="34" t="s">
        <v>4985</v>
      </c>
    </row>
    <row r="4256" spans="1:3" ht="15.75" customHeight="1" x14ac:dyDescent="0.2">
      <c r="A4256" s="42">
        <v>4621</v>
      </c>
      <c r="B4256" s="42">
        <v>17392</v>
      </c>
      <c r="C4256" s="34" t="s">
        <v>4986</v>
      </c>
    </row>
    <row r="4257" spans="1:3" ht="15.75" customHeight="1" x14ac:dyDescent="0.2">
      <c r="A4257" s="42">
        <v>4622</v>
      </c>
      <c r="B4257" s="42">
        <v>17392</v>
      </c>
      <c r="C4257" s="34" t="s">
        <v>4987</v>
      </c>
    </row>
    <row r="4258" spans="1:3" ht="15.75" customHeight="1" x14ac:dyDescent="0.2">
      <c r="A4258" s="42">
        <v>4623</v>
      </c>
      <c r="B4258" s="42">
        <v>17392</v>
      </c>
      <c r="C4258" s="34" t="s">
        <v>4988</v>
      </c>
    </row>
    <row r="4259" spans="1:3" ht="15.75" customHeight="1" x14ac:dyDescent="0.2">
      <c r="A4259" s="42">
        <v>4624</v>
      </c>
      <c r="B4259" s="42">
        <v>17392</v>
      </c>
      <c r="C4259" s="34" t="s">
        <v>4989</v>
      </c>
    </row>
    <row r="4260" spans="1:3" ht="15.75" customHeight="1" x14ac:dyDescent="0.2">
      <c r="A4260" s="42">
        <v>4625</v>
      </c>
      <c r="B4260" s="42">
        <v>17392</v>
      </c>
      <c r="C4260" s="34" t="s">
        <v>4990</v>
      </c>
    </row>
    <row r="4261" spans="1:3" ht="15.75" customHeight="1" x14ac:dyDescent="0.2">
      <c r="A4261" s="42">
        <v>4626</v>
      </c>
      <c r="B4261" s="42">
        <v>17392</v>
      </c>
      <c r="C4261" s="34" t="s">
        <v>4991</v>
      </c>
    </row>
    <row r="4262" spans="1:3" ht="15.75" customHeight="1" x14ac:dyDescent="0.2">
      <c r="A4262" s="42">
        <v>4627</v>
      </c>
      <c r="B4262" s="42">
        <v>17392</v>
      </c>
      <c r="C4262" s="34" t="s">
        <v>4992</v>
      </c>
    </row>
    <row r="4263" spans="1:3" ht="15.75" customHeight="1" x14ac:dyDescent="0.2">
      <c r="A4263" s="42">
        <v>4628</v>
      </c>
      <c r="B4263" s="42">
        <v>17392</v>
      </c>
      <c r="C4263" s="34" t="s">
        <v>4993</v>
      </c>
    </row>
    <row r="4264" spans="1:3" ht="15.75" customHeight="1" x14ac:dyDescent="0.2">
      <c r="A4264" s="42">
        <v>4629</v>
      </c>
      <c r="B4264" s="42">
        <v>17392</v>
      </c>
      <c r="C4264" s="34" t="s">
        <v>4994</v>
      </c>
    </row>
    <row r="4265" spans="1:3" ht="15.75" customHeight="1" x14ac:dyDescent="0.2">
      <c r="A4265" s="42">
        <v>4630</v>
      </c>
      <c r="B4265" s="42">
        <v>17392</v>
      </c>
      <c r="C4265" s="34" t="s">
        <v>4995</v>
      </c>
    </row>
    <row r="4266" spans="1:3" ht="15.75" customHeight="1" x14ac:dyDescent="0.2">
      <c r="A4266" s="42">
        <v>4631</v>
      </c>
      <c r="B4266" s="42">
        <v>17392</v>
      </c>
      <c r="C4266" s="34" t="s">
        <v>4996</v>
      </c>
    </row>
    <row r="4267" spans="1:3" ht="15.75" customHeight="1" x14ac:dyDescent="0.2">
      <c r="A4267" s="42">
        <v>4632</v>
      </c>
      <c r="B4267" s="42">
        <v>17392</v>
      </c>
      <c r="C4267" s="34" t="s">
        <v>4997</v>
      </c>
    </row>
    <row r="4268" spans="1:3" ht="15.75" customHeight="1" x14ac:dyDescent="0.2">
      <c r="A4268" s="42">
        <v>4633</v>
      </c>
      <c r="B4268" s="42">
        <v>17392</v>
      </c>
      <c r="C4268" s="34" t="s">
        <v>4998</v>
      </c>
    </row>
    <row r="4269" spans="1:3" ht="15.75" customHeight="1" x14ac:dyDescent="0.2">
      <c r="A4269" s="42">
        <v>4634</v>
      </c>
      <c r="B4269" s="42">
        <v>17392</v>
      </c>
      <c r="C4269" s="34" t="s">
        <v>4999</v>
      </c>
    </row>
    <row r="4270" spans="1:3" ht="15.75" customHeight="1" x14ac:dyDescent="0.2">
      <c r="A4270" s="42">
        <v>4635</v>
      </c>
      <c r="B4270" s="42">
        <v>17392</v>
      </c>
      <c r="C4270" s="34" t="s">
        <v>5000</v>
      </c>
    </row>
    <row r="4271" spans="1:3" ht="15.75" customHeight="1" x14ac:dyDescent="0.2">
      <c r="A4271" s="42">
        <v>4636</v>
      </c>
      <c r="B4271" s="42">
        <v>17392</v>
      </c>
      <c r="C4271" s="34" t="s">
        <v>5001</v>
      </c>
    </row>
    <row r="4272" spans="1:3" ht="15.75" customHeight="1" x14ac:dyDescent="0.2">
      <c r="A4272" s="42">
        <v>4637</v>
      </c>
      <c r="B4272" s="42">
        <v>17392</v>
      </c>
      <c r="C4272" s="34" t="s">
        <v>5002</v>
      </c>
    </row>
    <row r="4273" spans="1:3" ht="15.75" customHeight="1" x14ac:dyDescent="0.2">
      <c r="A4273" s="42">
        <v>4638</v>
      </c>
      <c r="B4273" s="42">
        <v>17393</v>
      </c>
      <c r="C4273" s="34" t="s">
        <v>5003</v>
      </c>
    </row>
    <row r="4274" spans="1:3" ht="15.75" customHeight="1" x14ac:dyDescent="0.2">
      <c r="A4274" s="42">
        <v>4639</v>
      </c>
      <c r="B4274" s="42">
        <v>17393</v>
      </c>
      <c r="C4274" s="34" t="s">
        <v>5004</v>
      </c>
    </row>
    <row r="4275" spans="1:3" ht="15.75" customHeight="1" x14ac:dyDescent="0.2">
      <c r="A4275" s="42">
        <v>4640</v>
      </c>
      <c r="B4275" s="42">
        <v>17393</v>
      </c>
      <c r="C4275" s="34" t="s">
        <v>5005</v>
      </c>
    </row>
    <row r="4276" spans="1:3" ht="15.75" customHeight="1" x14ac:dyDescent="0.2">
      <c r="A4276" s="42">
        <v>4641</v>
      </c>
      <c r="B4276" s="42">
        <v>17393</v>
      </c>
      <c r="C4276" s="34" t="s">
        <v>5006</v>
      </c>
    </row>
    <row r="4277" spans="1:3" ht="15.75" customHeight="1" x14ac:dyDescent="0.2">
      <c r="A4277" s="42">
        <v>4642</v>
      </c>
      <c r="B4277" s="42">
        <v>17393</v>
      </c>
      <c r="C4277" s="34" t="s">
        <v>5007</v>
      </c>
    </row>
    <row r="4278" spans="1:3" ht="15.75" customHeight="1" x14ac:dyDescent="0.2">
      <c r="A4278" s="42">
        <v>4643</v>
      </c>
      <c r="B4278" s="42">
        <v>17393</v>
      </c>
      <c r="C4278" s="34" t="s">
        <v>5008</v>
      </c>
    </row>
    <row r="4279" spans="1:3" ht="15.75" customHeight="1" x14ac:dyDescent="0.2">
      <c r="A4279" s="42">
        <v>4644</v>
      </c>
      <c r="B4279" s="42">
        <v>17393</v>
      </c>
      <c r="C4279" s="34" t="s">
        <v>5009</v>
      </c>
    </row>
    <row r="4280" spans="1:3" ht="15.75" customHeight="1" x14ac:dyDescent="0.2">
      <c r="A4280" s="42">
        <v>4645</v>
      </c>
      <c r="B4280" s="42">
        <v>17393</v>
      </c>
      <c r="C4280" s="34" t="s">
        <v>5010</v>
      </c>
    </row>
    <row r="4281" spans="1:3" ht="15.75" customHeight="1" x14ac:dyDescent="0.2">
      <c r="A4281" s="42">
        <v>4646</v>
      </c>
      <c r="B4281" s="42">
        <v>17393</v>
      </c>
      <c r="C4281" s="34" t="s">
        <v>5011</v>
      </c>
    </row>
    <row r="4282" spans="1:3" ht="15.75" customHeight="1" x14ac:dyDescent="0.2">
      <c r="A4282" s="42">
        <v>4647</v>
      </c>
      <c r="B4282" s="42">
        <v>17393</v>
      </c>
      <c r="C4282" s="34" t="s">
        <v>5012</v>
      </c>
    </row>
    <row r="4283" spans="1:3" ht="15.75" customHeight="1" x14ac:dyDescent="0.2">
      <c r="A4283" s="42">
        <v>4648</v>
      </c>
      <c r="B4283" s="42">
        <v>17393</v>
      </c>
      <c r="C4283" s="34" t="s">
        <v>5013</v>
      </c>
    </row>
    <row r="4284" spans="1:3" ht="15.75" customHeight="1" x14ac:dyDescent="0.2">
      <c r="A4284" s="42">
        <v>4649</v>
      </c>
      <c r="B4284" s="42">
        <v>17393</v>
      </c>
      <c r="C4284" s="34" t="s">
        <v>5014</v>
      </c>
    </row>
    <row r="4285" spans="1:3" ht="15.75" customHeight="1" x14ac:dyDescent="0.2">
      <c r="A4285" s="42">
        <v>4650</v>
      </c>
      <c r="B4285" s="42">
        <v>17393</v>
      </c>
      <c r="C4285" s="34" t="s">
        <v>5015</v>
      </c>
    </row>
    <row r="4286" spans="1:3" ht="15.75" customHeight="1" x14ac:dyDescent="0.2">
      <c r="A4286" s="42">
        <v>4651</v>
      </c>
      <c r="B4286" s="42">
        <v>17393</v>
      </c>
      <c r="C4286" s="34" t="s">
        <v>5016</v>
      </c>
    </row>
    <row r="4287" spans="1:3" ht="15.75" customHeight="1" x14ac:dyDescent="0.2">
      <c r="A4287" s="42">
        <v>4652</v>
      </c>
      <c r="B4287" s="42">
        <v>17393</v>
      </c>
      <c r="C4287" s="34" t="s">
        <v>5017</v>
      </c>
    </row>
    <row r="4288" spans="1:3" ht="15.75" customHeight="1" x14ac:dyDescent="0.2">
      <c r="A4288" s="42">
        <v>4653</v>
      </c>
      <c r="B4288" s="42">
        <v>17393</v>
      </c>
      <c r="C4288" s="34" t="s">
        <v>5018</v>
      </c>
    </row>
    <row r="4289" spans="1:3" ht="15.75" customHeight="1" x14ac:dyDescent="0.2">
      <c r="A4289" s="42">
        <v>4654</v>
      </c>
      <c r="B4289" s="42">
        <v>17393</v>
      </c>
      <c r="C4289" s="34" t="s">
        <v>5006</v>
      </c>
    </row>
    <row r="4290" spans="1:3" ht="15.75" customHeight="1" x14ac:dyDescent="0.2">
      <c r="A4290" s="42">
        <v>4655</v>
      </c>
      <c r="B4290" s="42">
        <v>17393</v>
      </c>
      <c r="C4290" s="34" t="s">
        <v>5019</v>
      </c>
    </row>
    <row r="4291" spans="1:3" ht="15.75" customHeight="1" x14ac:dyDescent="0.2">
      <c r="A4291" s="42">
        <v>4656</v>
      </c>
      <c r="B4291" s="42">
        <v>17393</v>
      </c>
      <c r="C4291" s="34" t="s">
        <v>5020</v>
      </c>
    </row>
    <row r="4292" spans="1:3" ht="15.75" customHeight="1" x14ac:dyDescent="0.2">
      <c r="A4292" s="42">
        <v>4657</v>
      </c>
      <c r="B4292" s="42">
        <v>17393</v>
      </c>
      <c r="C4292" s="34" t="s">
        <v>5021</v>
      </c>
    </row>
    <row r="4293" spans="1:3" ht="15.75" customHeight="1" x14ac:dyDescent="0.2">
      <c r="A4293" s="42">
        <v>4658</v>
      </c>
      <c r="B4293" s="42">
        <v>17393</v>
      </c>
      <c r="C4293" s="34" t="s">
        <v>5022</v>
      </c>
    </row>
    <row r="4294" spans="1:3" ht="15.75" customHeight="1" x14ac:dyDescent="0.2">
      <c r="A4294" s="42">
        <v>4659</v>
      </c>
      <c r="B4294" s="42">
        <v>17393</v>
      </c>
      <c r="C4294" s="34" t="s">
        <v>5023</v>
      </c>
    </row>
    <row r="4295" spans="1:3" ht="15.75" customHeight="1" x14ac:dyDescent="0.2">
      <c r="A4295" s="42">
        <v>4660</v>
      </c>
      <c r="B4295" s="42">
        <v>17393</v>
      </c>
      <c r="C4295" s="34" t="s">
        <v>5024</v>
      </c>
    </row>
    <row r="4296" spans="1:3" ht="15.75" customHeight="1" x14ac:dyDescent="0.2">
      <c r="A4296" s="42">
        <v>4661</v>
      </c>
      <c r="B4296" s="42">
        <v>17393</v>
      </c>
      <c r="C4296" s="34" t="s">
        <v>5025</v>
      </c>
    </row>
    <row r="4297" spans="1:3" ht="15.75" customHeight="1" x14ac:dyDescent="0.2">
      <c r="A4297" s="42">
        <v>4662</v>
      </c>
      <c r="B4297" s="42">
        <v>17393</v>
      </c>
      <c r="C4297" s="34" t="s">
        <v>5026</v>
      </c>
    </row>
    <row r="4298" spans="1:3" ht="15.75" customHeight="1" x14ac:dyDescent="0.2">
      <c r="A4298" s="42">
        <v>4663</v>
      </c>
      <c r="B4298" s="42">
        <v>17393</v>
      </c>
      <c r="C4298" s="34" t="s">
        <v>5027</v>
      </c>
    </row>
    <row r="4299" spans="1:3" ht="15.75" customHeight="1" x14ac:dyDescent="0.2">
      <c r="A4299" s="42">
        <v>4664</v>
      </c>
      <c r="B4299" s="42">
        <v>17393</v>
      </c>
      <c r="C4299" s="34" t="s">
        <v>5028</v>
      </c>
    </row>
    <row r="4300" spans="1:3" ht="15.75" customHeight="1" x14ac:dyDescent="0.2">
      <c r="A4300" s="42">
        <v>4665</v>
      </c>
      <c r="B4300" s="42">
        <v>17393</v>
      </c>
      <c r="C4300" s="34" t="s">
        <v>5029</v>
      </c>
    </row>
    <row r="4301" spans="1:3" ht="15.75" customHeight="1" x14ac:dyDescent="0.2">
      <c r="A4301" s="42">
        <v>4666</v>
      </c>
      <c r="B4301" s="42">
        <v>17393</v>
      </c>
      <c r="C4301" s="34" t="s">
        <v>5030</v>
      </c>
    </row>
    <row r="4302" spans="1:3" ht="15.75" customHeight="1" x14ac:dyDescent="0.2">
      <c r="A4302" s="42">
        <v>4667</v>
      </c>
      <c r="B4302" s="42">
        <v>17393</v>
      </c>
      <c r="C4302" s="34" t="s">
        <v>5031</v>
      </c>
    </row>
    <row r="4303" spans="1:3" ht="15.75" customHeight="1" x14ac:dyDescent="0.2">
      <c r="A4303" s="42">
        <v>4668</v>
      </c>
      <c r="B4303" s="42">
        <v>17393</v>
      </c>
      <c r="C4303" s="34" t="s">
        <v>5008</v>
      </c>
    </row>
    <row r="4304" spans="1:3" ht="15.75" customHeight="1" x14ac:dyDescent="0.2">
      <c r="A4304" s="42">
        <v>4669</v>
      </c>
      <c r="B4304" s="42">
        <v>17393</v>
      </c>
      <c r="C4304" s="34" t="s">
        <v>5032</v>
      </c>
    </row>
    <row r="4305" spans="1:3" ht="15.75" customHeight="1" x14ac:dyDescent="0.2">
      <c r="A4305" s="42">
        <v>4670</v>
      </c>
      <c r="B4305" s="42">
        <v>17393</v>
      </c>
      <c r="C4305" s="34" t="s">
        <v>5033</v>
      </c>
    </row>
    <row r="4306" spans="1:3" ht="15.75" customHeight="1" x14ac:dyDescent="0.2">
      <c r="A4306" s="42">
        <v>4671</v>
      </c>
      <c r="B4306" s="42">
        <v>17393</v>
      </c>
      <c r="C4306" s="34" t="s">
        <v>5034</v>
      </c>
    </row>
    <row r="4307" spans="1:3" ht="15.75" customHeight="1" x14ac:dyDescent="0.2">
      <c r="A4307" s="42">
        <v>4672</v>
      </c>
      <c r="B4307" s="42">
        <v>17393</v>
      </c>
      <c r="C4307" s="34" t="s">
        <v>5035</v>
      </c>
    </row>
    <row r="4308" spans="1:3" ht="15.75" customHeight="1" x14ac:dyDescent="0.2">
      <c r="A4308" s="42">
        <v>4673</v>
      </c>
      <c r="B4308" s="42">
        <v>17393</v>
      </c>
      <c r="C4308" s="34" t="s">
        <v>5036</v>
      </c>
    </row>
    <row r="4309" spans="1:3" ht="15.75" customHeight="1" x14ac:dyDescent="0.2">
      <c r="A4309" s="42">
        <v>4674</v>
      </c>
      <c r="B4309" s="42">
        <v>17393</v>
      </c>
      <c r="C4309" s="34" t="s">
        <v>5037</v>
      </c>
    </row>
    <row r="4310" spans="1:3" ht="15.75" customHeight="1" x14ac:dyDescent="0.2">
      <c r="A4310" s="42">
        <v>4675</v>
      </c>
      <c r="B4310" s="42">
        <v>17393</v>
      </c>
      <c r="C4310" s="34" t="s">
        <v>5038</v>
      </c>
    </row>
    <row r="4311" spans="1:3" ht="15.75" customHeight="1" x14ac:dyDescent="0.2">
      <c r="A4311" s="42">
        <v>4676</v>
      </c>
      <c r="B4311" s="42">
        <v>17393</v>
      </c>
      <c r="C4311" s="34" t="s">
        <v>5039</v>
      </c>
    </row>
    <row r="4312" spans="1:3" ht="15.75" customHeight="1" x14ac:dyDescent="0.2">
      <c r="A4312" s="42">
        <v>4677</v>
      </c>
      <c r="B4312" s="42">
        <v>17393</v>
      </c>
      <c r="C4312" s="34" t="s">
        <v>5040</v>
      </c>
    </row>
    <row r="4313" spans="1:3" ht="15.75" customHeight="1" x14ac:dyDescent="0.2">
      <c r="A4313" s="42">
        <v>4678</v>
      </c>
      <c r="B4313" s="42">
        <v>17393</v>
      </c>
      <c r="C4313" s="34" t="s">
        <v>5041</v>
      </c>
    </row>
    <row r="4314" spans="1:3" ht="15.75" customHeight="1" x14ac:dyDescent="0.2">
      <c r="A4314" s="42">
        <v>4679</v>
      </c>
      <c r="B4314" s="42">
        <v>17393</v>
      </c>
      <c r="C4314" s="34" t="s">
        <v>5042</v>
      </c>
    </row>
    <row r="4315" spans="1:3" ht="15.75" customHeight="1" x14ac:dyDescent="0.2">
      <c r="A4315" s="42">
        <v>4680</v>
      </c>
      <c r="B4315" s="42">
        <v>17393</v>
      </c>
      <c r="C4315" s="34" t="s">
        <v>5043</v>
      </c>
    </row>
    <row r="4316" spans="1:3" ht="15.75" customHeight="1" x14ac:dyDescent="0.2">
      <c r="A4316" s="42">
        <v>4681</v>
      </c>
      <c r="B4316" s="42">
        <v>17393</v>
      </c>
      <c r="C4316" s="34" t="s">
        <v>5044</v>
      </c>
    </row>
    <row r="4317" spans="1:3" ht="15.75" customHeight="1" x14ac:dyDescent="0.2">
      <c r="A4317" s="42">
        <v>4682</v>
      </c>
      <c r="B4317" s="42">
        <v>17393</v>
      </c>
      <c r="C4317" s="34" t="s">
        <v>5045</v>
      </c>
    </row>
    <row r="4318" spans="1:3" ht="15.75" customHeight="1" x14ac:dyDescent="0.2">
      <c r="A4318" s="42">
        <v>4683</v>
      </c>
      <c r="B4318" s="42">
        <v>17393</v>
      </c>
      <c r="C4318" s="34" t="s">
        <v>5046</v>
      </c>
    </row>
    <row r="4319" spans="1:3" ht="15.75" customHeight="1" x14ac:dyDescent="0.2">
      <c r="A4319" s="42">
        <v>4684</v>
      </c>
      <c r="B4319" s="42">
        <v>17393</v>
      </c>
      <c r="C4319" s="34" t="s">
        <v>5047</v>
      </c>
    </row>
    <row r="4320" spans="1:3" ht="15.75" customHeight="1" x14ac:dyDescent="0.2">
      <c r="A4320" s="42">
        <v>4685</v>
      </c>
      <c r="B4320" s="42">
        <v>17393</v>
      </c>
      <c r="C4320" s="34" t="s">
        <v>5048</v>
      </c>
    </row>
    <row r="4321" spans="1:3" ht="15.75" customHeight="1" x14ac:dyDescent="0.2">
      <c r="A4321" s="42">
        <v>4686</v>
      </c>
      <c r="B4321" s="42">
        <v>17393</v>
      </c>
      <c r="C4321" s="34" t="s">
        <v>5049</v>
      </c>
    </row>
    <row r="4322" spans="1:3" ht="15.75" customHeight="1" x14ac:dyDescent="0.2">
      <c r="A4322" s="42">
        <v>4687</v>
      </c>
      <c r="B4322" s="42">
        <v>17393</v>
      </c>
      <c r="C4322" s="34" t="s">
        <v>5050</v>
      </c>
    </row>
    <row r="4323" spans="1:3" ht="15.75" customHeight="1" x14ac:dyDescent="0.2">
      <c r="A4323" s="42">
        <v>4688</v>
      </c>
      <c r="B4323" s="42">
        <v>17393</v>
      </c>
      <c r="C4323" s="34" t="s">
        <v>5051</v>
      </c>
    </row>
    <row r="4324" spans="1:3" ht="15.75" customHeight="1" x14ac:dyDescent="0.2">
      <c r="A4324" s="42">
        <v>4689</v>
      </c>
      <c r="B4324" s="42">
        <v>17393</v>
      </c>
      <c r="C4324" s="34" t="s">
        <v>5042</v>
      </c>
    </row>
    <row r="4325" spans="1:3" ht="15.75" customHeight="1" x14ac:dyDescent="0.2">
      <c r="A4325" s="42">
        <v>4690</v>
      </c>
      <c r="B4325" s="42">
        <v>17393</v>
      </c>
      <c r="C4325" s="34" t="s">
        <v>5052</v>
      </c>
    </row>
    <row r="4326" spans="1:3" ht="15.75" customHeight="1" x14ac:dyDescent="0.2">
      <c r="A4326" s="42">
        <v>4691</v>
      </c>
      <c r="B4326" s="42">
        <v>17393</v>
      </c>
      <c r="C4326" s="34" t="s">
        <v>5053</v>
      </c>
    </row>
    <row r="4327" spans="1:3" ht="15.75" customHeight="1" x14ac:dyDescent="0.2">
      <c r="A4327" s="42">
        <v>4692</v>
      </c>
      <c r="B4327" s="42">
        <v>17393</v>
      </c>
      <c r="C4327" s="34" t="s">
        <v>5054</v>
      </c>
    </row>
    <row r="4328" spans="1:3" ht="15.75" customHeight="1" x14ac:dyDescent="0.2">
      <c r="A4328" s="42">
        <v>4693</v>
      </c>
      <c r="B4328" s="42">
        <v>17393</v>
      </c>
      <c r="C4328" s="34" t="s">
        <v>5055</v>
      </c>
    </row>
    <row r="4329" spans="1:3" ht="15.75" customHeight="1" x14ac:dyDescent="0.2">
      <c r="A4329" s="42">
        <v>4694</v>
      </c>
      <c r="B4329" s="42">
        <v>17393</v>
      </c>
      <c r="C4329" s="34" t="s">
        <v>5056</v>
      </c>
    </row>
    <row r="4330" spans="1:3" ht="15.75" customHeight="1" x14ac:dyDescent="0.2">
      <c r="A4330" s="42">
        <v>4695</v>
      </c>
      <c r="B4330" s="42">
        <v>17393</v>
      </c>
      <c r="C4330" s="34" t="s">
        <v>5057</v>
      </c>
    </row>
    <row r="4331" spans="1:3" ht="15.75" customHeight="1" x14ac:dyDescent="0.2">
      <c r="A4331" s="42">
        <v>4696</v>
      </c>
      <c r="B4331" s="42">
        <v>17393</v>
      </c>
      <c r="C4331" s="34" t="s">
        <v>5058</v>
      </c>
    </row>
    <row r="4332" spans="1:3" ht="15.75" customHeight="1" x14ac:dyDescent="0.2">
      <c r="A4332" s="42">
        <v>4697</v>
      </c>
      <c r="B4332" s="42">
        <v>17393</v>
      </c>
      <c r="C4332" s="34" t="s">
        <v>5059</v>
      </c>
    </row>
    <row r="4333" spans="1:3" ht="15.75" customHeight="1" x14ac:dyDescent="0.2">
      <c r="A4333" s="42">
        <v>4698</v>
      </c>
      <c r="B4333" s="42">
        <v>17393</v>
      </c>
      <c r="C4333" s="34" t="s">
        <v>5060</v>
      </c>
    </row>
    <row r="4334" spans="1:3" ht="15.75" customHeight="1" x14ac:dyDescent="0.2">
      <c r="A4334" s="42">
        <v>4699</v>
      </c>
      <c r="B4334" s="42">
        <v>17393</v>
      </c>
      <c r="C4334" s="34" t="s">
        <v>5061</v>
      </c>
    </row>
    <row r="4335" spans="1:3" ht="15.75" customHeight="1" x14ac:dyDescent="0.2">
      <c r="A4335" s="42">
        <v>4700</v>
      </c>
      <c r="B4335" s="42">
        <v>17393</v>
      </c>
      <c r="C4335" s="34" t="s">
        <v>5062</v>
      </c>
    </row>
    <row r="4336" spans="1:3" ht="15.75" customHeight="1" x14ac:dyDescent="0.2">
      <c r="A4336" s="42">
        <v>4701</v>
      </c>
      <c r="B4336" s="42">
        <v>17393</v>
      </c>
      <c r="C4336" s="34" t="s">
        <v>5063</v>
      </c>
    </row>
    <row r="4337" spans="1:3" ht="15.75" customHeight="1" x14ac:dyDescent="0.2">
      <c r="A4337" s="42">
        <v>4702</v>
      </c>
      <c r="B4337" s="42">
        <v>17393</v>
      </c>
      <c r="C4337" s="34" t="s">
        <v>5064</v>
      </c>
    </row>
    <row r="4338" spans="1:3" ht="15.75" customHeight="1" x14ac:dyDescent="0.2">
      <c r="A4338" s="42">
        <v>4703</v>
      </c>
      <c r="B4338" s="42">
        <v>17393</v>
      </c>
      <c r="C4338" s="34" t="s">
        <v>5065</v>
      </c>
    </row>
    <row r="4339" spans="1:3" ht="15.75" customHeight="1" x14ac:dyDescent="0.2">
      <c r="A4339" s="42">
        <v>4704</v>
      </c>
      <c r="B4339" s="42">
        <v>17393</v>
      </c>
      <c r="C4339" s="34" t="s">
        <v>5066</v>
      </c>
    </row>
    <row r="4340" spans="1:3" ht="15.75" customHeight="1" x14ac:dyDescent="0.2">
      <c r="A4340" s="42">
        <v>4705</v>
      </c>
      <c r="B4340" s="42">
        <v>17393</v>
      </c>
      <c r="C4340" s="34" t="s">
        <v>5067</v>
      </c>
    </row>
    <row r="4341" spans="1:3" ht="15.75" customHeight="1" x14ac:dyDescent="0.2">
      <c r="A4341" s="42">
        <v>4706</v>
      </c>
      <c r="B4341" s="42">
        <v>17393</v>
      </c>
      <c r="C4341" s="34" t="s">
        <v>5068</v>
      </c>
    </row>
    <row r="4342" spans="1:3" ht="15.75" customHeight="1" x14ac:dyDescent="0.2">
      <c r="A4342" s="42">
        <v>4707</v>
      </c>
      <c r="B4342" s="42">
        <v>17393</v>
      </c>
      <c r="C4342" s="34" t="s">
        <v>5069</v>
      </c>
    </row>
    <row r="4343" spans="1:3" ht="15.75" customHeight="1" x14ac:dyDescent="0.2">
      <c r="A4343" s="42">
        <v>4708</v>
      </c>
      <c r="B4343" s="42">
        <v>17393</v>
      </c>
      <c r="C4343" s="34" t="s">
        <v>5070</v>
      </c>
    </row>
    <row r="4344" spans="1:3" ht="15.75" customHeight="1" x14ac:dyDescent="0.2">
      <c r="A4344" s="42">
        <v>4709</v>
      </c>
      <c r="B4344" s="42">
        <v>17393</v>
      </c>
      <c r="C4344" s="34" t="s">
        <v>5071</v>
      </c>
    </row>
    <row r="4345" spans="1:3" ht="15.75" customHeight="1" x14ac:dyDescent="0.2">
      <c r="A4345" s="42">
        <v>4710</v>
      </c>
      <c r="B4345" s="42">
        <v>17393</v>
      </c>
      <c r="C4345" s="34" t="s">
        <v>5072</v>
      </c>
    </row>
    <row r="4346" spans="1:3" ht="15.75" customHeight="1" x14ac:dyDescent="0.2">
      <c r="A4346" s="42">
        <v>4711</v>
      </c>
      <c r="B4346" s="42">
        <v>17393</v>
      </c>
      <c r="C4346" s="34" t="s">
        <v>5073</v>
      </c>
    </row>
    <row r="4347" spans="1:3" ht="15.75" customHeight="1" x14ac:dyDescent="0.2">
      <c r="A4347" s="42">
        <v>4712</v>
      </c>
      <c r="B4347" s="42">
        <v>17393</v>
      </c>
      <c r="C4347" s="34" t="s">
        <v>5074</v>
      </c>
    </row>
    <row r="4348" spans="1:3" ht="15.75" customHeight="1" x14ac:dyDescent="0.2">
      <c r="A4348" s="42">
        <v>4713</v>
      </c>
      <c r="B4348" s="42">
        <v>17393</v>
      </c>
      <c r="C4348" s="34" t="s">
        <v>5014</v>
      </c>
    </row>
    <row r="4349" spans="1:3" ht="15.75" customHeight="1" x14ac:dyDescent="0.2">
      <c r="A4349" s="42">
        <v>4714</v>
      </c>
      <c r="B4349" s="42">
        <v>17393</v>
      </c>
      <c r="C4349" s="34" t="s">
        <v>5075</v>
      </c>
    </row>
    <row r="4350" spans="1:3" ht="15.75" customHeight="1" x14ac:dyDescent="0.2">
      <c r="A4350" s="42">
        <v>4715</v>
      </c>
      <c r="B4350" s="42">
        <v>17393</v>
      </c>
      <c r="C4350" s="34" t="s">
        <v>5076</v>
      </c>
    </row>
    <row r="4351" spans="1:3" ht="15.75" customHeight="1" x14ac:dyDescent="0.2">
      <c r="A4351" s="42">
        <v>4716</v>
      </c>
      <c r="B4351" s="42">
        <v>17393</v>
      </c>
      <c r="C4351" s="34" t="s">
        <v>5077</v>
      </c>
    </row>
    <row r="4352" spans="1:3" ht="15.75" customHeight="1" x14ac:dyDescent="0.2">
      <c r="A4352" s="42">
        <v>4717</v>
      </c>
      <c r="B4352" s="42">
        <v>17393</v>
      </c>
      <c r="C4352" s="34" t="s">
        <v>5032</v>
      </c>
    </row>
    <row r="4353" spans="1:3" ht="15.75" customHeight="1" x14ac:dyDescent="0.2">
      <c r="A4353" s="42">
        <v>4718</v>
      </c>
      <c r="B4353" s="42">
        <v>17393</v>
      </c>
      <c r="C4353" s="34" t="s">
        <v>5078</v>
      </c>
    </row>
    <row r="4354" spans="1:3" ht="15.75" customHeight="1" x14ac:dyDescent="0.2">
      <c r="A4354" s="42">
        <v>4719</v>
      </c>
      <c r="B4354" s="42">
        <v>17393</v>
      </c>
      <c r="C4354" s="34" t="s">
        <v>5079</v>
      </c>
    </row>
    <row r="4355" spans="1:3" ht="15.75" customHeight="1" x14ac:dyDescent="0.2">
      <c r="A4355" s="42">
        <v>4720</v>
      </c>
      <c r="B4355" s="42">
        <v>17393</v>
      </c>
      <c r="C4355" s="34" t="s">
        <v>5080</v>
      </c>
    </row>
    <row r="4356" spans="1:3" ht="15.75" customHeight="1" x14ac:dyDescent="0.2">
      <c r="A4356" s="42">
        <v>4721</v>
      </c>
      <c r="B4356" s="42">
        <v>17393</v>
      </c>
      <c r="C4356" s="34" t="s">
        <v>5081</v>
      </c>
    </row>
    <row r="4357" spans="1:3" ht="15.75" customHeight="1" x14ac:dyDescent="0.2">
      <c r="A4357" s="42">
        <v>4722</v>
      </c>
      <c r="B4357" s="42">
        <v>17393</v>
      </c>
      <c r="C4357" s="34" t="s">
        <v>5082</v>
      </c>
    </row>
    <row r="4358" spans="1:3" ht="15.75" customHeight="1" x14ac:dyDescent="0.2">
      <c r="A4358" s="42">
        <v>4723</v>
      </c>
      <c r="B4358" s="42">
        <v>17393</v>
      </c>
      <c r="C4358" s="34" t="s">
        <v>5083</v>
      </c>
    </row>
    <row r="4359" spans="1:3" ht="15.75" customHeight="1" x14ac:dyDescent="0.2">
      <c r="A4359" s="42">
        <v>4724</v>
      </c>
      <c r="B4359" s="42">
        <v>17397</v>
      </c>
      <c r="C4359" s="34" t="s">
        <v>5084</v>
      </c>
    </row>
    <row r="4360" spans="1:3" ht="15.75" customHeight="1" x14ac:dyDescent="0.2">
      <c r="A4360" s="42">
        <v>4725</v>
      </c>
      <c r="B4360" s="42">
        <v>17397</v>
      </c>
      <c r="C4360" s="34" t="s">
        <v>5085</v>
      </c>
    </row>
    <row r="4361" spans="1:3" ht="15.75" customHeight="1" x14ac:dyDescent="0.2">
      <c r="A4361" s="42">
        <v>4726</v>
      </c>
      <c r="B4361" s="42">
        <v>17397</v>
      </c>
      <c r="C4361" s="34" t="s">
        <v>5086</v>
      </c>
    </row>
    <row r="4362" spans="1:3" ht="15.75" customHeight="1" x14ac:dyDescent="0.2">
      <c r="A4362" s="42">
        <v>4727</v>
      </c>
      <c r="B4362" s="42">
        <v>17397</v>
      </c>
      <c r="C4362" s="34" t="s">
        <v>5087</v>
      </c>
    </row>
    <row r="4363" spans="1:3" ht="15.75" customHeight="1" x14ac:dyDescent="0.2">
      <c r="A4363" s="42">
        <v>4728</v>
      </c>
      <c r="B4363" s="42">
        <v>17397</v>
      </c>
      <c r="C4363" s="34" t="s">
        <v>5088</v>
      </c>
    </row>
    <row r="4364" spans="1:3" ht="15.75" customHeight="1" x14ac:dyDescent="0.2">
      <c r="A4364" s="42">
        <v>4729</v>
      </c>
      <c r="B4364" s="42">
        <v>17397</v>
      </c>
      <c r="C4364" s="34" t="s">
        <v>5089</v>
      </c>
    </row>
    <row r="4365" spans="1:3" ht="15.75" customHeight="1" x14ac:dyDescent="0.2">
      <c r="A4365" s="42">
        <v>4730</v>
      </c>
      <c r="B4365" s="42">
        <v>17397</v>
      </c>
      <c r="C4365" s="34" t="s">
        <v>5090</v>
      </c>
    </row>
    <row r="4366" spans="1:3" ht="15.75" customHeight="1" x14ac:dyDescent="0.2">
      <c r="A4366" s="42">
        <v>4731</v>
      </c>
      <c r="B4366" s="42">
        <v>17397</v>
      </c>
      <c r="C4366" s="34" t="s">
        <v>5091</v>
      </c>
    </row>
    <row r="4367" spans="1:3" ht="15.75" customHeight="1" x14ac:dyDescent="0.2">
      <c r="A4367" s="42">
        <v>4732</v>
      </c>
      <c r="B4367" s="42">
        <v>17397</v>
      </c>
      <c r="C4367" s="34" t="s">
        <v>5092</v>
      </c>
    </row>
    <row r="4368" spans="1:3" ht="15.75" customHeight="1" x14ac:dyDescent="0.2">
      <c r="A4368" s="42">
        <v>4733</v>
      </c>
      <c r="B4368" s="42">
        <v>17397</v>
      </c>
      <c r="C4368" s="34" t="s">
        <v>5093</v>
      </c>
    </row>
    <row r="4369" spans="1:3" ht="15.75" customHeight="1" x14ac:dyDescent="0.2">
      <c r="A4369" s="42">
        <v>4734</v>
      </c>
      <c r="B4369" s="42">
        <v>17397</v>
      </c>
      <c r="C4369" s="34" t="s">
        <v>5094</v>
      </c>
    </row>
    <row r="4370" spans="1:3" ht="15.75" customHeight="1" x14ac:dyDescent="0.2">
      <c r="A4370" s="42">
        <v>4735</v>
      </c>
      <c r="B4370" s="42">
        <v>17397</v>
      </c>
      <c r="C4370" s="34" t="s">
        <v>5095</v>
      </c>
    </row>
    <row r="4371" spans="1:3" ht="15.75" customHeight="1" x14ac:dyDescent="0.2">
      <c r="A4371" s="42">
        <v>4736</v>
      </c>
      <c r="B4371" s="42">
        <v>17397</v>
      </c>
      <c r="C4371" s="34" t="s">
        <v>5096</v>
      </c>
    </row>
    <row r="4372" spans="1:3" ht="15.75" customHeight="1" x14ac:dyDescent="0.2">
      <c r="A4372" s="42">
        <v>4737</v>
      </c>
      <c r="B4372" s="42">
        <v>17397</v>
      </c>
      <c r="C4372" s="34" t="s">
        <v>5097</v>
      </c>
    </row>
    <row r="4373" spans="1:3" ht="15.75" customHeight="1" x14ac:dyDescent="0.2">
      <c r="A4373" s="42">
        <v>4738</v>
      </c>
      <c r="B4373" s="42">
        <v>17397</v>
      </c>
      <c r="C4373" s="34" t="s">
        <v>5098</v>
      </c>
    </row>
    <row r="4374" spans="1:3" ht="15.75" customHeight="1" x14ac:dyDescent="0.2">
      <c r="A4374" s="42">
        <v>4739</v>
      </c>
      <c r="B4374" s="42">
        <v>17397</v>
      </c>
      <c r="C4374" s="34" t="s">
        <v>5099</v>
      </c>
    </row>
    <row r="4375" spans="1:3" ht="15.75" customHeight="1" x14ac:dyDescent="0.2">
      <c r="A4375" s="42">
        <v>4740</v>
      </c>
      <c r="B4375" s="42">
        <v>17397</v>
      </c>
      <c r="C4375" s="34" t="s">
        <v>5100</v>
      </c>
    </row>
    <row r="4376" spans="1:3" ht="15.75" customHeight="1" x14ac:dyDescent="0.2">
      <c r="A4376" s="42">
        <v>4741</v>
      </c>
      <c r="B4376" s="42">
        <v>17397</v>
      </c>
      <c r="C4376" s="34" t="s">
        <v>5101</v>
      </c>
    </row>
    <row r="4377" spans="1:3" ht="15.75" customHeight="1" x14ac:dyDescent="0.2">
      <c r="A4377" s="42">
        <v>4742</v>
      </c>
      <c r="B4377" s="42">
        <v>17397</v>
      </c>
      <c r="C4377" s="34" t="s">
        <v>5102</v>
      </c>
    </row>
    <row r="4378" spans="1:3" ht="15.75" customHeight="1" x14ac:dyDescent="0.2">
      <c r="A4378" s="42">
        <v>4743</v>
      </c>
      <c r="B4378" s="42">
        <v>17397</v>
      </c>
      <c r="C4378" s="34" t="s">
        <v>5103</v>
      </c>
    </row>
    <row r="4379" spans="1:3" ht="15.75" customHeight="1" x14ac:dyDescent="0.2">
      <c r="A4379" s="42">
        <v>4744</v>
      </c>
      <c r="B4379" s="42">
        <v>17397</v>
      </c>
      <c r="C4379" s="34" t="s">
        <v>5104</v>
      </c>
    </row>
    <row r="4380" spans="1:3" ht="15.75" customHeight="1" x14ac:dyDescent="0.2">
      <c r="A4380" s="42">
        <v>4745</v>
      </c>
      <c r="B4380" s="42">
        <v>17397</v>
      </c>
      <c r="C4380" s="34" t="s">
        <v>5105</v>
      </c>
    </row>
    <row r="4381" spans="1:3" ht="15.75" customHeight="1" x14ac:dyDescent="0.2">
      <c r="A4381" s="42">
        <v>4746</v>
      </c>
      <c r="B4381" s="42">
        <v>17397</v>
      </c>
      <c r="C4381" s="34" t="s">
        <v>5106</v>
      </c>
    </row>
    <row r="4382" spans="1:3" ht="15.75" customHeight="1" x14ac:dyDescent="0.2">
      <c r="A4382" s="42">
        <v>4747</v>
      </c>
      <c r="B4382" s="42">
        <v>17397</v>
      </c>
      <c r="C4382" s="34" t="s">
        <v>5107</v>
      </c>
    </row>
    <row r="4383" spans="1:3" ht="15.75" customHeight="1" x14ac:dyDescent="0.2">
      <c r="A4383" s="42">
        <v>4748</v>
      </c>
      <c r="B4383" s="42">
        <v>17397</v>
      </c>
      <c r="C4383" s="34" t="s">
        <v>5108</v>
      </c>
    </row>
    <row r="4384" spans="1:3" ht="15.75" customHeight="1" x14ac:dyDescent="0.2">
      <c r="A4384" s="42">
        <v>4749</v>
      </c>
      <c r="B4384" s="42">
        <v>17397</v>
      </c>
      <c r="C4384" s="34" t="s">
        <v>5109</v>
      </c>
    </row>
    <row r="4385" spans="1:3" ht="15.75" customHeight="1" x14ac:dyDescent="0.2">
      <c r="A4385" s="42">
        <v>4750</v>
      </c>
      <c r="B4385" s="42">
        <v>17397</v>
      </c>
      <c r="C4385" s="34" t="s">
        <v>5110</v>
      </c>
    </row>
    <row r="4386" spans="1:3" ht="15.75" customHeight="1" x14ac:dyDescent="0.2">
      <c r="A4386" s="42">
        <v>4751</v>
      </c>
      <c r="B4386" s="42">
        <v>17397</v>
      </c>
      <c r="C4386" s="34" t="s">
        <v>5111</v>
      </c>
    </row>
    <row r="4387" spans="1:3" ht="15.75" customHeight="1" x14ac:dyDescent="0.2">
      <c r="A4387" s="42">
        <v>4752</v>
      </c>
      <c r="B4387" s="42">
        <v>17397</v>
      </c>
      <c r="C4387" s="34" t="s">
        <v>5112</v>
      </c>
    </row>
    <row r="4388" spans="1:3" ht="15.75" customHeight="1" x14ac:dyDescent="0.2">
      <c r="A4388" s="42">
        <v>4753</v>
      </c>
      <c r="B4388" s="42">
        <v>17397</v>
      </c>
      <c r="C4388" s="34" t="s">
        <v>5113</v>
      </c>
    </row>
    <row r="4389" spans="1:3" ht="15.75" customHeight="1" x14ac:dyDescent="0.2">
      <c r="A4389" s="42">
        <v>4754</v>
      </c>
      <c r="B4389" s="42">
        <v>17397</v>
      </c>
      <c r="C4389" s="34" t="s">
        <v>5114</v>
      </c>
    </row>
    <row r="4390" spans="1:3" ht="15.75" customHeight="1" x14ac:dyDescent="0.2">
      <c r="A4390" s="42">
        <v>4755</v>
      </c>
      <c r="B4390" s="42">
        <v>17397</v>
      </c>
      <c r="C4390" s="34" t="s">
        <v>5115</v>
      </c>
    </row>
    <row r="4391" spans="1:3" ht="15.75" customHeight="1" x14ac:dyDescent="0.2">
      <c r="A4391" s="42">
        <v>4756</v>
      </c>
      <c r="B4391" s="42">
        <v>17397</v>
      </c>
      <c r="C4391" s="34" t="s">
        <v>5116</v>
      </c>
    </row>
    <row r="4392" spans="1:3" ht="15.75" customHeight="1" x14ac:dyDescent="0.2">
      <c r="A4392" s="42">
        <v>4757</v>
      </c>
      <c r="B4392" s="42">
        <v>17397</v>
      </c>
      <c r="C4392" s="34" t="s">
        <v>5117</v>
      </c>
    </row>
    <row r="4393" spans="1:3" ht="15.75" customHeight="1" x14ac:dyDescent="0.2">
      <c r="A4393" s="42">
        <v>4758</v>
      </c>
      <c r="B4393" s="42">
        <v>17397</v>
      </c>
      <c r="C4393" s="34" t="s">
        <v>5118</v>
      </c>
    </row>
    <row r="4394" spans="1:3" ht="15.75" customHeight="1" x14ac:dyDescent="0.2">
      <c r="A4394" s="42">
        <v>4759</v>
      </c>
      <c r="B4394" s="42">
        <v>17397</v>
      </c>
      <c r="C4394" s="34" t="s">
        <v>5119</v>
      </c>
    </row>
    <row r="4395" spans="1:3" ht="15.75" customHeight="1" x14ac:dyDescent="0.2">
      <c r="A4395" s="42">
        <v>4760</v>
      </c>
      <c r="B4395" s="42">
        <v>17397</v>
      </c>
      <c r="C4395" s="34" t="s">
        <v>5120</v>
      </c>
    </row>
    <row r="4396" spans="1:3" ht="15.75" customHeight="1" x14ac:dyDescent="0.2">
      <c r="A4396" s="42">
        <v>4761</v>
      </c>
      <c r="B4396" s="42">
        <v>17397</v>
      </c>
      <c r="C4396" s="34" t="s">
        <v>5121</v>
      </c>
    </row>
    <row r="4397" spans="1:3" ht="15.75" customHeight="1" x14ac:dyDescent="0.2">
      <c r="A4397" s="42">
        <v>4762</v>
      </c>
      <c r="B4397" s="42">
        <v>17397</v>
      </c>
      <c r="C4397" s="34" t="s">
        <v>5100</v>
      </c>
    </row>
    <row r="4398" spans="1:3" ht="15.75" customHeight="1" x14ac:dyDescent="0.2">
      <c r="A4398" s="42">
        <v>4763</v>
      </c>
      <c r="B4398" s="42">
        <v>17397</v>
      </c>
      <c r="C4398" s="34" t="s">
        <v>5122</v>
      </c>
    </row>
    <row r="4399" spans="1:3" ht="15.75" customHeight="1" x14ac:dyDescent="0.2">
      <c r="A4399" s="42">
        <v>4764</v>
      </c>
      <c r="B4399" s="42">
        <v>17397</v>
      </c>
      <c r="C4399" s="34" t="s">
        <v>5123</v>
      </c>
    </row>
    <row r="4400" spans="1:3" ht="15.75" customHeight="1" x14ac:dyDescent="0.2">
      <c r="A4400" s="42">
        <v>4765</v>
      </c>
      <c r="B4400" s="42">
        <v>17397</v>
      </c>
      <c r="C4400" s="34" t="s">
        <v>5124</v>
      </c>
    </row>
    <row r="4401" spans="1:3" ht="15.75" customHeight="1" x14ac:dyDescent="0.2">
      <c r="A4401" s="42">
        <v>4766</v>
      </c>
      <c r="B4401" s="42">
        <v>17397</v>
      </c>
      <c r="C4401" s="34" t="s">
        <v>5125</v>
      </c>
    </row>
    <row r="4402" spans="1:3" ht="15.75" customHeight="1" x14ac:dyDescent="0.2">
      <c r="A4402" s="42">
        <v>4767</v>
      </c>
      <c r="B4402" s="42">
        <v>17397</v>
      </c>
      <c r="C4402" s="34" t="s">
        <v>5126</v>
      </c>
    </row>
    <row r="4403" spans="1:3" ht="15.75" customHeight="1" x14ac:dyDescent="0.2">
      <c r="A4403" s="42">
        <v>4768</v>
      </c>
      <c r="B4403" s="42">
        <v>17397</v>
      </c>
      <c r="C4403" s="34" t="s">
        <v>5127</v>
      </c>
    </row>
    <row r="4404" spans="1:3" ht="15.75" customHeight="1" x14ac:dyDescent="0.2">
      <c r="A4404" s="42">
        <v>4769</v>
      </c>
      <c r="B4404" s="42">
        <v>17397</v>
      </c>
      <c r="C4404" s="34" t="s">
        <v>5128</v>
      </c>
    </row>
    <row r="4405" spans="1:3" ht="15.75" customHeight="1" x14ac:dyDescent="0.2">
      <c r="A4405" s="42">
        <v>4770</v>
      </c>
      <c r="B4405" s="42">
        <v>17397</v>
      </c>
      <c r="C4405" s="34" t="s">
        <v>5129</v>
      </c>
    </row>
    <row r="4406" spans="1:3" ht="15.75" customHeight="1" x14ac:dyDescent="0.2">
      <c r="A4406" s="42">
        <v>4771</v>
      </c>
      <c r="B4406" s="42">
        <v>17397</v>
      </c>
      <c r="C4406" s="34" t="s">
        <v>5130</v>
      </c>
    </row>
    <row r="4407" spans="1:3" ht="15.75" customHeight="1" x14ac:dyDescent="0.2">
      <c r="A4407" s="42">
        <v>4772</v>
      </c>
      <c r="B4407" s="42">
        <v>17397</v>
      </c>
      <c r="C4407" s="34" t="s">
        <v>5094</v>
      </c>
    </row>
    <row r="4408" spans="1:3" ht="15.75" customHeight="1" x14ac:dyDescent="0.2">
      <c r="A4408" s="42">
        <v>4773</v>
      </c>
      <c r="B4408" s="42">
        <v>17397</v>
      </c>
      <c r="C4408" s="34" t="s">
        <v>5131</v>
      </c>
    </row>
    <row r="4409" spans="1:3" ht="15.75" customHeight="1" x14ac:dyDescent="0.2">
      <c r="A4409" s="42">
        <v>4774</v>
      </c>
      <c r="B4409" s="42">
        <v>17397</v>
      </c>
      <c r="C4409" s="34" t="s">
        <v>5132</v>
      </c>
    </row>
    <row r="4410" spans="1:3" ht="15.75" customHeight="1" x14ac:dyDescent="0.2">
      <c r="A4410" s="42">
        <v>4775</v>
      </c>
      <c r="B4410" s="42">
        <v>17397</v>
      </c>
      <c r="C4410" s="34" t="s">
        <v>5133</v>
      </c>
    </row>
    <row r="4411" spans="1:3" ht="15.75" customHeight="1" x14ac:dyDescent="0.2">
      <c r="A4411" s="42">
        <v>4776</v>
      </c>
      <c r="B4411" s="42">
        <v>17397</v>
      </c>
      <c r="C4411" s="34" t="s">
        <v>5134</v>
      </c>
    </row>
    <row r="4412" spans="1:3" ht="15.75" customHeight="1" x14ac:dyDescent="0.2">
      <c r="A4412" s="42">
        <v>4777</v>
      </c>
      <c r="B4412" s="42">
        <v>17397</v>
      </c>
      <c r="C4412" s="34" t="s">
        <v>5135</v>
      </c>
    </row>
    <row r="4413" spans="1:3" ht="15.75" customHeight="1" x14ac:dyDescent="0.2">
      <c r="A4413" s="42">
        <v>4778</v>
      </c>
      <c r="B4413" s="42">
        <v>17397</v>
      </c>
      <c r="C4413" s="34" t="s">
        <v>5136</v>
      </c>
    </row>
    <row r="4414" spans="1:3" ht="15.75" customHeight="1" x14ac:dyDescent="0.2">
      <c r="A4414" s="42">
        <v>4779</v>
      </c>
      <c r="B4414" s="42">
        <v>17397</v>
      </c>
      <c r="C4414" s="34" t="s">
        <v>5137</v>
      </c>
    </row>
    <row r="4415" spans="1:3" ht="15.75" customHeight="1" x14ac:dyDescent="0.2">
      <c r="A4415" s="42">
        <v>4780</v>
      </c>
      <c r="B4415" s="42">
        <v>17397</v>
      </c>
      <c r="C4415" s="34" t="s">
        <v>5138</v>
      </c>
    </row>
    <row r="4416" spans="1:3" ht="15.75" customHeight="1" x14ac:dyDescent="0.2">
      <c r="A4416" s="42">
        <v>4781</v>
      </c>
      <c r="B4416" s="42">
        <v>17397</v>
      </c>
      <c r="C4416" s="34" t="s">
        <v>5139</v>
      </c>
    </row>
    <row r="4417" spans="1:3" ht="15.75" customHeight="1" x14ac:dyDescent="0.2">
      <c r="A4417" s="42">
        <v>4782</v>
      </c>
      <c r="B4417" s="42">
        <v>17397</v>
      </c>
      <c r="C4417" s="34" t="s">
        <v>5140</v>
      </c>
    </row>
    <row r="4418" spans="1:3" ht="15.75" customHeight="1" x14ac:dyDescent="0.2">
      <c r="A4418" s="42">
        <v>4783</v>
      </c>
      <c r="B4418" s="42">
        <v>17397</v>
      </c>
      <c r="C4418" s="34" t="s">
        <v>5141</v>
      </c>
    </row>
    <row r="4419" spans="1:3" ht="15.75" customHeight="1" x14ac:dyDescent="0.2">
      <c r="A4419" s="42">
        <v>4784</v>
      </c>
      <c r="B4419" s="42">
        <v>17397</v>
      </c>
      <c r="C4419" s="34" t="s">
        <v>5142</v>
      </c>
    </row>
    <row r="4420" spans="1:3" ht="15.75" customHeight="1" x14ac:dyDescent="0.2">
      <c r="A4420" s="42">
        <v>4785</v>
      </c>
      <c r="B4420" s="42">
        <v>17397</v>
      </c>
      <c r="C4420" s="34" t="s">
        <v>5143</v>
      </c>
    </row>
    <row r="4421" spans="1:3" ht="15.75" customHeight="1" x14ac:dyDescent="0.2">
      <c r="A4421" s="42">
        <v>4786</v>
      </c>
      <c r="B4421" s="42">
        <v>17397</v>
      </c>
      <c r="C4421" s="34" t="s">
        <v>5144</v>
      </c>
    </row>
    <row r="4422" spans="1:3" ht="15.75" customHeight="1" x14ac:dyDescent="0.2">
      <c r="A4422" s="42">
        <v>4787</v>
      </c>
      <c r="B4422" s="42">
        <v>17397</v>
      </c>
      <c r="C4422" s="34" t="s">
        <v>5145</v>
      </c>
    </row>
    <row r="4423" spans="1:3" ht="15.75" customHeight="1" x14ac:dyDescent="0.2">
      <c r="A4423" s="42">
        <v>4788</v>
      </c>
      <c r="B4423" s="42">
        <v>17397</v>
      </c>
      <c r="C4423" s="34" t="s">
        <v>5146</v>
      </c>
    </row>
    <row r="4424" spans="1:3" ht="15.75" customHeight="1" x14ac:dyDescent="0.2">
      <c r="A4424" s="42">
        <v>4789</v>
      </c>
      <c r="B4424" s="42">
        <v>17397</v>
      </c>
      <c r="C4424" s="34" t="s">
        <v>5147</v>
      </c>
    </row>
    <row r="4425" spans="1:3" ht="15.75" customHeight="1" x14ac:dyDescent="0.2">
      <c r="A4425" s="42">
        <v>4790</v>
      </c>
      <c r="B4425" s="42">
        <v>17397</v>
      </c>
      <c r="C4425" s="34" t="s">
        <v>5148</v>
      </c>
    </row>
    <row r="4426" spans="1:3" ht="15.75" customHeight="1" x14ac:dyDescent="0.2">
      <c r="A4426" s="42">
        <v>4791</v>
      </c>
      <c r="B4426" s="42">
        <v>17397</v>
      </c>
      <c r="C4426" s="34" t="s">
        <v>5149</v>
      </c>
    </row>
    <row r="4427" spans="1:3" ht="15.75" customHeight="1" x14ac:dyDescent="0.2">
      <c r="A4427" s="42">
        <v>4792</v>
      </c>
      <c r="B4427" s="42">
        <v>17397</v>
      </c>
      <c r="C4427" s="34" t="s">
        <v>5084</v>
      </c>
    </row>
    <row r="4428" spans="1:3" ht="15.75" customHeight="1" x14ac:dyDescent="0.2">
      <c r="A4428" s="42">
        <v>4793</v>
      </c>
      <c r="B4428" s="42">
        <v>17397</v>
      </c>
      <c r="C4428" s="34" t="s">
        <v>5150</v>
      </c>
    </row>
    <row r="4429" spans="1:3" ht="15.75" customHeight="1" x14ac:dyDescent="0.2">
      <c r="A4429" s="42">
        <v>4794</v>
      </c>
      <c r="B4429" s="42">
        <v>17397</v>
      </c>
      <c r="C4429" s="34" t="s">
        <v>5151</v>
      </c>
    </row>
    <row r="4430" spans="1:3" ht="15.75" customHeight="1" x14ac:dyDescent="0.2">
      <c r="A4430" s="42">
        <v>4795</v>
      </c>
      <c r="B4430" s="42">
        <v>17397</v>
      </c>
      <c r="C4430" s="34" t="s">
        <v>1114</v>
      </c>
    </row>
    <row r="4431" spans="1:3" ht="15.75" customHeight="1" x14ac:dyDescent="0.2">
      <c r="A4431" s="42">
        <v>4796</v>
      </c>
      <c r="B4431" s="42">
        <v>17397</v>
      </c>
      <c r="C4431" s="34" t="s">
        <v>5152</v>
      </c>
    </row>
    <row r="4432" spans="1:3" ht="15.75" customHeight="1" x14ac:dyDescent="0.2">
      <c r="A4432" s="42">
        <v>4797</v>
      </c>
      <c r="B4432" s="42">
        <v>17397</v>
      </c>
      <c r="C4432" s="34" t="s">
        <v>5153</v>
      </c>
    </row>
    <row r="4433" spans="1:3" ht="15.75" customHeight="1" x14ac:dyDescent="0.2">
      <c r="A4433" s="42">
        <v>4798</v>
      </c>
      <c r="B4433" s="42">
        <v>17397</v>
      </c>
      <c r="C4433" s="34" t="s">
        <v>5154</v>
      </c>
    </row>
    <row r="4434" spans="1:3" ht="15.75" customHeight="1" x14ac:dyDescent="0.2">
      <c r="A4434" s="42">
        <v>4799</v>
      </c>
      <c r="B4434" s="42">
        <v>17397</v>
      </c>
      <c r="C4434" s="34" t="s">
        <v>5155</v>
      </c>
    </row>
    <row r="4435" spans="1:3" ht="15.75" customHeight="1" x14ac:dyDescent="0.2">
      <c r="A4435" s="42">
        <v>4800</v>
      </c>
      <c r="B4435" s="42">
        <v>17398</v>
      </c>
      <c r="C4435" s="34" t="s">
        <v>5156</v>
      </c>
    </row>
    <row r="4436" spans="1:3" ht="15.75" customHeight="1" x14ac:dyDescent="0.2">
      <c r="A4436" s="42">
        <v>4801</v>
      </c>
      <c r="B4436" s="42">
        <v>17398</v>
      </c>
      <c r="C4436" s="34" t="s">
        <v>5157</v>
      </c>
    </row>
    <row r="4437" spans="1:3" ht="15.75" customHeight="1" x14ac:dyDescent="0.2">
      <c r="A4437" s="42">
        <v>4802</v>
      </c>
      <c r="B4437" s="42">
        <v>17398</v>
      </c>
      <c r="C4437" s="34" t="s">
        <v>5158</v>
      </c>
    </row>
    <row r="4438" spans="1:3" ht="15.75" customHeight="1" x14ac:dyDescent="0.2">
      <c r="A4438" s="42">
        <v>4803</v>
      </c>
      <c r="B4438" s="42">
        <v>17398</v>
      </c>
      <c r="C4438" s="34" t="s">
        <v>5159</v>
      </c>
    </row>
    <row r="4439" spans="1:3" ht="15.75" customHeight="1" x14ac:dyDescent="0.2">
      <c r="A4439" s="42">
        <v>4804</v>
      </c>
      <c r="B4439" s="42">
        <v>17398</v>
      </c>
      <c r="C4439" s="34" t="s">
        <v>5160</v>
      </c>
    </row>
    <row r="4440" spans="1:3" ht="15.75" customHeight="1" x14ac:dyDescent="0.2">
      <c r="A4440" s="42">
        <v>4805</v>
      </c>
      <c r="B4440" s="42">
        <v>17398</v>
      </c>
      <c r="C4440" s="34" t="s">
        <v>5161</v>
      </c>
    </row>
    <row r="4441" spans="1:3" ht="15.75" customHeight="1" x14ac:dyDescent="0.2">
      <c r="A4441" s="42">
        <v>4806</v>
      </c>
      <c r="B4441" s="42">
        <v>17398</v>
      </c>
      <c r="C4441" s="34" t="s">
        <v>5162</v>
      </c>
    </row>
    <row r="4442" spans="1:3" ht="15.75" customHeight="1" x14ac:dyDescent="0.2">
      <c r="A4442" s="42">
        <v>4807</v>
      </c>
      <c r="B4442" s="42">
        <v>17398</v>
      </c>
      <c r="C4442" s="34" t="s">
        <v>5163</v>
      </c>
    </row>
    <row r="4443" spans="1:3" ht="15.75" customHeight="1" x14ac:dyDescent="0.2">
      <c r="A4443" s="42">
        <v>4808</v>
      </c>
      <c r="B4443" s="42">
        <v>17398</v>
      </c>
      <c r="C4443" s="34" t="s">
        <v>5164</v>
      </c>
    </row>
    <row r="4444" spans="1:3" ht="15.75" customHeight="1" x14ac:dyDescent="0.2">
      <c r="A4444" s="42">
        <v>4809</v>
      </c>
      <c r="B4444" s="42">
        <v>17398</v>
      </c>
      <c r="C4444" s="34" t="s">
        <v>5165</v>
      </c>
    </row>
    <row r="4445" spans="1:3" ht="15.75" customHeight="1" x14ac:dyDescent="0.2">
      <c r="A4445" s="42">
        <v>4810</v>
      </c>
      <c r="B4445" s="42">
        <v>17398</v>
      </c>
      <c r="C4445" s="34" t="s">
        <v>5166</v>
      </c>
    </row>
    <row r="4446" spans="1:3" ht="15.75" customHeight="1" x14ac:dyDescent="0.2">
      <c r="A4446" s="42">
        <v>4811</v>
      </c>
      <c r="B4446" s="42">
        <v>17398</v>
      </c>
      <c r="C4446" s="34" t="s">
        <v>5167</v>
      </c>
    </row>
    <row r="4447" spans="1:3" ht="15.75" customHeight="1" x14ac:dyDescent="0.2">
      <c r="A4447" s="42">
        <v>4812</v>
      </c>
      <c r="B4447" s="42">
        <v>17398</v>
      </c>
      <c r="C4447" s="34" t="s">
        <v>5168</v>
      </c>
    </row>
    <row r="4448" spans="1:3" ht="15.75" customHeight="1" x14ac:dyDescent="0.2">
      <c r="A4448" s="42">
        <v>4813</v>
      </c>
      <c r="B4448" s="42">
        <v>17398</v>
      </c>
      <c r="C4448" s="34" t="s">
        <v>5169</v>
      </c>
    </row>
    <row r="4449" spans="1:3" ht="15.75" customHeight="1" x14ac:dyDescent="0.2">
      <c r="A4449" s="42">
        <v>4814</v>
      </c>
      <c r="B4449" s="42">
        <v>17398</v>
      </c>
      <c r="C4449" s="34" t="s">
        <v>5170</v>
      </c>
    </row>
    <row r="4450" spans="1:3" ht="15.75" customHeight="1" x14ac:dyDescent="0.2">
      <c r="A4450" s="42">
        <v>4815</v>
      </c>
      <c r="B4450" s="42">
        <v>17398</v>
      </c>
      <c r="C4450" s="34" t="s">
        <v>5171</v>
      </c>
    </row>
    <row r="4451" spans="1:3" ht="15.75" customHeight="1" x14ac:dyDescent="0.2">
      <c r="A4451" s="42">
        <v>4816</v>
      </c>
      <c r="B4451" s="42">
        <v>17398</v>
      </c>
      <c r="C4451" s="34" t="s">
        <v>5172</v>
      </c>
    </row>
    <row r="4452" spans="1:3" ht="15.75" customHeight="1" x14ac:dyDescent="0.2">
      <c r="A4452" s="42">
        <v>4817</v>
      </c>
      <c r="B4452" s="42">
        <v>17398</v>
      </c>
      <c r="C4452" s="34" t="s">
        <v>5173</v>
      </c>
    </row>
    <row r="4453" spans="1:3" ht="15.75" customHeight="1" x14ac:dyDescent="0.2">
      <c r="A4453" s="42">
        <v>4818</v>
      </c>
      <c r="B4453" s="42">
        <v>17398</v>
      </c>
      <c r="C4453" s="34" t="s">
        <v>5174</v>
      </c>
    </row>
    <row r="4454" spans="1:3" ht="15.75" customHeight="1" x14ac:dyDescent="0.2">
      <c r="A4454" s="42">
        <v>4819</v>
      </c>
      <c r="B4454" s="42">
        <v>17398</v>
      </c>
      <c r="C4454" s="34" t="s">
        <v>5175</v>
      </c>
    </row>
    <row r="4455" spans="1:3" ht="15.75" customHeight="1" x14ac:dyDescent="0.2">
      <c r="A4455" s="42">
        <v>4820</v>
      </c>
      <c r="B4455" s="42">
        <v>17398</v>
      </c>
      <c r="C4455" s="34" t="s">
        <v>5176</v>
      </c>
    </row>
    <row r="4456" spans="1:3" ht="15.75" customHeight="1" x14ac:dyDescent="0.2">
      <c r="A4456" s="42">
        <v>4821</v>
      </c>
      <c r="B4456" s="42">
        <v>17398</v>
      </c>
      <c r="C4456" s="34" t="s">
        <v>5177</v>
      </c>
    </row>
    <row r="4457" spans="1:3" ht="15.75" customHeight="1" x14ac:dyDescent="0.2">
      <c r="A4457" s="42">
        <v>4822</v>
      </c>
      <c r="B4457" s="42">
        <v>17398</v>
      </c>
      <c r="C4457" s="34" t="s">
        <v>5178</v>
      </c>
    </row>
    <row r="4458" spans="1:3" ht="15.75" customHeight="1" x14ac:dyDescent="0.2">
      <c r="A4458" s="42">
        <v>4823</v>
      </c>
      <c r="B4458" s="42">
        <v>17398</v>
      </c>
      <c r="C4458" s="34" t="s">
        <v>5179</v>
      </c>
    </row>
    <row r="4459" spans="1:3" ht="15.75" customHeight="1" x14ac:dyDescent="0.2">
      <c r="A4459" s="42">
        <v>4824</v>
      </c>
      <c r="B4459" s="42">
        <v>17398</v>
      </c>
      <c r="C4459" s="34" t="s">
        <v>5180</v>
      </c>
    </row>
    <row r="4460" spans="1:3" ht="15.75" customHeight="1" x14ac:dyDescent="0.2">
      <c r="A4460" s="42">
        <v>4825</v>
      </c>
      <c r="B4460" s="42">
        <v>17398</v>
      </c>
      <c r="C4460" s="34" t="s">
        <v>5181</v>
      </c>
    </row>
    <row r="4461" spans="1:3" ht="15.75" customHeight="1" x14ac:dyDescent="0.2">
      <c r="A4461" s="42">
        <v>4826</v>
      </c>
      <c r="B4461" s="42">
        <v>17398</v>
      </c>
      <c r="C4461" s="34" t="s">
        <v>5182</v>
      </c>
    </row>
    <row r="4462" spans="1:3" ht="15.75" customHeight="1" x14ac:dyDescent="0.2">
      <c r="A4462" s="42">
        <v>4827</v>
      </c>
      <c r="B4462" s="42">
        <v>17398</v>
      </c>
      <c r="C4462" s="34" t="s">
        <v>5183</v>
      </c>
    </row>
    <row r="4463" spans="1:3" ht="15.75" customHeight="1" x14ac:dyDescent="0.2">
      <c r="A4463" s="42">
        <v>4828</v>
      </c>
      <c r="B4463" s="42">
        <v>17398</v>
      </c>
      <c r="C4463" s="34" t="s">
        <v>5184</v>
      </c>
    </row>
    <row r="4464" spans="1:3" ht="15.75" customHeight="1" x14ac:dyDescent="0.2">
      <c r="A4464" s="42">
        <v>4829</v>
      </c>
      <c r="B4464" s="42">
        <v>17398</v>
      </c>
      <c r="C4464" s="34" t="s">
        <v>5185</v>
      </c>
    </row>
    <row r="4465" spans="1:3" ht="15.75" customHeight="1" x14ac:dyDescent="0.2">
      <c r="A4465" s="42">
        <v>4830</v>
      </c>
      <c r="B4465" s="42">
        <v>17398</v>
      </c>
      <c r="C4465" s="34" t="s">
        <v>5186</v>
      </c>
    </row>
    <row r="4466" spans="1:3" ht="15.75" customHeight="1" x14ac:dyDescent="0.2">
      <c r="A4466" s="42">
        <v>4831</v>
      </c>
      <c r="B4466" s="42">
        <v>17398</v>
      </c>
      <c r="C4466" s="34" t="s">
        <v>5187</v>
      </c>
    </row>
    <row r="4467" spans="1:3" ht="15.75" customHeight="1" x14ac:dyDescent="0.2">
      <c r="A4467" s="42">
        <v>4832</v>
      </c>
      <c r="B4467" s="42">
        <v>17398</v>
      </c>
      <c r="C4467" s="34" t="s">
        <v>5188</v>
      </c>
    </row>
    <row r="4468" spans="1:3" ht="15.75" customHeight="1" x14ac:dyDescent="0.2">
      <c r="A4468" s="42">
        <v>4833</v>
      </c>
      <c r="B4468" s="42">
        <v>17398</v>
      </c>
      <c r="C4468" s="34" t="s">
        <v>5189</v>
      </c>
    </row>
    <row r="4469" spans="1:3" ht="15.75" customHeight="1" x14ac:dyDescent="0.2">
      <c r="A4469" s="42">
        <v>4834</v>
      </c>
      <c r="B4469" s="42">
        <v>17398</v>
      </c>
      <c r="C4469" s="34" t="s">
        <v>5190</v>
      </c>
    </row>
    <row r="4470" spans="1:3" ht="15.75" customHeight="1" x14ac:dyDescent="0.2">
      <c r="A4470" s="42">
        <v>4835</v>
      </c>
      <c r="B4470" s="42">
        <v>17398</v>
      </c>
      <c r="C4470" s="34" t="s">
        <v>5191</v>
      </c>
    </row>
    <row r="4471" spans="1:3" ht="15.75" customHeight="1" x14ac:dyDescent="0.2">
      <c r="A4471" s="42">
        <v>4836</v>
      </c>
      <c r="B4471" s="42">
        <v>17398</v>
      </c>
      <c r="C4471" s="34" t="s">
        <v>5192</v>
      </c>
    </row>
    <row r="4472" spans="1:3" ht="15.75" customHeight="1" x14ac:dyDescent="0.2">
      <c r="A4472" s="42">
        <v>4837</v>
      </c>
      <c r="B4472" s="42">
        <v>17398</v>
      </c>
      <c r="C4472" s="34" t="s">
        <v>5193</v>
      </c>
    </row>
    <row r="4473" spans="1:3" ht="15.75" customHeight="1" x14ac:dyDescent="0.2">
      <c r="A4473" s="42">
        <v>4838</v>
      </c>
      <c r="B4473" s="42">
        <v>17398</v>
      </c>
      <c r="C4473" s="34" t="s">
        <v>5194</v>
      </c>
    </row>
    <row r="4474" spans="1:3" ht="15.75" customHeight="1" x14ac:dyDescent="0.2">
      <c r="A4474" s="42">
        <v>4839</v>
      </c>
      <c r="B4474" s="42">
        <v>17398</v>
      </c>
      <c r="C4474" s="34" t="s">
        <v>5195</v>
      </c>
    </row>
    <row r="4475" spans="1:3" ht="15.75" customHeight="1" x14ac:dyDescent="0.2">
      <c r="A4475" s="42">
        <v>4840</v>
      </c>
      <c r="B4475" s="42">
        <v>17398</v>
      </c>
      <c r="C4475" s="34" t="s">
        <v>5196</v>
      </c>
    </row>
    <row r="4476" spans="1:3" ht="15.75" customHeight="1" x14ac:dyDescent="0.2">
      <c r="A4476" s="42">
        <v>4841</v>
      </c>
      <c r="B4476" s="42">
        <v>17398</v>
      </c>
      <c r="C4476" s="34" t="s">
        <v>5197</v>
      </c>
    </row>
    <row r="4477" spans="1:3" ht="15.75" customHeight="1" x14ac:dyDescent="0.2">
      <c r="A4477" s="42">
        <v>4842</v>
      </c>
      <c r="B4477" s="42">
        <v>17398</v>
      </c>
      <c r="C4477" s="34" t="s">
        <v>5198</v>
      </c>
    </row>
    <row r="4478" spans="1:3" ht="15.75" customHeight="1" x14ac:dyDescent="0.2">
      <c r="A4478" s="42">
        <v>4843</v>
      </c>
      <c r="B4478" s="42">
        <v>17398</v>
      </c>
      <c r="C4478" s="34" t="s">
        <v>5199</v>
      </c>
    </row>
    <row r="4479" spans="1:3" ht="15.75" customHeight="1" x14ac:dyDescent="0.2">
      <c r="A4479" s="42">
        <v>4844</v>
      </c>
      <c r="B4479" s="42">
        <v>17398</v>
      </c>
      <c r="C4479" s="34" t="s">
        <v>5200</v>
      </c>
    </row>
    <row r="4480" spans="1:3" ht="15.75" customHeight="1" x14ac:dyDescent="0.2">
      <c r="A4480" s="42">
        <v>4845</v>
      </c>
      <c r="B4480" s="42">
        <v>17398</v>
      </c>
      <c r="C4480" s="34" t="s">
        <v>5201</v>
      </c>
    </row>
    <row r="4481" spans="1:3" ht="15.75" customHeight="1" x14ac:dyDescent="0.2">
      <c r="A4481" s="42">
        <v>4846</v>
      </c>
      <c r="B4481" s="42">
        <v>17398</v>
      </c>
      <c r="C4481" s="34" t="s">
        <v>5202</v>
      </c>
    </row>
    <row r="4482" spans="1:3" ht="15.75" customHeight="1" x14ac:dyDescent="0.2">
      <c r="A4482" s="42">
        <v>4847</v>
      </c>
      <c r="B4482" s="42">
        <v>17398</v>
      </c>
      <c r="C4482" s="34" t="s">
        <v>5203</v>
      </c>
    </row>
    <row r="4483" spans="1:3" ht="15.75" customHeight="1" x14ac:dyDescent="0.2">
      <c r="A4483" s="42">
        <v>4848</v>
      </c>
      <c r="B4483" s="42">
        <v>17398</v>
      </c>
      <c r="C4483" s="34" t="s">
        <v>5204</v>
      </c>
    </row>
    <row r="4484" spans="1:3" ht="15.75" customHeight="1" x14ac:dyDescent="0.2">
      <c r="A4484" s="42">
        <v>4849</v>
      </c>
      <c r="B4484" s="42">
        <v>17398</v>
      </c>
      <c r="C4484" s="34" t="s">
        <v>5205</v>
      </c>
    </row>
    <row r="4485" spans="1:3" ht="15.75" customHeight="1" x14ac:dyDescent="0.2">
      <c r="A4485" s="42">
        <v>4850</v>
      </c>
      <c r="B4485" s="42">
        <v>17398</v>
      </c>
      <c r="C4485" s="34" t="s">
        <v>5206</v>
      </c>
    </row>
    <row r="4486" spans="1:3" ht="15.75" customHeight="1" x14ac:dyDescent="0.2">
      <c r="A4486" s="42">
        <v>4851</v>
      </c>
      <c r="B4486" s="42">
        <v>17398</v>
      </c>
      <c r="C4486" s="34" t="s">
        <v>5207</v>
      </c>
    </row>
    <row r="4487" spans="1:3" ht="15.75" customHeight="1" x14ac:dyDescent="0.2">
      <c r="A4487" s="42">
        <v>4852</v>
      </c>
      <c r="B4487" s="42">
        <v>17398</v>
      </c>
      <c r="C4487" s="34" t="s">
        <v>5208</v>
      </c>
    </row>
    <row r="4488" spans="1:3" ht="15.75" customHeight="1" x14ac:dyDescent="0.2">
      <c r="A4488" s="42">
        <v>4853</v>
      </c>
      <c r="B4488" s="42">
        <v>17398</v>
      </c>
      <c r="C4488" s="34" t="s">
        <v>5209</v>
      </c>
    </row>
    <row r="4489" spans="1:3" ht="15.75" customHeight="1" x14ac:dyDescent="0.2">
      <c r="A4489" s="42">
        <v>4854</v>
      </c>
      <c r="B4489" s="42">
        <v>17398</v>
      </c>
      <c r="C4489" s="34" t="s">
        <v>5210</v>
      </c>
    </row>
    <row r="4490" spans="1:3" ht="15.75" customHeight="1" x14ac:dyDescent="0.2">
      <c r="A4490" s="42">
        <v>4855</v>
      </c>
      <c r="B4490" s="42">
        <v>17398</v>
      </c>
      <c r="C4490" s="34" t="s">
        <v>5211</v>
      </c>
    </row>
    <row r="4491" spans="1:3" ht="15.75" customHeight="1" x14ac:dyDescent="0.2">
      <c r="A4491" s="42">
        <v>4856</v>
      </c>
      <c r="B4491" s="42">
        <v>17398</v>
      </c>
      <c r="C4491" s="34" t="s">
        <v>5212</v>
      </c>
    </row>
    <row r="4492" spans="1:3" ht="15.75" customHeight="1" x14ac:dyDescent="0.2">
      <c r="A4492" s="42">
        <v>4857</v>
      </c>
      <c r="B4492" s="42">
        <v>17398</v>
      </c>
      <c r="C4492" s="34" t="s">
        <v>5213</v>
      </c>
    </row>
    <row r="4493" spans="1:3" ht="15.75" customHeight="1" x14ac:dyDescent="0.2">
      <c r="A4493" s="42">
        <v>4858</v>
      </c>
      <c r="B4493" s="42">
        <v>17398</v>
      </c>
      <c r="C4493" s="34" t="s">
        <v>5214</v>
      </c>
    </row>
    <row r="4494" spans="1:3" ht="15.75" customHeight="1" x14ac:dyDescent="0.2">
      <c r="A4494" s="42">
        <v>4859</v>
      </c>
      <c r="B4494" s="42">
        <v>17398</v>
      </c>
      <c r="C4494" s="34" t="s">
        <v>5215</v>
      </c>
    </row>
    <row r="4495" spans="1:3" ht="15.75" customHeight="1" x14ac:dyDescent="0.2">
      <c r="A4495" s="42">
        <v>4860</v>
      </c>
      <c r="B4495" s="42">
        <v>17398</v>
      </c>
      <c r="C4495" s="34" t="s">
        <v>5216</v>
      </c>
    </row>
    <row r="4496" spans="1:3" ht="15.75" customHeight="1" x14ac:dyDescent="0.2">
      <c r="A4496" s="42">
        <v>4861</v>
      </c>
      <c r="B4496" s="42">
        <v>17398</v>
      </c>
      <c r="C4496" s="34" t="s">
        <v>5217</v>
      </c>
    </row>
    <row r="4497" spans="1:3" ht="15.75" customHeight="1" x14ac:dyDescent="0.2">
      <c r="A4497" s="42">
        <v>4862</v>
      </c>
      <c r="B4497" s="42">
        <v>17398</v>
      </c>
      <c r="C4497" s="34" t="s">
        <v>5218</v>
      </c>
    </row>
    <row r="4498" spans="1:3" ht="15.75" customHeight="1" x14ac:dyDescent="0.2">
      <c r="A4498" s="42">
        <v>4863</v>
      </c>
      <c r="B4498" s="42">
        <v>17398</v>
      </c>
      <c r="C4498" s="34" t="s">
        <v>5219</v>
      </c>
    </row>
    <row r="4499" spans="1:3" ht="15.75" customHeight="1" x14ac:dyDescent="0.2">
      <c r="A4499" s="42">
        <v>4864</v>
      </c>
      <c r="B4499" s="42">
        <v>17398</v>
      </c>
      <c r="C4499" s="34" t="s">
        <v>5220</v>
      </c>
    </row>
    <row r="4500" spans="1:3" ht="15.75" customHeight="1" x14ac:dyDescent="0.2">
      <c r="A4500" s="42">
        <v>4865</v>
      </c>
      <c r="B4500" s="42">
        <v>17398</v>
      </c>
      <c r="C4500" s="34" t="s">
        <v>5185</v>
      </c>
    </row>
    <row r="4501" spans="1:3" ht="15.75" customHeight="1" x14ac:dyDescent="0.2">
      <c r="A4501" s="42">
        <v>4866</v>
      </c>
      <c r="B4501" s="42">
        <v>17398</v>
      </c>
      <c r="C4501" s="34" t="s">
        <v>5200</v>
      </c>
    </row>
    <row r="4502" spans="1:3" ht="15.75" customHeight="1" x14ac:dyDescent="0.2">
      <c r="A4502" s="42">
        <v>4867</v>
      </c>
      <c r="B4502" s="42">
        <v>17398</v>
      </c>
      <c r="C4502" s="34" t="s">
        <v>5221</v>
      </c>
    </row>
    <row r="4503" spans="1:3" ht="15.75" customHeight="1" x14ac:dyDescent="0.2">
      <c r="A4503" s="42">
        <v>4868</v>
      </c>
      <c r="B4503" s="42">
        <v>17398</v>
      </c>
      <c r="C4503" s="34" t="s">
        <v>5222</v>
      </c>
    </row>
    <row r="4504" spans="1:3" ht="15.75" customHeight="1" x14ac:dyDescent="0.2">
      <c r="A4504" s="42">
        <v>4869</v>
      </c>
      <c r="B4504" s="42">
        <v>17398</v>
      </c>
      <c r="C4504" s="34" t="s">
        <v>5223</v>
      </c>
    </row>
    <row r="4505" spans="1:3" ht="15.75" customHeight="1" x14ac:dyDescent="0.2">
      <c r="A4505" s="42">
        <v>4870</v>
      </c>
      <c r="B4505" s="42">
        <v>17398</v>
      </c>
      <c r="C4505" s="34" t="s">
        <v>5224</v>
      </c>
    </row>
    <row r="4506" spans="1:3" ht="15.75" customHeight="1" x14ac:dyDescent="0.2">
      <c r="A4506" s="42">
        <v>4871</v>
      </c>
      <c r="B4506" s="42">
        <v>17398</v>
      </c>
      <c r="C4506" s="34" t="s">
        <v>5225</v>
      </c>
    </row>
    <row r="4507" spans="1:3" ht="15.75" customHeight="1" x14ac:dyDescent="0.2">
      <c r="A4507" s="42">
        <v>4872</v>
      </c>
      <c r="B4507" s="42">
        <v>17398</v>
      </c>
      <c r="C4507" s="34" t="s">
        <v>5226</v>
      </c>
    </row>
    <row r="4508" spans="1:3" ht="15.75" customHeight="1" x14ac:dyDescent="0.2">
      <c r="A4508" s="42">
        <v>4873</v>
      </c>
      <c r="B4508" s="42">
        <v>17398</v>
      </c>
      <c r="C4508" s="34" t="s">
        <v>5227</v>
      </c>
    </row>
    <row r="4509" spans="1:3" ht="15.75" customHeight="1" x14ac:dyDescent="0.2">
      <c r="A4509" s="42">
        <v>4874</v>
      </c>
      <c r="B4509" s="42">
        <v>17398</v>
      </c>
      <c r="C4509" s="34" t="s">
        <v>5228</v>
      </c>
    </row>
    <row r="4510" spans="1:3" ht="15.75" customHeight="1" x14ac:dyDescent="0.2">
      <c r="A4510" s="42">
        <v>4875</v>
      </c>
      <c r="B4510" s="42">
        <v>17399</v>
      </c>
      <c r="C4510" s="34" t="s">
        <v>5229</v>
      </c>
    </row>
    <row r="4511" spans="1:3" ht="15.75" customHeight="1" x14ac:dyDescent="0.2">
      <c r="A4511" s="42">
        <v>4876</v>
      </c>
      <c r="B4511" s="42">
        <v>17399</v>
      </c>
      <c r="C4511" s="34" t="s">
        <v>5230</v>
      </c>
    </row>
    <row r="4512" spans="1:3" ht="15.75" customHeight="1" x14ac:dyDescent="0.2">
      <c r="A4512" s="42">
        <v>4877</v>
      </c>
      <c r="B4512" s="42">
        <v>17399</v>
      </c>
      <c r="C4512" s="34" t="s">
        <v>5231</v>
      </c>
    </row>
    <row r="4513" spans="1:3" ht="15.75" customHeight="1" x14ac:dyDescent="0.2">
      <c r="A4513" s="42">
        <v>4878</v>
      </c>
      <c r="B4513" s="42">
        <v>17399</v>
      </c>
      <c r="C4513" s="34" t="s">
        <v>5232</v>
      </c>
    </row>
    <row r="4514" spans="1:3" ht="15.75" customHeight="1" x14ac:dyDescent="0.2">
      <c r="A4514" s="42">
        <v>4879</v>
      </c>
      <c r="B4514" s="42">
        <v>17399</v>
      </c>
      <c r="C4514" s="34" t="s">
        <v>5233</v>
      </c>
    </row>
    <row r="4515" spans="1:3" ht="15.75" customHeight="1" x14ac:dyDescent="0.2">
      <c r="A4515" s="42">
        <v>4880</v>
      </c>
      <c r="B4515" s="42">
        <v>17399</v>
      </c>
      <c r="C4515" s="34" t="s">
        <v>5234</v>
      </c>
    </row>
    <row r="4516" spans="1:3" ht="15.75" customHeight="1" x14ac:dyDescent="0.2">
      <c r="A4516" s="42">
        <v>4881</v>
      </c>
      <c r="B4516" s="42">
        <v>17399</v>
      </c>
      <c r="C4516" s="34" t="s">
        <v>5235</v>
      </c>
    </row>
    <row r="4517" spans="1:3" ht="15.75" customHeight="1" x14ac:dyDescent="0.2">
      <c r="A4517" s="42">
        <v>4882</v>
      </c>
      <c r="B4517" s="42">
        <v>17399</v>
      </c>
      <c r="C4517" s="34" t="s">
        <v>5236</v>
      </c>
    </row>
    <row r="4518" spans="1:3" ht="15.75" customHeight="1" x14ac:dyDescent="0.2">
      <c r="A4518" s="42">
        <v>4883</v>
      </c>
      <c r="B4518" s="42">
        <v>17399</v>
      </c>
      <c r="C4518" s="34" t="s">
        <v>5233</v>
      </c>
    </row>
    <row r="4519" spans="1:3" ht="15.75" customHeight="1" x14ac:dyDescent="0.2">
      <c r="A4519" s="42">
        <v>4884</v>
      </c>
      <c r="B4519" s="42">
        <v>17399</v>
      </c>
      <c r="C4519" s="34" t="s">
        <v>5237</v>
      </c>
    </row>
    <row r="4520" spans="1:3" ht="15.75" customHeight="1" x14ac:dyDescent="0.2">
      <c r="A4520" s="42">
        <v>4885</v>
      </c>
      <c r="B4520" s="42">
        <v>17399</v>
      </c>
      <c r="C4520" s="34" t="s">
        <v>5238</v>
      </c>
    </row>
    <row r="4521" spans="1:3" ht="15.75" customHeight="1" x14ac:dyDescent="0.2">
      <c r="A4521" s="42">
        <v>4886</v>
      </c>
      <c r="B4521" s="42">
        <v>17399</v>
      </c>
      <c r="C4521" s="34" t="s">
        <v>5239</v>
      </c>
    </row>
    <row r="4522" spans="1:3" ht="15.75" customHeight="1" x14ac:dyDescent="0.2">
      <c r="A4522" s="42">
        <v>4887</v>
      </c>
      <c r="B4522" s="42">
        <v>17399</v>
      </c>
      <c r="C4522" s="34" t="s">
        <v>5240</v>
      </c>
    </row>
    <row r="4523" spans="1:3" ht="15.75" customHeight="1" x14ac:dyDescent="0.2">
      <c r="A4523" s="42">
        <v>4888</v>
      </c>
      <c r="B4523" s="42">
        <v>17399</v>
      </c>
      <c r="C4523" s="34" t="s">
        <v>5241</v>
      </c>
    </row>
    <row r="4524" spans="1:3" ht="15.75" customHeight="1" x14ac:dyDescent="0.2">
      <c r="A4524" s="42">
        <v>4889</v>
      </c>
      <c r="B4524" s="42">
        <v>17399</v>
      </c>
      <c r="C4524" s="34" t="s">
        <v>5242</v>
      </c>
    </row>
    <row r="4525" spans="1:3" ht="15.75" customHeight="1" x14ac:dyDescent="0.2">
      <c r="A4525" s="42">
        <v>4890</v>
      </c>
      <c r="B4525" s="42">
        <v>17399</v>
      </c>
      <c r="C4525" s="34" t="s">
        <v>5243</v>
      </c>
    </row>
    <row r="4526" spans="1:3" ht="15.75" customHeight="1" x14ac:dyDescent="0.2">
      <c r="A4526" s="42">
        <v>4891</v>
      </c>
      <c r="B4526" s="42">
        <v>17399</v>
      </c>
      <c r="C4526" s="34" t="s">
        <v>5244</v>
      </c>
    </row>
    <row r="4527" spans="1:3" ht="15.75" customHeight="1" x14ac:dyDescent="0.2">
      <c r="A4527" s="42">
        <v>4892</v>
      </c>
      <c r="B4527" s="42">
        <v>17399</v>
      </c>
      <c r="C4527" s="34" t="s">
        <v>5245</v>
      </c>
    </row>
    <row r="4528" spans="1:3" ht="15.75" customHeight="1" x14ac:dyDescent="0.2">
      <c r="A4528" s="42">
        <v>4893</v>
      </c>
      <c r="B4528" s="42">
        <v>17399</v>
      </c>
      <c r="C4528" s="34" t="s">
        <v>5246</v>
      </c>
    </row>
    <row r="4529" spans="1:3" ht="15.75" customHeight="1" x14ac:dyDescent="0.2">
      <c r="A4529" s="42">
        <v>4894</v>
      </c>
      <c r="B4529" s="42">
        <v>17399</v>
      </c>
      <c r="C4529" s="34" t="s">
        <v>5247</v>
      </c>
    </row>
    <row r="4530" spans="1:3" ht="15.75" customHeight="1" x14ac:dyDescent="0.2">
      <c r="A4530" s="42">
        <v>4895</v>
      </c>
      <c r="B4530" s="42">
        <v>17399</v>
      </c>
      <c r="C4530" s="34" t="s">
        <v>5248</v>
      </c>
    </row>
    <row r="4531" spans="1:3" ht="15.75" customHeight="1" x14ac:dyDescent="0.2">
      <c r="A4531" s="42">
        <v>4896</v>
      </c>
      <c r="B4531" s="42">
        <v>17399</v>
      </c>
      <c r="C4531" s="34" t="s">
        <v>5249</v>
      </c>
    </row>
    <row r="4532" spans="1:3" ht="15.75" customHeight="1" x14ac:dyDescent="0.2">
      <c r="A4532" s="42">
        <v>4897</v>
      </c>
      <c r="B4532" s="42">
        <v>17399</v>
      </c>
      <c r="C4532" s="34" t="s">
        <v>5250</v>
      </c>
    </row>
    <row r="4533" spans="1:3" ht="15.75" customHeight="1" x14ac:dyDescent="0.2">
      <c r="A4533" s="42">
        <v>4898</v>
      </c>
      <c r="B4533" s="42">
        <v>17399</v>
      </c>
      <c r="C4533" s="34" t="s">
        <v>5251</v>
      </c>
    </row>
    <row r="4534" spans="1:3" ht="15.75" customHeight="1" x14ac:dyDescent="0.2">
      <c r="A4534" s="42">
        <v>4899</v>
      </c>
      <c r="B4534" s="42">
        <v>17399</v>
      </c>
      <c r="C4534" s="34" t="s">
        <v>5252</v>
      </c>
    </row>
    <row r="4535" spans="1:3" ht="15.75" customHeight="1" x14ac:dyDescent="0.2">
      <c r="A4535" s="42">
        <v>4900</v>
      </c>
      <c r="B4535" s="42">
        <v>17399</v>
      </c>
      <c r="C4535" s="34" t="s">
        <v>5253</v>
      </c>
    </row>
    <row r="4536" spans="1:3" ht="15.75" customHeight="1" x14ac:dyDescent="0.2">
      <c r="A4536" s="42">
        <v>4901</v>
      </c>
      <c r="B4536" s="42">
        <v>17399</v>
      </c>
      <c r="C4536" s="34" t="s">
        <v>5254</v>
      </c>
    </row>
    <row r="4537" spans="1:3" ht="15.75" customHeight="1" x14ac:dyDescent="0.2">
      <c r="A4537" s="42">
        <v>4902</v>
      </c>
      <c r="B4537" s="42">
        <v>17399</v>
      </c>
      <c r="C4537" s="34" t="s">
        <v>5255</v>
      </c>
    </row>
    <row r="4538" spans="1:3" ht="15.75" customHeight="1" x14ac:dyDescent="0.2">
      <c r="A4538" s="42">
        <v>4903</v>
      </c>
      <c r="B4538" s="42">
        <v>17399</v>
      </c>
      <c r="C4538" s="34" t="s">
        <v>5256</v>
      </c>
    </row>
    <row r="4539" spans="1:3" ht="15.75" customHeight="1" x14ac:dyDescent="0.2">
      <c r="A4539" s="42">
        <v>4904</v>
      </c>
      <c r="B4539" s="42">
        <v>17399</v>
      </c>
      <c r="C4539" s="34" t="s">
        <v>5257</v>
      </c>
    </row>
    <row r="4540" spans="1:3" ht="15.75" customHeight="1" x14ac:dyDescent="0.2">
      <c r="A4540" s="42">
        <v>4905</v>
      </c>
      <c r="B4540" s="42">
        <v>17399</v>
      </c>
      <c r="C4540" s="34" t="s">
        <v>5258</v>
      </c>
    </row>
    <row r="4541" spans="1:3" ht="15.75" customHeight="1" x14ac:dyDescent="0.2">
      <c r="A4541" s="42">
        <v>4906</v>
      </c>
      <c r="B4541" s="42">
        <v>17399</v>
      </c>
      <c r="C4541" s="34" t="s">
        <v>5259</v>
      </c>
    </row>
    <row r="4542" spans="1:3" ht="15.75" customHeight="1" x14ac:dyDescent="0.2">
      <c r="A4542" s="42">
        <v>4907</v>
      </c>
      <c r="B4542" s="42">
        <v>17399</v>
      </c>
      <c r="C4542" s="34" t="s">
        <v>5260</v>
      </c>
    </row>
    <row r="4543" spans="1:3" ht="15.75" customHeight="1" x14ac:dyDescent="0.2">
      <c r="A4543" s="42">
        <v>4908</v>
      </c>
      <c r="B4543" s="42">
        <v>17399</v>
      </c>
      <c r="C4543" s="34" t="s">
        <v>5261</v>
      </c>
    </row>
    <row r="4544" spans="1:3" ht="15.75" customHeight="1" x14ac:dyDescent="0.2">
      <c r="A4544" s="42">
        <v>4909</v>
      </c>
      <c r="B4544" s="42">
        <v>17399</v>
      </c>
      <c r="C4544" s="34" t="s">
        <v>5262</v>
      </c>
    </row>
    <row r="4545" spans="1:3" ht="15.75" customHeight="1" x14ac:dyDescent="0.2">
      <c r="A4545" s="42">
        <v>4910</v>
      </c>
      <c r="B4545" s="42">
        <v>17399</v>
      </c>
      <c r="C4545" s="34" t="s">
        <v>5263</v>
      </c>
    </row>
    <row r="4546" spans="1:3" ht="15.75" customHeight="1" x14ac:dyDescent="0.2">
      <c r="A4546" s="42">
        <v>4911</v>
      </c>
      <c r="B4546" s="42">
        <v>17399</v>
      </c>
      <c r="C4546" s="34" t="s">
        <v>5264</v>
      </c>
    </row>
    <row r="4547" spans="1:3" ht="15.75" customHeight="1" x14ac:dyDescent="0.2">
      <c r="A4547" s="42">
        <v>4912</v>
      </c>
      <c r="B4547" s="42">
        <v>17399</v>
      </c>
      <c r="C4547" s="34" t="s">
        <v>5265</v>
      </c>
    </row>
    <row r="4548" spans="1:3" ht="15.75" customHeight="1" x14ac:dyDescent="0.2">
      <c r="A4548" s="42">
        <v>4913</v>
      </c>
      <c r="B4548" s="42">
        <v>17399</v>
      </c>
      <c r="C4548" s="34" t="s">
        <v>5244</v>
      </c>
    </row>
    <row r="4549" spans="1:3" ht="15.75" customHeight="1" x14ac:dyDescent="0.2">
      <c r="A4549" s="42">
        <v>4914</v>
      </c>
      <c r="B4549" s="42">
        <v>17399</v>
      </c>
      <c r="C4549" s="34" t="s">
        <v>5266</v>
      </c>
    </row>
    <row r="4550" spans="1:3" ht="15.75" customHeight="1" x14ac:dyDescent="0.2">
      <c r="A4550" s="42">
        <v>4915</v>
      </c>
      <c r="B4550" s="42">
        <v>17399</v>
      </c>
      <c r="C4550" s="34" t="s">
        <v>5267</v>
      </c>
    </row>
    <row r="4551" spans="1:3" ht="15.75" customHeight="1" x14ac:dyDescent="0.2">
      <c r="A4551" s="42">
        <v>4916</v>
      </c>
      <c r="B4551" s="42">
        <v>17399</v>
      </c>
      <c r="C4551" s="34" t="s">
        <v>5268</v>
      </c>
    </row>
    <row r="4552" spans="1:3" ht="15.75" customHeight="1" x14ac:dyDescent="0.2">
      <c r="A4552" s="42">
        <v>4917</v>
      </c>
      <c r="B4552" s="42">
        <v>17399</v>
      </c>
      <c r="C4552" s="34" t="s">
        <v>5269</v>
      </c>
    </row>
    <row r="4553" spans="1:3" ht="15.75" customHeight="1" x14ac:dyDescent="0.2">
      <c r="A4553" s="42">
        <v>4918</v>
      </c>
      <c r="B4553" s="42">
        <v>17399</v>
      </c>
      <c r="C4553" s="34" t="s">
        <v>5270</v>
      </c>
    </row>
    <row r="4554" spans="1:3" ht="15.75" customHeight="1" x14ac:dyDescent="0.2">
      <c r="A4554" s="42">
        <v>4919</v>
      </c>
      <c r="B4554" s="42">
        <v>17399</v>
      </c>
      <c r="C4554" s="34" t="s">
        <v>5271</v>
      </c>
    </row>
    <row r="4555" spans="1:3" ht="15.75" customHeight="1" x14ac:dyDescent="0.2">
      <c r="A4555" s="42">
        <v>4920</v>
      </c>
      <c r="B4555" s="42">
        <v>17399</v>
      </c>
      <c r="C4555" s="34" t="s">
        <v>5272</v>
      </c>
    </row>
    <row r="4556" spans="1:3" ht="15.75" customHeight="1" x14ac:dyDescent="0.2">
      <c r="A4556" s="42">
        <v>4921</v>
      </c>
      <c r="B4556" s="42">
        <v>17399</v>
      </c>
      <c r="C4556" s="34" t="s">
        <v>5273</v>
      </c>
    </row>
    <row r="4557" spans="1:3" ht="15.75" customHeight="1" x14ac:dyDescent="0.2">
      <c r="A4557" s="42">
        <v>4922</v>
      </c>
      <c r="B4557" s="42">
        <v>17399</v>
      </c>
      <c r="C4557" s="34" t="s">
        <v>5274</v>
      </c>
    </row>
    <row r="4558" spans="1:3" ht="15.75" customHeight="1" x14ac:dyDescent="0.2">
      <c r="A4558" s="42">
        <v>4923</v>
      </c>
      <c r="B4558" s="42">
        <v>17399</v>
      </c>
      <c r="C4558" s="34" t="s">
        <v>5275</v>
      </c>
    </row>
    <row r="4559" spans="1:3" ht="15.75" customHeight="1" x14ac:dyDescent="0.2">
      <c r="A4559" s="42">
        <v>4924</v>
      </c>
      <c r="B4559" s="42">
        <v>17399</v>
      </c>
      <c r="C4559" s="34" t="s">
        <v>5276</v>
      </c>
    </row>
    <row r="4560" spans="1:3" ht="15.75" customHeight="1" x14ac:dyDescent="0.2">
      <c r="A4560" s="42">
        <v>4925</v>
      </c>
      <c r="B4560" s="42">
        <v>17399</v>
      </c>
      <c r="C4560" s="34" t="s">
        <v>5277</v>
      </c>
    </row>
    <row r="4561" spans="1:3" ht="15.75" customHeight="1" x14ac:dyDescent="0.2">
      <c r="A4561" s="42">
        <v>4926</v>
      </c>
      <c r="B4561" s="42">
        <v>17399</v>
      </c>
      <c r="C4561" s="34" t="s">
        <v>5278</v>
      </c>
    </row>
    <row r="4562" spans="1:3" ht="15.75" customHeight="1" x14ac:dyDescent="0.2">
      <c r="A4562" s="42">
        <v>4927</v>
      </c>
      <c r="B4562" s="42">
        <v>17399</v>
      </c>
      <c r="C4562" s="34" t="s">
        <v>5279</v>
      </c>
    </row>
    <row r="4563" spans="1:3" ht="15.75" customHeight="1" x14ac:dyDescent="0.2">
      <c r="A4563" s="42">
        <v>4928</v>
      </c>
      <c r="B4563" s="42">
        <v>17399</v>
      </c>
      <c r="C4563" s="34" t="s">
        <v>5280</v>
      </c>
    </row>
    <row r="4564" spans="1:3" ht="15.75" customHeight="1" x14ac:dyDescent="0.2">
      <c r="A4564" s="42">
        <v>4929</v>
      </c>
      <c r="B4564" s="42">
        <v>17399</v>
      </c>
      <c r="C4564" s="34" t="s">
        <v>5281</v>
      </c>
    </row>
    <row r="4565" spans="1:3" ht="15.75" customHeight="1" x14ac:dyDescent="0.2">
      <c r="A4565" s="42">
        <v>4930</v>
      </c>
      <c r="B4565" s="42">
        <v>17399</v>
      </c>
      <c r="C4565" s="34" t="s">
        <v>5282</v>
      </c>
    </row>
    <row r="4566" spans="1:3" ht="15.75" customHeight="1" x14ac:dyDescent="0.2">
      <c r="A4566" s="42">
        <v>4931</v>
      </c>
      <c r="B4566" s="42">
        <v>17399</v>
      </c>
      <c r="C4566" s="34" t="s">
        <v>5283</v>
      </c>
    </row>
    <row r="4567" spans="1:3" ht="15.75" customHeight="1" x14ac:dyDescent="0.2">
      <c r="A4567" s="42">
        <v>4932</v>
      </c>
      <c r="B4567" s="42">
        <v>17399</v>
      </c>
      <c r="C4567" s="34" t="s">
        <v>5284</v>
      </c>
    </row>
    <row r="4568" spans="1:3" ht="15.75" customHeight="1" x14ac:dyDescent="0.2">
      <c r="A4568" s="42">
        <v>4933</v>
      </c>
      <c r="B4568" s="42">
        <v>17399</v>
      </c>
      <c r="C4568" s="34" t="s">
        <v>5285</v>
      </c>
    </row>
    <row r="4569" spans="1:3" ht="15.75" customHeight="1" x14ac:dyDescent="0.2">
      <c r="A4569" s="42">
        <v>4934</v>
      </c>
      <c r="B4569" s="42">
        <v>17399</v>
      </c>
      <c r="C4569" s="34" t="s">
        <v>5286</v>
      </c>
    </row>
    <row r="4570" spans="1:3" ht="15.75" customHeight="1" x14ac:dyDescent="0.2">
      <c r="A4570" s="42">
        <v>4935</v>
      </c>
      <c r="B4570" s="42">
        <v>17399</v>
      </c>
      <c r="C4570" s="34" t="s">
        <v>5287</v>
      </c>
    </row>
    <row r="4571" spans="1:3" ht="15.75" customHeight="1" x14ac:dyDescent="0.2">
      <c r="A4571" s="42">
        <v>4936</v>
      </c>
      <c r="B4571" s="42">
        <v>17399</v>
      </c>
      <c r="C4571" s="34" t="s">
        <v>5288</v>
      </c>
    </row>
    <row r="4572" spans="1:3" ht="15.75" customHeight="1" x14ac:dyDescent="0.2">
      <c r="A4572" s="42">
        <v>4937</v>
      </c>
      <c r="B4572" s="42">
        <v>17399</v>
      </c>
      <c r="C4572" s="34" t="s">
        <v>5289</v>
      </c>
    </row>
    <row r="4573" spans="1:3" ht="15.75" customHeight="1" x14ac:dyDescent="0.2">
      <c r="A4573" s="42">
        <v>4938</v>
      </c>
      <c r="B4573" s="42">
        <v>17399</v>
      </c>
      <c r="C4573" s="34" t="s">
        <v>5290</v>
      </c>
    </row>
    <row r="4574" spans="1:3" ht="15.75" customHeight="1" x14ac:dyDescent="0.2">
      <c r="A4574" s="42">
        <v>4939</v>
      </c>
      <c r="B4574" s="42">
        <v>17399</v>
      </c>
      <c r="C4574" s="34" t="s">
        <v>5291</v>
      </c>
    </row>
    <row r="4575" spans="1:3" ht="15.75" customHeight="1" x14ac:dyDescent="0.2">
      <c r="A4575" s="42">
        <v>4940</v>
      </c>
      <c r="B4575" s="42">
        <v>17399</v>
      </c>
      <c r="C4575" s="34" t="s">
        <v>5292</v>
      </c>
    </row>
    <row r="4576" spans="1:3" ht="15.75" customHeight="1" x14ac:dyDescent="0.2">
      <c r="A4576" s="42">
        <v>4941</v>
      </c>
      <c r="B4576" s="42">
        <v>17399</v>
      </c>
      <c r="C4576" s="34" t="s">
        <v>5293</v>
      </c>
    </row>
    <row r="4577" spans="1:3" ht="15.75" customHeight="1" x14ac:dyDescent="0.2">
      <c r="A4577" s="42">
        <v>4942</v>
      </c>
      <c r="B4577" s="42">
        <v>17399</v>
      </c>
      <c r="C4577" s="34" t="s">
        <v>5294</v>
      </c>
    </row>
    <row r="4578" spans="1:3" ht="15.75" customHeight="1" x14ac:dyDescent="0.2">
      <c r="A4578" s="42">
        <v>4943</v>
      </c>
      <c r="B4578" s="42">
        <v>17399</v>
      </c>
      <c r="C4578" s="34" t="s">
        <v>5295</v>
      </c>
    </row>
    <row r="4579" spans="1:3" ht="15.75" customHeight="1" x14ac:dyDescent="0.2">
      <c r="A4579" s="42">
        <v>4944</v>
      </c>
      <c r="B4579" s="42">
        <v>17399</v>
      </c>
      <c r="C4579" s="34" t="s">
        <v>5296</v>
      </c>
    </row>
    <row r="4580" spans="1:3" ht="15.75" customHeight="1" x14ac:dyDescent="0.2">
      <c r="A4580" s="42">
        <v>4945</v>
      </c>
      <c r="B4580" s="42">
        <v>17399</v>
      </c>
      <c r="C4580" s="34" t="s">
        <v>5297</v>
      </c>
    </row>
    <row r="4581" spans="1:3" ht="15.75" customHeight="1" x14ac:dyDescent="0.2">
      <c r="A4581" s="42">
        <v>4946</v>
      </c>
      <c r="B4581" s="42">
        <v>17399</v>
      </c>
      <c r="C4581" s="34" t="s">
        <v>5298</v>
      </c>
    </row>
    <row r="4582" spans="1:3" ht="15.75" customHeight="1" x14ac:dyDescent="0.2">
      <c r="A4582" s="42">
        <v>4947</v>
      </c>
      <c r="B4582" s="42">
        <v>17399</v>
      </c>
      <c r="C4582" s="34" t="s">
        <v>5299</v>
      </c>
    </row>
    <row r="4583" spans="1:3" ht="15.75" customHeight="1" x14ac:dyDescent="0.2">
      <c r="A4583" s="42">
        <v>4948</v>
      </c>
      <c r="B4583" s="42">
        <v>17399</v>
      </c>
      <c r="C4583" s="34" t="s">
        <v>5300</v>
      </c>
    </row>
    <row r="4584" spans="1:3" ht="15.75" customHeight="1" x14ac:dyDescent="0.2">
      <c r="A4584" s="42">
        <v>4949</v>
      </c>
      <c r="B4584" s="42">
        <v>17399</v>
      </c>
      <c r="C4584" s="34" t="s">
        <v>5301</v>
      </c>
    </row>
    <row r="4585" spans="1:3" ht="15.75" customHeight="1" x14ac:dyDescent="0.2">
      <c r="A4585" s="42">
        <v>4950</v>
      </c>
      <c r="B4585" s="42">
        <v>17400</v>
      </c>
      <c r="C4585" s="34" t="s">
        <v>5302</v>
      </c>
    </row>
    <row r="4586" spans="1:3" ht="15.75" customHeight="1" x14ac:dyDescent="0.2">
      <c r="A4586" s="42">
        <v>4951</v>
      </c>
      <c r="B4586" s="42">
        <v>17400</v>
      </c>
      <c r="C4586" s="34" t="s">
        <v>5303</v>
      </c>
    </row>
    <row r="4587" spans="1:3" ht="15.75" customHeight="1" x14ac:dyDescent="0.2">
      <c r="A4587" s="42">
        <v>4952</v>
      </c>
      <c r="B4587" s="42">
        <v>17400</v>
      </c>
      <c r="C4587" s="34" t="s">
        <v>5304</v>
      </c>
    </row>
    <row r="4588" spans="1:3" ht="15.75" customHeight="1" x14ac:dyDescent="0.2">
      <c r="A4588" s="42">
        <v>4953</v>
      </c>
      <c r="B4588" s="42">
        <v>17400</v>
      </c>
      <c r="C4588" s="34" t="s">
        <v>5305</v>
      </c>
    </row>
    <row r="4589" spans="1:3" ht="15.75" customHeight="1" x14ac:dyDescent="0.2">
      <c r="A4589" s="42">
        <v>4954</v>
      </c>
      <c r="B4589" s="42">
        <v>17400</v>
      </c>
      <c r="C4589" s="34" t="s">
        <v>5306</v>
      </c>
    </row>
    <row r="4590" spans="1:3" ht="15.75" customHeight="1" x14ac:dyDescent="0.2">
      <c r="A4590" s="42">
        <v>4955</v>
      </c>
      <c r="B4590" s="42">
        <v>17400</v>
      </c>
      <c r="C4590" s="34" t="s">
        <v>5307</v>
      </c>
    </row>
    <row r="4591" spans="1:3" ht="15.75" customHeight="1" x14ac:dyDescent="0.2">
      <c r="A4591" s="42">
        <v>4956</v>
      </c>
      <c r="B4591" s="42">
        <v>17400</v>
      </c>
      <c r="C4591" s="34" t="s">
        <v>5308</v>
      </c>
    </row>
    <row r="4592" spans="1:3" ht="15.75" customHeight="1" x14ac:dyDescent="0.2">
      <c r="A4592" s="42">
        <v>4957</v>
      </c>
      <c r="B4592" s="42">
        <v>17400</v>
      </c>
      <c r="C4592" s="34" t="s">
        <v>5309</v>
      </c>
    </row>
    <row r="4593" spans="1:3" ht="15.75" customHeight="1" x14ac:dyDescent="0.2">
      <c r="A4593" s="42">
        <v>4958</v>
      </c>
      <c r="B4593" s="42">
        <v>17400</v>
      </c>
      <c r="C4593" s="34" t="s">
        <v>5310</v>
      </c>
    </row>
    <row r="4594" spans="1:3" ht="15.75" customHeight="1" x14ac:dyDescent="0.2">
      <c r="A4594" s="42">
        <v>4959</v>
      </c>
      <c r="B4594" s="42">
        <v>17400</v>
      </c>
      <c r="C4594" s="34" t="s">
        <v>5311</v>
      </c>
    </row>
    <row r="4595" spans="1:3" ht="15.75" customHeight="1" x14ac:dyDescent="0.2">
      <c r="A4595" s="42">
        <v>4960</v>
      </c>
      <c r="B4595" s="42">
        <v>17400</v>
      </c>
      <c r="C4595" s="34" t="s">
        <v>5312</v>
      </c>
    </row>
    <row r="4596" spans="1:3" ht="15.75" customHeight="1" x14ac:dyDescent="0.2">
      <c r="A4596" s="42">
        <v>4961</v>
      </c>
      <c r="B4596" s="42">
        <v>17400</v>
      </c>
      <c r="C4596" s="34" t="s">
        <v>5313</v>
      </c>
    </row>
    <row r="4597" spans="1:3" ht="15.75" customHeight="1" x14ac:dyDescent="0.2">
      <c r="A4597" s="42">
        <v>4962</v>
      </c>
      <c r="B4597" s="42">
        <v>17400</v>
      </c>
      <c r="C4597" s="34" t="s">
        <v>5314</v>
      </c>
    </row>
    <row r="4598" spans="1:3" ht="15.75" customHeight="1" x14ac:dyDescent="0.2">
      <c r="A4598" s="42">
        <v>4963</v>
      </c>
      <c r="B4598" s="42">
        <v>17400</v>
      </c>
      <c r="C4598" s="34" t="s">
        <v>5315</v>
      </c>
    </row>
    <row r="4599" spans="1:3" ht="15.75" customHeight="1" x14ac:dyDescent="0.2">
      <c r="A4599" s="42">
        <v>4964</v>
      </c>
      <c r="B4599" s="42">
        <v>17400</v>
      </c>
      <c r="C4599" s="34" t="s">
        <v>5316</v>
      </c>
    </row>
    <row r="4600" spans="1:3" ht="15.75" customHeight="1" x14ac:dyDescent="0.2">
      <c r="A4600" s="42">
        <v>4965</v>
      </c>
      <c r="B4600" s="42">
        <v>17400</v>
      </c>
      <c r="C4600" s="34" t="s">
        <v>5317</v>
      </c>
    </row>
    <row r="4601" spans="1:3" ht="15.75" customHeight="1" x14ac:dyDescent="0.2">
      <c r="A4601" s="42">
        <v>4966</v>
      </c>
      <c r="B4601" s="42">
        <v>17400</v>
      </c>
      <c r="C4601" s="34" t="s">
        <v>5318</v>
      </c>
    </row>
    <row r="4602" spans="1:3" ht="15.75" customHeight="1" x14ac:dyDescent="0.2">
      <c r="A4602" s="42">
        <v>4967</v>
      </c>
      <c r="B4602" s="42">
        <v>17400</v>
      </c>
      <c r="C4602" s="34" t="s">
        <v>5319</v>
      </c>
    </row>
    <row r="4603" spans="1:3" ht="15.75" customHeight="1" x14ac:dyDescent="0.2">
      <c r="A4603" s="42">
        <v>4968</v>
      </c>
      <c r="B4603" s="42">
        <v>17400</v>
      </c>
      <c r="C4603" s="34" t="s">
        <v>5320</v>
      </c>
    </row>
    <row r="4604" spans="1:3" ht="15.75" customHeight="1" x14ac:dyDescent="0.2">
      <c r="A4604" s="42">
        <v>4969</v>
      </c>
      <c r="B4604" s="42">
        <v>17400</v>
      </c>
      <c r="C4604" s="34" t="s">
        <v>5321</v>
      </c>
    </row>
    <row r="4605" spans="1:3" ht="15.75" customHeight="1" x14ac:dyDescent="0.2">
      <c r="A4605" s="42">
        <v>4970</v>
      </c>
      <c r="B4605" s="42">
        <v>17400</v>
      </c>
      <c r="C4605" s="34" t="s">
        <v>5322</v>
      </c>
    </row>
    <row r="4606" spans="1:3" ht="15.75" customHeight="1" x14ac:dyDescent="0.2">
      <c r="A4606" s="42">
        <v>4971</v>
      </c>
      <c r="B4606" s="42">
        <v>17400</v>
      </c>
      <c r="C4606" s="34" t="s">
        <v>5323</v>
      </c>
    </row>
    <row r="4607" spans="1:3" ht="15.75" customHeight="1" x14ac:dyDescent="0.2">
      <c r="A4607" s="42">
        <v>4972</v>
      </c>
      <c r="B4607" s="42">
        <v>17400</v>
      </c>
      <c r="C4607" s="34" t="s">
        <v>5324</v>
      </c>
    </row>
    <row r="4608" spans="1:3" ht="15.75" customHeight="1" x14ac:dyDescent="0.2">
      <c r="A4608" s="42">
        <v>4973</v>
      </c>
      <c r="B4608" s="42">
        <v>17400</v>
      </c>
      <c r="C4608" s="34" t="s">
        <v>5325</v>
      </c>
    </row>
    <row r="4609" spans="1:3" ht="15.75" customHeight="1" x14ac:dyDescent="0.2">
      <c r="A4609" s="42">
        <v>4974</v>
      </c>
      <c r="B4609" s="42">
        <v>17400</v>
      </c>
      <c r="C4609" s="34" t="s">
        <v>5326</v>
      </c>
    </row>
    <row r="4610" spans="1:3" ht="15.75" customHeight="1" x14ac:dyDescent="0.2">
      <c r="A4610" s="42">
        <v>4975</v>
      </c>
      <c r="B4610" s="42">
        <v>17400</v>
      </c>
      <c r="C4610" s="34" t="s">
        <v>5327</v>
      </c>
    </row>
    <row r="4611" spans="1:3" ht="15.75" customHeight="1" x14ac:dyDescent="0.2">
      <c r="A4611" s="42">
        <v>4976</v>
      </c>
      <c r="B4611" s="42">
        <v>17400</v>
      </c>
      <c r="C4611" s="34" t="s">
        <v>5328</v>
      </c>
    </row>
    <row r="4612" spans="1:3" ht="15.75" customHeight="1" x14ac:dyDescent="0.2">
      <c r="A4612" s="42">
        <v>4977</v>
      </c>
      <c r="B4612" s="42">
        <v>17400</v>
      </c>
      <c r="C4612" s="34" t="s">
        <v>5329</v>
      </c>
    </row>
    <row r="4613" spans="1:3" ht="15.75" customHeight="1" x14ac:dyDescent="0.2">
      <c r="A4613" s="42">
        <v>4978</v>
      </c>
      <c r="B4613" s="42">
        <v>17400</v>
      </c>
      <c r="C4613" s="34" t="s">
        <v>5330</v>
      </c>
    </row>
    <row r="4614" spans="1:3" ht="15.75" customHeight="1" x14ac:dyDescent="0.2">
      <c r="A4614" s="42">
        <v>4979</v>
      </c>
      <c r="B4614" s="42">
        <v>17400</v>
      </c>
      <c r="C4614" s="34" t="s">
        <v>5331</v>
      </c>
    </row>
    <row r="4615" spans="1:3" ht="15.75" customHeight="1" x14ac:dyDescent="0.2">
      <c r="A4615" s="42">
        <v>4980</v>
      </c>
      <c r="B4615" s="42">
        <v>17400</v>
      </c>
      <c r="C4615" s="34" t="s">
        <v>5332</v>
      </c>
    </row>
    <row r="4616" spans="1:3" ht="15.75" customHeight="1" x14ac:dyDescent="0.2">
      <c r="A4616" s="42">
        <v>4981</v>
      </c>
      <c r="B4616" s="42">
        <v>17400</v>
      </c>
      <c r="C4616" s="34" t="s">
        <v>5333</v>
      </c>
    </row>
    <row r="4617" spans="1:3" ht="15.75" customHeight="1" x14ac:dyDescent="0.2">
      <c r="A4617" s="42">
        <v>4982</v>
      </c>
      <c r="B4617" s="42">
        <v>17400</v>
      </c>
      <c r="C4617" s="34" t="s">
        <v>5334</v>
      </c>
    </row>
    <row r="4618" spans="1:3" ht="15.75" customHeight="1" x14ac:dyDescent="0.2">
      <c r="A4618" s="42">
        <v>4983</v>
      </c>
      <c r="B4618" s="42">
        <v>17400</v>
      </c>
      <c r="C4618" s="34" t="s">
        <v>5335</v>
      </c>
    </row>
    <row r="4619" spans="1:3" ht="15.75" customHeight="1" x14ac:dyDescent="0.2">
      <c r="A4619" s="42">
        <v>4984</v>
      </c>
      <c r="B4619" s="42">
        <v>17400</v>
      </c>
      <c r="C4619" s="34" t="s">
        <v>5336</v>
      </c>
    </row>
    <row r="4620" spans="1:3" ht="15.75" customHeight="1" x14ac:dyDescent="0.2">
      <c r="A4620" s="42">
        <v>4985</v>
      </c>
      <c r="B4620" s="42">
        <v>17400</v>
      </c>
      <c r="C4620" s="34" t="s">
        <v>5337</v>
      </c>
    </row>
    <row r="4621" spans="1:3" ht="15.75" customHeight="1" x14ac:dyDescent="0.2">
      <c r="A4621" s="42">
        <v>4986</v>
      </c>
      <c r="B4621" s="42">
        <v>17400</v>
      </c>
      <c r="C4621" s="34" t="s">
        <v>5338</v>
      </c>
    </row>
    <row r="4622" spans="1:3" ht="15.75" customHeight="1" x14ac:dyDescent="0.2">
      <c r="A4622" s="42">
        <v>4987</v>
      </c>
      <c r="B4622" s="42">
        <v>17400</v>
      </c>
      <c r="C4622" s="34" t="s">
        <v>5318</v>
      </c>
    </row>
    <row r="4623" spans="1:3" ht="15.75" customHeight="1" x14ac:dyDescent="0.2">
      <c r="A4623" s="42">
        <v>4988</v>
      </c>
      <c r="B4623" s="42">
        <v>17400</v>
      </c>
      <c r="C4623" s="34" t="s">
        <v>5339</v>
      </c>
    </row>
    <row r="4624" spans="1:3" ht="15.75" customHeight="1" x14ac:dyDescent="0.2">
      <c r="A4624" s="42">
        <v>4989</v>
      </c>
      <c r="B4624" s="42">
        <v>17400</v>
      </c>
      <c r="C4624" s="34" t="s">
        <v>5340</v>
      </c>
    </row>
    <row r="4625" spans="1:3" ht="15.75" customHeight="1" x14ac:dyDescent="0.2">
      <c r="A4625" s="42">
        <v>4990</v>
      </c>
      <c r="B4625" s="42">
        <v>17400</v>
      </c>
      <c r="C4625" s="34" t="s">
        <v>5341</v>
      </c>
    </row>
    <row r="4626" spans="1:3" ht="15.75" customHeight="1" x14ac:dyDescent="0.2">
      <c r="A4626" s="42">
        <v>4991</v>
      </c>
      <c r="B4626" s="42">
        <v>17400</v>
      </c>
      <c r="C4626" s="34" t="s">
        <v>5342</v>
      </c>
    </row>
    <row r="4627" spans="1:3" ht="15.75" customHeight="1" x14ac:dyDescent="0.2">
      <c r="A4627" s="42">
        <v>4992</v>
      </c>
      <c r="B4627" s="42">
        <v>17400</v>
      </c>
      <c r="C4627" s="34" t="s">
        <v>5343</v>
      </c>
    </row>
    <row r="4628" spans="1:3" ht="15.75" customHeight="1" x14ac:dyDescent="0.2">
      <c r="A4628" s="42">
        <v>4993</v>
      </c>
      <c r="B4628" s="42">
        <v>17400</v>
      </c>
      <c r="C4628" s="34" t="s">
        <v>5344</v>
      </c>
    </row>
    <row r="4629" spans="1:3" ht="15.75" customHeight="1" x14ac:dyDescent="0.2">
      <c r="A4629" s="42">
        <v>4994</v>
      </c>
      <c r="B4629" s="42">
        <v>17400</v>
      </c>
      <c r="C4629" s="34" t="s">
        <v>5345</v>
      </c>
    </row>
    <row r="4630" spans="1:3" ht="15.75" customHeight="1" x14ac:dyDescent="0.2">
      <c r="A4630" s="42">
        <v>4995</v>
      </c>
      <c r="B4630" s="42">
        <v>17400</v>
      </c>
      <c r="C4630" s="34" t="s">
        <v>5346</v>
      </c>
    </row>
    <row r="4631" spans="1:3" ht="15.75" customHeight="1" x14ac:dyDescent="0.2">
      <c r="A4631" s="42">
        <v>4996</v>
      </c>
      <c r="B4631" s="42">
        <v>17400</v>
      </c>
      <c r="C4631" s="34" t="s">
        <v>5347</v>
      </c>
    </row>
    <row r="4632" spans="1:3" ht="15.75" customHeight="1" x14ac:dyDescent="0.2">
      <c r="A4632" s="42">
        <v>4997</v>
      </c>
      <c r="B4632" s="42">
        <v>17400</v>
      </c>
      <c r="C4632" s="34" t="s">
        <v>5311</v>
      </c>
    </row>
    <row r="4633" spans="1:3" ht="15.75" customHeight="1" x14ac:dyDescent="0.2">
      <c r="A4633" s="42">
        <v>4998</v>
      </c>
      <c r="B4633" s="42">
        <v>17400</v>
      </c>
      <c r="C4633" s="34" t="s">
        <v>5348</v>
      </c>
    </row>
    <row r="4634" spans="1:3" ht="15.75" customHeight="1" x14ac:dyDescent="0.2">
      <c r="A4634" s="42">
        <v>4999</v>
      </c>
      <c r="B4634" s="42">
        <v>17400</v>
      </c>
      <c r="C4634" s="34" t="s">
        <v>5349</v>
      </c>
    </row>
    <row r="4635" spans="1:3" ht="15.75" customHeight="1" x14ac:dyDescent="0.2">
      <c r="A4635" s="42">
        <v>5000</v>
      </c>
      <c r="B4635" s="42">
        <v>17400</v>
      </c>
      <c r="C4635" s="34" t="s">
        <v>5350</v>
      </c>
    </row>
    <row r="4636" spans="1:3" ht="15.75" customHeight="1" x14ac:dyDescent="0.2">
      <c r="A4636" s="42">
        <v>5001</v>
      </c>
      <c r="B4636" s="42">
        <v>17400</v>
      </c>
      <c r="C4636" s="34" t="s">
        <v>5351</v>
      </c>
    </row>
    <row r="4637" spans="1:3" ht="15.75" customHeight="1" x14ac:dyDescent="0.2">
      <c r="A4637" s="42">
        <v>5002</v>
      </c>
      <c r="B4637" s="42">
        <v>17400</v>
      </c>
      <c r="C4637" s="34" t="s">
        <v>5352</v>
      </c>
    </row>
    <row r="4638" spans="1:3" ht="15.75" customHeight="1" x14ac:dyDescent="0.2">
      <c r="A4638" s="42">
        <v>5003</v>
      </c>
      <c r="B4638" s="42">
        <v>17400</v>
      </c>
      <c r="C4638" s="34" t="s">
        <v>5353</v>
      </c>
    </row>
    <row r="4639" spans="1:3" ht="15.75" customHeight="1" x14ac:dyDescent="0.2">
      <c r="A4639" s="42">
        <v>5004</v>
      </c>
      <c r="B4639" s="42">
        <v>17400</v>
      </c>
      <c r="C4639" s="34" t="s">
        <v>5354</v>
      </c>
    </row>
    <row r="4640" spans="1:3" ht="15.75" customHeight="1" x14ac:dyDescent="0.2">
      <c r="A4640" s="42">
        <v>5005</v>
      </c>
      <c r="B4640" s="42">
        <v>17400</v>
      </c>
      <c r="C4640" s="34" t="s">
        <v>5355</v>
      </c>
    </row>
    <row r="4641" spans="1:3" ht="15.75" customHeight="1" x14ac:dyDescent="0.2">
      <c r="A4641" s="42">
        <v>5006</v>
      </c>
      <c r="B4641" s="42">
        <v>17400</v>
      </c>
      <c r="C4641" s="34" t="s">
        <v>5356</v>
      </c>
    </row>
    <row r="4642" spans="1:3" ht="15.75" customHeight="1" x14ac:dyDescent="0.2">
      <c r="A4642" s="42">
        <v>5007</v>
      </c>
      <c r="B4642" s="42">
        <v>17400</v>
      </c>
      <c r="C4642" s="34" t="s">
        <v>5357</v>
      </c>
    </row>
    <row r="4643" spans="1:3" ht="15.75" customHeight="1" x14ac:dyDescent="0.2">
      <c r="A4643" s="42">
        <v>5008</v>
      </c>
      <c r="B4643" s="42">
        <v>17400</v>
      </c>
      <c r="C4643" s="34" t="s">
        <v>5358</v>
      </c>
    </row>
    <row r="4644" spans="1:3" ht="15.75" customHeight="1" x14ac:dyDescent="0.2">
      <c r="A4644" s="42">
        <v>5009</v>
      </c>
      <c r="B4644" s="42">
        <v>17400</v>
      </c>
      <c r="C4644" s="34" t="s">
        <v>5359</v>
      </c>
    </row>
    <row r="4645" spans="1:3" ht="15.75" customHeight="1" x14ac:dyDescent="0.2">
      <c r="A4645" s="42">
        <v>5010</v>
      </c>
      <c r="B4645" s="42">
        <v>17400</v>
      </c>
      <c r="C4645" s="34" t="s">
        <v>5360</v>
      </c>
    </row>
    <row r="4646" spans="1:3" ht="15.75" customHeight="1" x14ac:dyDescent="0.2">
      <c r="A4646" s="42">
        <v>5011</v>
      </c>
      <c r="B4646" s="42">
        <v>17400</v>
      </c>
      <c r="C4646" s="34" t="s">
        <v>5361</v>
      </c>
    </row>
    <row r="4647" spans="1:3" ht="15.75" customHeight="1" x14ac:dyDescent="0.2">
      <c r="A4647" s="42">
        <v>5012</v>
      </c>
      <c r="B4647" s="42">
        <v>17400</v>
      </c>
      <c r="C4647" s="34" t="s">
        <v>5362</v>
      </c>
    </row>
    <row r="4648" spans="1:3" ht="15.75" customHeight="1" x14ac:dyDescent="0.2">
      <c r="A4648" s="42">
        <v>5013</v>
      </c>
      <c r="B4648" s="42">
        <v>17400</v>
      </c>
      <c r="C4648" s="34" t="s">
        <v>5363</v>
      </c>
    </row>
    <row r="4649" spans="1:3" ht="15.75" customHeight="1" x14ac:dyDescent="0.2">
      <c r="A4649" s="42">
        <v>5014</v>
      </c>
      <c r="B4649" s="42">
        <v>17400</v>
      </c>
      <c r="C4649" s="34" t="s">
        <v>5364</v>
      </c>
    </row>
    <row r="4650" spans="1:3" ht="15.75" customHeight="1" x14ac:dyDescent="0.2">
      <c r="A4650" s="42">
        <v>5015</v>
      </c>
      <c r="B4650" s="42">
        <v>17400</v>
      </c>
      <c r="C4650" s="34" t="s">
        <v>5365</v>
      </c>
    </row>
    <row r="4651" spans="1:3" ht="15.75" customHeight="1" x14ac:dyDescent="0.2">
      <c r="A4651" s="42">
        <v>5016</v>
      </c>
      <c r="B4651" s="42">
        <v>17400</v>
      </c>
      <c r="C4651" s="34" t="s">
        <v>5366</v>
      </c>
    </row>
    <row r="4652" spans="1:3" ht="15.75" customHeight="1" x14ac:dyDescent="0.2">
      <c r="A4652" s="42">
        <v>5017</v>
      </c>
      <c r="B4652" s="42">
        <v>17400</v>
      </c>
      <c r="C4652" s="34" t="s">
        <v>5367</v>
      </c>
    </row>
    <row r="4653" spans="1:3" ht="15.75" customHeight="1" x14ac:dyDescent="0.2">
      <c r="A4653" s="42">
        <v>5018</v>
      </c>
      <c r="B4653" s="42">
        <v>17400</v>
      </c>
      <c r="C4653" s="34" t="s">
        <v>5368</v>
      </c>
    </row>
    <row r="4654" spans="1:3" ht="15.75" customHeight="1" x14ac:dyDescent="0.2">
      <c r="A4654" s="42">
        <v>5019</v>
      </c>
      <c r="B4654" s="42">
        <v>17400</v>
      </c>
      <c r="C4654" s="34" t="s">
        <v>5369</v>
      </c>
    </row>
    <row r="4655" spans="1:3" ht="15.75" customHeight="1" x14ac:dyDescent="0.2">
      <c r="A4655" s="42">
        <v>5020</v>
      </c>
      <c r="B4655" s="42">
        <v>17400</v>
      </c>
      <c r="C4655" s="34" t="s">
        <v>5370</v>
      </c>
    </row>
    <row r="4656" spans="1:3" ht="15.75" customHeight="1" x14ac:dyDescent="0.2">
      <c r="A4656" s="42">
        <v>5021</v>
      </c>
      <c r="B4656" s="42">
        <v>17400</v>
      </c>
      <c r="C4656" s="34" t="s">
        <v>5371</v>
      </c>
    </row>
    <row r="4657" spans="1:3" ht="15.75" customHeight="1" x14ac:dyDescent="0.2">
      <c r="A4657" s="42">
        <v>5022</v>
      </c>
      <c r="B4657" s="42">
        <v>17400</v>
      </c>
      <c r="C4657" s="34" t="s">
        <v>5372</v>
      </c>
    </row>
    <row r="4658" spans="1:3" ht="15.75" customHeight="1" x14ac:dyDescent="0.2">
      <c r="A4658" s="42">
        <v>5023</v>
      </c>
      <c r="B4658" s="42">
        <v>17400</v>
      </c>
      <c r="C4658" s="34" t="s">
        <v>5373</v>
      </c>
    </row>
    <row r="4659" spans="1:3" ht="15.75" customHeight="1" x14ac:dyDescent="0.2">
      <c r="A4659" s="42">
        <v>5024</v>
      </c>
      <c r="B4659" s="42">
        <v>17400</v>
      </c>
      <c r="C4659" s="34" t="s">
        <v>5374</v>
      </c>
    </row>
    <row r="4660" spans="1:3" ht="15.75" customHeight="1" x14ac:dyDescent="0.2">
      <c r="A4660" s="42">
        <v>5025</v>
      </c>
      <c r="B4660" s="42">
        <v>17405</v>
      </c>
      <c r="C4660" s="34" t="s">
        <v>5375</v>
      </c>
    </row>
    <row r="4661" spans="1:3" ht="15.75" customHeight="1" x14ac:dyDescent="0.2">
      <c r="A4661" s="42">
        <v>5026</v>
      </c>
      <c r="B4661" s="42">
        <v>17405</v>
      </c>
      <c r="C4661" s="34" t="s">
        <v>5376</v>
      </c>
    </row>
    <row r="4662" spans="1:3" ht="15.75" customHeight="1" x14ac:dyDescent="0.2">
      <c r="A4662" s="42">
        <v>5027</v>
      </c>
      <c r="B4662" s="42">
        <v>17405</v>
      </c>
      <c r="C4662" s="34" t="s">
        <v>5377</v>
      </c>
    </row>
    <row r="4663" spans="1:3" ht="15.75" customHeight="1" x14ac:dyDescent="0.2">
      <c r="A4663" s="42">
        <v>5028</v>
      </c>
      <c r="B4663" s="42">
        <v>17405</v>
      </c>
      <c r="C4663" s="34" t="s">
        <v>5378</v>
      </c>
    </row>
    <row r="4664" spans="1:3" ht="15.75" customHeight="1" x14ac:dyDescent="0.2">
      <c r="A4664" s="42">
        <v>5029</v>
      </c>
      <c r="B4664" s="42">
        <v>17405</v>
      </c>
      <c r="C4664" s="34" t="s">
        <v>5379</v>
      </c>
    </row>
    <row r="4665" spans="1:3" ht="15.75" customHeight="1" x14ac:dyDescent="0.2">
      <c r="A4665" s="42">
        <v>5030</v>
      </c>
      <c r="B4665" s="42">
        <v>17405</v>
      </c>
      <c r="C4665" s="34" t="s">
        <v>5380</v>
      </c>
    </row>
    <row r="4666" spans="1:3" ht="15.75" customHeight="1" x14ac:dyDescent="0.2">
      <c r="A4666" s="42">
        <v>5031</v>
      </c>
      <c r="B4666" s="42">
        <v>17405</v>
      </c>
      <c r="C4666" s="34" t="s">
        <v>5381</v>
      </c>
    </row>
    <row r="4667" spans="1:3" ht="15.75" customHeight="1" x14ac:dyDescent="0.2">
      <c r="A4667" s="42">
        <v>5032</v>
      </c>
      <c r="B4667" s="42">
        <v>17405</v>
      </c>
      <c r="C4667" s="34" t="s">
        <v>5382</v>
      </c>
    </row>
    <row r="4668" spans="1:3" ht="15.75" customHeight="1" x14ac:dyDescent="0.2">
      <c r="A4668" s="42">
        <v>5033</v>
      </c>
      <c r="B4668" s="42">
        <v>17405</v>
      </c>
      <c r="C4668" s="34" t="s">
        <v>5383</v>
      </c>
    </row>
    <row r="4669" spans="1:3" ht="15.75" customHeight="1" x14ac:dyDescent="0.2">
      <c r="A4669" s="42">
        <v>5034</v>
      </c>
      <c r="B4669" s="42">
        <v>17405</v>
      </c>
      <c r="C4669" s="34" t="s">
        <v>5384</v>
      </c>
    </row>
    <row r="4670" spans="1:3" ht="15.75" customHeight="1" x14ac:dyDescent="0.2">
      <c r="A4670" s="42">
        <v>5035</v>
      </c>
      <c r="B4670" s="42">
        <v>17405</v>
      </c>
      <c r="C4670" s="34" t="s">
        <v>5385</v>
      </c>
    </row>
    <row r="4671" spans="1:3" ht="15.75" customHeight="1" x14ac:dyDescent="0.2">
      <c r="A4671" s="42">
        <v>5036</v>
      </c>
      <c r="B4671" s="42">
        <v>17405</v>
      </c>
      <c r="C4671" s="34" t="s">
        <v>5386</v>
      </c>
    </row>
    <row r="4672" spans="1:3" ht="15.75" customHeight="1" x14ac:dyDescent="0.2">
      <c r="A4672" s="42">
        <v>5037</v>
      </c>
      <c r="B4672" s="42">
        <v>17405</v>
      </c>
      <c r="C4672" s="34" t="s">
        <v>5387</v>
      </c>
    </row>
    <row r="4673" spans="1:3" ht="15.75" customHeight="1" x14ac:dyDescent="0.2">
      <c r="A4673" s="42">
        <v>5038</v>
      </c>
      <c r="B4673" s="42">
        <v>17405</v>
      </c>
      <c r="C4673" s="34" t="s">
        <v>5388</v>
      </c>
    </row>
    <row r="4674" spans="1:3" ht="15.75" customHeight="1" x14ac:dyDescent="0.2">
      <c r="A4674" s="42">
        <v>5039</v>
      </c>
      <c r="B4674" s="42">
        <v>17405</v>
      </c>
      <c r="C4674" s="34" t="s">
        <v>5389</v>
      </c>
    </row>
    <row r="4675" spans="1:3" ht="15.75" customHeight="1" x14ac:dyDescent="0.2">
      <c r="A4675" s="42">
        <v>5040</v>
      </c>
      <c r="B4675" s="42">
        <v>17405</v>
      </c>
      <c r="C4675" s="34" t="s">
        <v>5390</v>
      </c>
    </row>
    <row r="4676" spans="1:3" ht="15.75" customHeight="1" x14ac:dyDescent="0.2">
      <c r="A4676" s="42">
        <v>5041</v>
      </c>
      <c r="B4676" s="42">
        <v>17405</v>
      </c>
      <c r="C4676" s="34" t="s">
        <v>5391</v>
      </c>
    </row>
    <row r="4677" spans="1:3" ht="15.75" customHeight="1" x14ac:dyDescent="0.2">
      <c r="A4677" s="42">
        <v>5042</v>
      </c>
      <c r="B4677" s="42">
        <v>17405</v>
      </c>
      <c r="C4677" s="34" t="s">
        <v>5392</v>
      </c>
    </row>
    <row r="4678" spans="1:3" ht="15.75" customHeight="1" x14ac:dyDescent="0.2">
      <c r="A4678" s="42">
        <v>5043</v>
      </c>
      <c r="B4678" s="42">
        <v>17405</v>
      </c>
      <c r="C4678" s="34" t="s">
        <v>5384</v>
      </c>
    </row>
    <row r="4679" spans="1:3" ht="15.75" customHeight="1" x14ac:dyDescent="0.2">
      <c r="A4679" s="42">
        <v>5044</v>
      </c>
      <c r="B4679" s="42">
        <v>17405</v>
      </c>
      <c r="C4679" s="34" t="s">
        <v>5393</v>
      </c>
    </row>
    <row r="4680" spans="1:3" ht="15.75" customHeight="1" x14ac:dyDescent="0.2">
      <c r="A4680" s="42">
        <v>5045</v>
      </c>
      <c r="B4680" s="42">
        <v>17405</v>
      </c>
      <c r="C4680" s="34" t="s">
        <v>5394</v>
      </c>
    </row>
    <row r="4681" spans="1:3" ht="15.75" customHeight="1" x14ac:dyDescent="0.2">
      <c r="A4681" s="42">
        <v>5046</v>
      </c>
      <c r="B4681" s="42">
        <v>17405</v>
      </c>
      <c r="C4681" s="34" t="s">
        <v>5395</v>
      </c>
    </row>
    <row r="4682" spans="1:3" ht="15.75" customHeight="1" x14ac:dyDescent="0.2">
      <c r="A4682" s="42">
        <v>5047</v>
      </c>
      <c r="B4682" s="42">
        <v>17405</v>
      </c>
      <c r="C4682" s="34" t="s">
        <v>5396</v>
      </c>
    </row>
    <row r="4683" spans="1:3" ht="15.75" customHeight="1" x14ac:dyDescent="0.2">
      <c r="A4683" s="42">
        <v>5048</v>
      </c>
      <c r="B4683" s="42">
        <v>17405</v>
      </c>
      <c r="C4683" s="34" t="s">
        <v>5397</v>
      </c>
    </row>
    <row r="4684" spans="1:3" ht="15.75" customHeight="1" x14ac:dyDescent="0.2">
      <c r="A4684" s="42">
        <v>5049</v>
      </c>
      <c r="B4684" s="42">
        <v>17405</v>
      </c>
      <c r="C4684" s="34" t="s">
        <v>5398</v>
      </c>
    </row>
    <row r="4685" spans="1:3" ht="15.75" customHeight="1" x14ac:dyDescent="0.2">
      <c r="A4685" s="42">
        <v>5050</v>
      </c>
      <c r="B4685" s="42">
        <v>17405</v>
      </c>
      <c r="C4685" s="34" t="s">
        <v>5391</v>
      </c>
    </row>
    <row r="4686" spans="1:3" ht="15.75" customHeight="1" x14ac:dyDescent="0.2">
      <c r="A4686" s="42">
        <v>5051</v>
      </c>
      <c r="B4686" s="42">
        <v>17405</v>
      </c>
      <c r="C4686" s="34" t="s">
        <v>5399</v>
      </c>
    </row>
    <row r="4687" spans="1:3" ht="15.75" customHeight="1" x14ac:dyDescent="0.2">
      <c r="A4687" s="42">
        <v>5052</v>
      </c>
      <c r="B4687" s="42">
        <v>17405</v>
      </c>
      <c r="C4687" s="34" t="s">
        <v>5400</v>
      </c>
    </row>
    <row r="4688" spans="1:3" ht="15.75" customHeight="1" x14ac:dyDescent="0.2">
      <c r="A4688" s="42">
        <v>5053</v>
      </c>
      <c r="B4688" s="42">
        <v>17405</v>
      </c>
      <c r="C4688" s="34" t="s">
        <v>5401</v>
      </c>
    </row>
    <row r="4689" spans="1:3" ht="15.75" customHeight="1" x14ac:dyDescent="0.2">
      <c r="A4689" s="42">
        <v>5054</v>
      </c>
      <c r="B4689" s="42">
        <v>17405</v>
      </c>
      <c r="C4689" s="34" t="s">
        <v>5402</v>
      </c>
    </row>
    <row r="4690" spans="1:3" ht="15.75" customHeight="1" x14ac:dyDescent="0.2">
      <c r="A4690" s="42">
        <v>5055</v>
      </c>
      <c r="B4690" s="42">
        <v>17405</v>
      </c>
      <c r="C4690" s="34" t="s">
        <v>5403</v>
      </c>
    </row>
    <row r="4691" spans="1:3" ht="15.75" customHeight="1" x14ac:dyDescent="0.2">
      <c r="A4691" s="42">
        <v>5056</v>
      </c>
      <c r="B4691" s="42">
        <v>17405</v>
      </c>
      <c r="C4691" s="34" t="s">
        <v>5404</v>
      </c>
    </row>
    <row r="4692" spans="1:3" ht="15.75" customHeight="1" x14ac:dyDescent="0.2">
      <c r="A4692" s="42">
        <v>5057</v>
      </c>
      <c r="B4692" s="42">
        <v>17405</v>
      </c>
      <c r="C4692" s="34" t="s">
        <v>5405</v>
      </c>
    </row>
    <row r="4693" spans="1:3" ht="15.75" customHeight="1" x14ac:dyDescent="0.2">
      <c r="A4693" s="42">
        <v>5058</v>
      </c>
      <c r="B4693" s="42">
        <v>17405</v>
      </c>
      <c r="C4693" s="34" t="s">
        <v>5406</v>
      </c>
    </row>
    <row r="4694" spans="1:3" ht="15.75" customHeight="1" x14ac:dyDescent="0.2">
      <c r="A4694" s="42">
        <v>5059</v>
      </c>
      <c r="B4694" s="42">
        <v>17405</v>
      </c>
      <c r="C4694" s="34" t="s">
        <v>5407</v>
      </c>
    </row>
    <row r="4695" spans="1:3" ht="15.75" customHeight="1" x14ac:dyDescent="0.2">
      <c r="A4695" s="42">
        <v>5060</v>
      </c>
      <c r="B4695" s="42">
        <v>17405</v>
      </c>
      <c r="C4695" s="34" t="s">
        <v>5408</v>
      </c>
    </row>
    <row r="4696" spans="1:3" ht="15.75" customHeight="1" x14ac:dyDescent="0.2">
      <c r="A4696" s="42">
        <v>5061</v>
      </c>
      <c r="B4696" s="42">
        <v>17405</v>
      </c>
      <c r="C4696" s="34" t="s">
        <v>5409</v>
      </c>
    </row>
    <row r="4697" spans="1:3" ht="15.75" customHeight="1" x14ac:dyDescent="0.2">
      <c r="A4697" s="42">
        <v>5062</v>
      </c>
      <c r="B4697" s="42">
        <v>17405</v>
      </c>
      <c r="C4697" s="34" t="s">
        <v>5410</v>
      </c>
    </row>
    <row r="4698" spans="1:3" ht="15.75" customHeight="1" x14ac:dyDescent="0.2">
      <c r="A4698" s="42">
        <v>5063</v>
      </c>
      <c r="B4698" s="42">
        <v>17405</v>
      </c>
      <c r="C4698" s="34" t="s">
        <v>5411</v>
      </c>
    </row>
    <row r="4699" spans="1:3" ht="15.75" customHeight="1" x14ac:dyDescent="0.2">
      <c r="A4699" s="42">
        <v>5064</v>
      </c>
      <c r="B4699" s="42">
        <v>17405</v>
      </c>
      <c r="C4699" s="34" t="s">
        <v>5412</v>
      </c>
    </row>
    <row r="4700" spans="1:3" ht="15.75" customHeight="1" x14ac:dyDescent="0.2">
      <c r="A4700" s="42">
        <v>5065</v>
      </c>
      <c r="B4700" s="42">
        <v>17405</v>
      </c>
      <c r="C4700" s="34" t="s">
        <v>5413</v>
      </c>
    </row>
    <row r="4701" spans="1:3" ht="15.75" customHeight="1" x14ac:dyDescent="0.2">
      <c r="A4701" s="42">
        <v>5066</v>
      </c>
      <c r="B4701" s="42">
        <v>17405</v>
      </c>
      <c r="C4701" s="34" t="s">
        <v>5414</v>
      </c>
    </row>
    <row r="4702" spans="1:3" ht="15.75" customHeight="1" x14ac:dyDescent="0.2">
      <c r="A4702" s="42">
        <v>5067</v>
      </c>
      <c r="B4702" s="42">
        <v>17405</v>
      </c>
      <c r="C4702" s="34" t="s">
        <v>5415</v>
      </c>
    </row>
    <row r="4703" spans="1:3" ht="15.75" customHeight="1" x14ac:dyDescent="0.2">
      <c r="A4703" s="42">
        <v>5068</v>
      </c>
      <c r="B4703" s="42">
        <v>17405</v>
      </c>
      <c r="C4703" s="34" t="s">
        <v>5416</v>
      </c>
    </row>
    <row r="4704" spans="1:3" ht="15.75" customHeight="1" x14ac:dyDescent="0.2">
      <c r="A4704" s="42">
        <v>5069</v>
      </c>
      <c r="B4704" s="42">
        <v>17405</v>
      </c>
      <c r="C4704" s="34" t="s">
        <v>5417</v>
      </c>
    </row>
    <row r="4705" spans="1:3" ht="15.75" customHeight="1" x14ac:dyDescent="0.2">
      <c r="A4705" s="42">
        <v>5070</v>
      </c>
      <c r="B4705" s="42">
        <v>17405</v>
      </c>
      <c r="C4705" s="34" t="s">
        <v>5418</v>
      </c>
    </row>
    <row r="4706" spans="1:3" ht="15.75" customHeight="1" x14ac:dyDescent="0.2">
      <c r="A4706" s="42">
        <v>5071</v>
      </c>
      <c r="B4706" s="42">
        <v>17405</v>
      </c>
      <c r="C4706" s="34" t="s">
        <v>5419</v>
      </c>
    </row>
    <row r="4707" spans="1:3" ht="15.75" customHeight="1" x14ac:dyDescent="0.2">
      <c r="A4707" s="42">
        <v>5072</v>
      </c>
      <c r="B4707" s="42">
        <v>17405</v>
      </c>
      <c r="C4707" s="34" t="s">
        <v>5420</v>
      </c>
    </row>
    <row r="4708" spans="1:3" ht="15.75" customHeight="1" x14ac:dyDescent="0.2">
      <c r="A4708" s="42">
        <v>5073</v>
      </c>
      <c r="B4708" s="42">
        <v>17405</v>
      </c>
      <c r="C4708" s="34" t="s">
        <v>5421</v>
      </c>
    </row>
    <row r="4709" spans="1:3" ht="15.75" customHeight="1" x14ac:dyDescent="0.2">
      <c r="A4709" s="42">
        <v>5074</v>
      </c>
      <c r="B4709" s="42">
        <v>17405</v>
      </c>
      <c r="C4709" s="34" t="s">
        <v>5422</v>
      </c>
    </row>
    <row r="4710" spans="1:3" ht="15.75" customHeight="1" x14ac:dyDescent="0.2">
      <c r="A4710" s="42">
        <v>5075</v>
      </c>
      <c r="B4710" s="42">
        <v>17405</v>
      </c>
      <c r="C4710" s="34" t="s">
        <v>5423</v>
      </c>
    </row>
    <row r="4711" spans="1:3" ht="15.75" customHeight="1" x14ac:dyDescent="0.2">
      <c r="A4711" s="42">
        <v>5076</v>
      </c>
      <c r="B4711" s="42">
        <v>17405</v>
      </c>
      <c r="C4711" s="34" t="s">
        <v>5424</v>
      </c>
    </row>
    <row r="4712" spans="1:3" ht="15.75" customHeight="1" x14ac:dyDescent="0.2">
      <c r="A4712" s="42">
        <v>5077</v>
      </c>
      <c r="B4712" s="42">
        <v>17405</v>
      </c>
      <c r="C4712" s="34" t="s">
        <v>5425</v>
      </c>
    </row>
    <row r="4713" spans="1:3" ht="15.75" customHeight="1" x14ac:dyDescent="0.2">
      <c r="A4713" s="42">
        <v>5078</v>
      </c>
      <c r="B4713" s="42">
        <v>17405</v>
      </c>
      <c r="C4713" s="34" t="s">
        <v>5426</v>
      </c>
    </row>
    <row r="4714" spans="1:3" ht="15.75" customHeight="1" x14ac:dyDescent="0.2">
      <c r="A4714" s="42">
        <v>5079</v>
      </c>
      <c r="B4714" s="42">
        <v>17405</v>
      </c>
      <c r="C4714" s="34" t="s">
        <v>5427</v>
      </c>
    </row>
    <row r="4715" spans="1:3" ht="15.75" customHeight="1" x14ac:dyDescent="0.2">
      <c r="A4715" s="42">
        <v>5080</v>
      </c>
      <c r="B4715" s="42">
        <v>17405</v>
      </c>
      <c r="C4715" s="34" t="s">
        <v>5428</v>
      </c>
    </row>
    <row r="4716" spans="1:3" ht="15.75" customHeight="1" x14ac:dyDescent="0.2">
      <c r="A4716" s="42">
        <v>5081</v>
      </c>
      <c r="B4716" s="42">
        <v>17405</v>
      </c>
      <c r="C4716" s="34" t="s">
        <v>5429</v>
      </c>
    </row>
    <row r="4717" spans="1:3" ht="15.75" customHeight="1" x14ac:dyDescent="0.2">
      <c r="A4717" s="42">
        <v>5082</v>
      </c>
      <c r="B4717" s="42">
        <v>17405</v>
      </c>
      <c r="C4717" s="34" t="s">
        <v>5430</v>
      </c>
    </row>
    <row r="4718" spans="1:3" ht="15.75" customHeight="1" x14ac:dyDescent="0.2">
      <c r="A4718" s="42">
        <v>5083</v>
      </c>
      <c r="B4718" s="42">
        <v>17405</v>
      </c>
      <c r="C4718" s="34" t="s">
        <v>5431</v>
      </c>
    </row>
    <row r="4719" spans="1:3" ht="15.75" customHeight="1" x14ac:dyDescent="0.2">
      <c r="A4719" s="42">
        <v>5084</v>
      </c>
      <c r="B4719" s="42">
        <v>17405</v>
      </c>
      <c r="C4719" s="34" t="s">
        <v>5432</v>
      </c>
    </row>
    <row r="4720" spans="1:3" ht="15.75" customHeight="1" x14ac:dyDescent="0.2">
      <c r="A4720" s="42">
        <v>5085</v>
      </c>
      <c r="B4720" s="42">
        <v>17405</v>
      </c>
      <c r="C4720" s="34" t="s">
        <v>5433</v>
      </c>
    </row>
    <row r="4721" spans="1:3" ht="15.75" customHeight="1" x14ac:dyDescent="0.2">
      <c r="A4721" s="42">
        <v>5086</v>
      </c>
      <c r="B4721" s="42">
        <v>17405</v>
      </c>
      <c r="C4721" s="34" t="s">
        <v>5434</v>
      </c>
    </row>
    <row r="4722" spans="1:3" ht="15.75" customHeight="1" x14ac:dyDescent="0.2">
      <c r="A4722" s="42">
        <v>5087</v>
      </c>
      <c r="B4722" s="42">
        <v>17405</v>
      </c>
      <c r="C4722" s="34" t="s">
        <v>5435</v>
      </c>
    </row>
    <row r="4723" spans="1:3" ht="15.75" customHeight="1" x14ac:dyDescent="0.2">
      <c r="A4723" s="42">
        <v>5088</v>
      </c>
      <c r="B4723" s="42">
        <v>17405</v>
      </c>
      <c r="C4723" s="34" t="s">
        <v>5436</v>
      </c>
    </row>
    <row r="4724" spans="1:3" ht="15.75" customHeight="1" x14ac:dyDescent="0.2">
      <c r="A4724" s="42">
        <v>5089</v>
      </c>
      <c r="B4724" s="42">
        <v>17405</v>
      </c>
      <c r="C4724" s="34" t="s">
        <v>5437</v>
      </c>
    </row>
    <row r="4725" spans="1:3" ht="15.75" customHeight="1" x14ac:dyDescent="0.2">
      <c r="A4725" s="42">
        <v>5090</v>
      </c>
      <c r="B4725" s="42">
        <v>17405</v>
      </c>
      <c r="C4725" s="34" t="s">
        <v>5438</v>
      </c>
    </row>
    <row r="4726" spans="1:3" ht="15.75" customHeight="1" x14ac:dyDescent="0.2">
      <c r="A4726" s="42">
        <v>5091</v>
      </c>
      <c r="B4726" s="42">
        <v>17405</v>
      </c>
      <c r="C4726" s="34" t="s">
        <v>5439</v>
      </c>
    </row>
    <row r="4727" spans="1:3" ht="15.75" customHeight="1" x14ac:dyDescent="0.2">
      <c r="A4727" s="42">
        <v>5092</v>
      </c>
      <c r="B4727" s="42">
        <v>17405</v>
      </c>
      <c r="C4727" s="34" t="s">
        <v>5440</v>
      </c>
    </row>
    <row r="4728" spans="1:3" ht="15.75" customHeight="1" x14ac:dyDescent="0.2">
      <c r="A4728" s="42">
        <v>5093</v>
      </c>
      <c r="B4728" s="42">
        <v>17405</v>
      </c>
      <c r="C4728" s="34" t="s">
        <v>5441</v>
      </c>
    </row>
    <row r="4729" spans="1:3" ht="15.75" customHeight="1" x14ac:dyDescent="0.2">
      <c r="A4729" s="42">
        <v>5094</v>
      </c>
      <c r="B4729" s="42">
        <v>17405</v>
      </c>
      <c r="C4729" s="34" t="s">
        <v>5442</v>
      </c>
    </row>
    <row r="4730" spans="1:3" ht="15.75" customHeight="1" x14ac:dyDescent="0.2">
      <c r="A4730" s="42">
        <v>5095</v>
      </c>
      <c r="B4730" s="42">
        <v>17405</v>
      </c>
      <c r="C4730" s="34" t="s">
        <v>5443</v>
      </c>
    </row>
    <row r="4731" spans="1:3" ht="15.75" customHeight="1" x14ac:dyDescent="0.2">
      <c r="A4731" s="42">
        <v>5096</v>
      </c>
      <c r="B4731" s="42">
        <v>17405</v>
      </c>
      <c r="C4731" s="34" t="s">
        <v>5444</v>
      </c>
    </row>
    <row r="4732" spans="1:3" ht="15.75" customHeight="1" x14ac:dyDescent="0.2">
      <c r="A4732" s="42">
        <v>5097</v>
      </c>
      <c r="B4732" s="42">
        <v>17405</v>
      </c>
      <c r="C4732" s="34" t="s">
        <v>5445</v>
      </c>
    </row>
    <row r="4733" spans="1:3" ht="15.75" customHeight="1" x14ac:dyDescent="0.2">
      <c r="A4733" s="42">
        <v>5098</v>
      </c>
      <c r="B4733" s="42">
        <v>17405</v>
      </c>
      <c r="C4733" s="34" t="s">
        <v>5446</v>
      </c>
    </row>
    <row r="4734" spans="1:3" ht="15.75" customHeight="1" x14ac:dyDescent="0.2">
      <c r="A4734" s="42">
        <v>5099</v>
      </c>
      <c r="B4734" s="42">
        <v>17406</v>
      </c>
      <c r="C4734" s="34" t="s">
        <v>5447</v>
      </c>
    </row>
    <row r="4735" spans="1:3" ht="15.75" customHeight="1" x14ac:dyDescent="0.2">
      <c r="A4735" s="42">
        <v>5100</v>
      </c>
      <c r="B4735" s="42">
        <v>17406</v>
      </c>
      <c r="C4735" s="34" t="s">
        <v>5448</v>
      </c>
    </row>
    <row r="4736" spans="1:3" ht="15.75" customHeight="1" x14ac:dyDescent="0.2">
      <c r="A4736" s="42">
        <v>5101</v>
      </c>
      <c r="B4736" s="42">
        <v>17406</v>
      </c>
      <c r="C4736" s="34" t="s">
        <v>5449</v>
      </c>
    </row>
    <row r="4737" spans="1:3" ht="15.75" customHeight="1" x14ac:dyDescent="0.2">
      <c r="A4737" s="42">
        <v>5102</v>
      </c>
      <c r="B4737" s="42">
        <v>17406</v>
      </c>
      <c r="C4737" s="34" t="s">
        <v>5450</v>
      </c>
    </row>
    <row r="4738" spans="1:3" ht="15.75" customHeight="1" x14ac:dyDescent="0.2">
      <c r="A4738" s="42">
        <v>5103</v>
      </c>
      <c r="B4738" s="42">
        <v>17406</v>
      </c>
      <c r="C4738" s="34" t="s">
        <v>5451</v>
      </c>
    </row>
    <row r="4739" spans="1:3" ht="15.75" customHeight="1" x14ac:dyDescent="0.2">
      <c r="A4739" s="42">
        <v>5104</v>
      </c>
      <c r="B4739" s="42">
        <v>17406</v>
      </c>
      <c r="C4739" s="34" t="s">
        <v>5452</v>
      </c>
    </row>
    <row r="4740" spans="1:3" ht="15.75" customHeight="1" x14ac:dyDescent="0.2">
      <c r="A4740" s="42">
        <v>5105</v>
      </c>
      <c r="B4740" s="42">
        <v>17406</v>
      </c>
      <c r="C4740" s="34" t="s">
        <v>5453</v>
      </c>
    </row>
    <row r="4741" spans="1:3" ht="15.75" customHeight="1" x14ac:dyDescent="0.2">
      <c r="A4741" s="42">
        <v>5106</v>
      </c>
      <c r="B4741" s="42">
        <v>17406</v>
      </c>
      <c r="C4741" s="34" t="s">
        <v>5454</v>
      </c>
    </row>
    <row r="4742" spans="1:3" ht="15.75" customHeight="1" x14ac:dyDescent="0.2">
      <c r="A4742" s="42">
        <v>5107</v>
      </c>
      <c r="B4742" s="42">
        <v>17406</v>
      </c>
      <c r="C4742" s="34" t="s">
        <v>5455</v>
      </c>
    </row>
    <row r="4743" spans="1:3" ht="15.75" customHeight="1" x14ac:dyDescent="0.2">
      <c r="A4743" s="42">
        <v>5108</v>
      </c>
      <c r="B4743" s="42">
        <v>17406</v>
      </c>
      <c r="C4743" s="34" t="s">
        <v>5456</v>
      </c>
    </row>
    <row r="4744" spans="1:3" ht="15.75" customHeight="1" x14ac:dyDescent="0.2">
      <c r="A4744" s="42">
        <v>5109</v>
      </c>
      <c r="B4744" s="42">
        <v>17406</v>
      </c>
      <c r="C4744" s="34" t="s">
        <v>5455</v>
      </c>
    </row>
    <row r="4745" spans="1:3" ht="15.75" customHeight="1" x14ac:dyDescent="0.2">
      <c r="A4745" s="42">
        <v>5110</v>
      </c>
      <c r="B4745" s="42">
        <v>17406</v>
      </c>
      <c r="C4745" s="34" t="s">
        <v>5457</v>
      </c>
    </row>
    <row r="4746" spans="1:3" ht="15.75" customHeight="1" x14ac:dyDescent="0.2">
      <c r="A4746" s="42">
        <v>5111</v>
      </c>
      <c r="B4746" s="42">
        <v>17406</v>
      </c>
      <c r="C4746" s="34" t="s">
        <v>5458</v>
      </c>
    </row>
    <row r="4747" spans="1:3" ht="15.75" customHeight="1" x14ac:dyDescent="0.2">
      <c r="A4747" s="42">
        <v>5112</v>
      </c>
      <c r="B4747" s="42">
        <v>17406</v>
      </c>
      <c r="C4747" s="34" t="s">
        <v>5454</v>
      </c>
    </row>
    <row r="4748" spans="1:3" ht="15.75" customHeight="1" x14ac:dyDescent="0.2">
      <c r="A4748" s="42">
        <v>5113</v>
      </c>
      <c r="B4748" s="42">
        <v>17406</v>
      </c>
      <c r="C4748" s="34" t="s">
        <v>5459</v>
      </c>
    </row>
    <row r="4749" spans="1:3" ht="15.75" customHeight="1" x14ac:dyDescent="0.2">
      <c r="A4749" s="42">
        <v>5114</v>
      </c>
      <c r="B4749" s="42">
        <v>17406</v>
      </c>
      <c r="C4749" s="34" t="s">
        <v>5460</v>
      </c>
    </row>
    <row r="4750" spans="1:3" ht="15.75" customHeight="1" x14ac:dyDescent="0.2">
      <c r="A4750" s="42">
        <v>5115</v>
      </c>
      <c r="B4750" s="42">
        <v>17406</v>
      </c>
      <c r="C4750" s="34" t="s">
        <v>5461</v>
      </c>
    </row>
    <row r="4751" spans="1:3" ht="15.75" customHeight="1" x14ac:dyDescent="0.2">
      <c r="A4751" s="42">
        <v>5116</v>
      </c>
      <c r="B4751" s="42">
        <v>17406</v>
      </c>
      <c r="C4751" s="34" t="s">
        <v>5462</v>
      </c>
    </row>
    <row r="4752" spans="1:3" ht="15.75" customHeight="1" x14ac:dyDescent="0.2">
      <c r="A4752" s="42">
        <v>5117</v>
      </c>
      <c r="B4752" s="42">
        <v>17406</v>
      </c>
      <c r="C4752" s="34" t="s">
        <v>5463</v>
      </c>
    </row>
    <row r="4753" spans="1:3" ht="15.75" customHeight="1" x14ac:dyDescent="0.2">
      <c r="A4753" s="42">
        <v>5118</v>
      </c>
      <c r="B4753" s="42">
        <v>17406</v>
      </c>
      <c r="C4753" s="34" t="s">
        <v>5464</v>
      </c>
    </row>
    <row r="4754" spans="1:3" ht="15.75" customHeight="1" x14ac:dyDescent="0.2">
      <c r="A4754" s="42">
        <v>5119</v>
      </c>
      <c r="B4754" s="42">
        <v>17406</v>
      </c>
      <c r="C4754" s="34" t="s">
        <v>5465</v>
      </c>
    </row>
    <row r="4755" spans="1:3" ht="15.75" customHeight="1" x14ac:dyDescent="0.2">
      <c r="A4755" s="42">
        <v>5120</v>
      </c>
      <c r="B4755" s="42">
        <v>17406</v>
      </c>
      <c r="C4755" s="34" t="s">
        <v>5466</v>
      </c>
    </row>
    <row r="4756" spans="1:3" ht="15.75" customHeight="1" x14ac:dyDescent="0.2">
      <c r="A4756" s="42">
        <v>5121</v>
      </c>
      <c r="B4756" s="42">
        <v>17406</v>
      </c>
      <c r="C4756" s="34" t="s">
        <v>5467</v>
      </c>
    </row>
    <row r="4757" spans="1:3" ht="15.75" customHeight="1" x14ac:dyDescent="0.2">
      <c r="A4757" s="42">
        <v>5122</v>
      </c>
      <c r="B4757" s="42">
        <v>17406</v>
      </c>
      <c r="C4757" s="34" t="s">
        <v>5468</v>
      </c>
    </row>
    <row r="4758" spans="1:3" ht="15.75" customHeight="1" x14ac:dyDescent="0.2">
      <c r="A4758" s="42">
        <v>5123</v>
      </c>
      <c r="B4758" s="42">
        <v>17406</v>
      </c>
      <c r="C4758" s="34" t="s">
        <v>5469</v>
      </c>
    </row>
    <row r="4759" spans="1:3" ht="15.75" customHeight="1" x14ac:dyDescent="0.2">
      <c r="A4759" s="42">
        <v>5124</v>
      </c>
      <c r="B4759" s="42">
        <v>17406</v>
      </c>
      <c r="C4759" s="34" t="s">
        <v>5470</v>
      </c>
    </row>
    <row r="4760" spans="1:3" ht="15.75" customHeight="1" x14ac:dyDescent="0.2">
      <c r="A4760" s="42">
        <v>5125</v>
      </c>
      <c r="B4760" s="42">
        <v>17406</v>
      </c>
      <c r="C4760" s="34" t="s">
        <v>5471</v>
      </c>
    </row>
    <row r="4761" spans="1:3" ht="15.75" customHeight="1" x14ac:dyDescent="0.2">
      <c r="A4761" s="42">
        <v>5126</v>
      </c>
      <c r="B4761" s="42">
        <v>17406</v>
      </c>
      <c r="C4761" s="34" t="s">
        <v>5472</v>
      </c>
    </row>
    <row r="4762" spans="1:3" ht="15.75" customHeight="1" x14ac:dyDescent="0.2">
      <c r="A4762" s="42">
        <v>5127</v>
      </c>
      <c r="B4762" s="42">
        <v>17406</v>
      </c>
      <c r="C4762" s="34" t="s">
        <v>5473</v>
      </c>
    </row>
    <row r="4763" spans="1:3" ht="15.75" customHeight="1" x14ac:dyDescent="0.2">
      <c r="A4763" s="42">
        <v>5128</v>
      </c>
      <c r="B4763" s="42">
        <v>17406</v>
      </c>
      <c r="C4763" s="34" t="s">
        <v>5474</v>
      </c>
    </row>
    <row r="4764" spans="1:3" ht="15.75" customHeight="1" x14ac:dyDescent="0.2">
      <c r="A4764" s="42">
        <v>5129</v>
      </c>
      <c r="B4764" s="42">
        <v>17406</v>
      </c>
      <c r="C4764" s="34" t="s">
        <v>5475</v>
      </c>
    </row>
    <row r="4765" spans="1:3" ht="15.75" customHeight="1" x14ac:dyDescent="0.2">
      <c r="A4765" s="42">
        <v>5130</v>
      </c>
      <c r="B4765" s="42">
        <v>17406</v>
      </c>
      <c r="C4765" s="34" t="s">
        <v>5476</v>
      </c>
    </row>
    <row r="4766" spans="1:3" ht="15.75" customHeight="1" x14ac:dyDescent="0.2">
      <c r="A4766" s="42">
        <v>5131</v>
      </c>
      <c r="B4766" s="42">
        <v>17406</v>
      </c>
      <c r="C4766" s="34" t="s">
        <v>5477</v>
      </c>
    </row>
    <row r="4767" spans="1:3" ht="15.75" customHeight="1" x14ac:dyDescent="0.2">
      <c r="A4767" s="42">
        <v>5132</v>
      </c>
      <c r="B4767" s="42">
        <v>17406</v>
      </c>
      <c r="C4767" s="34" t="s">
        <v>5478</v>
      </c>
    </row>
    <row r="4768" spans="1:3" ht="15.75" customHeight="1" x14ac:dyDescent="0.2">
      <c r="A4768" s="42">
        <v>5133</v>
      </c>
      <c r="B4768" s="42">
        <v>17406</v>
      </c>
      <c r="C4768" s="34" t="s">
        <v>5479</v>
      </c>
    </row>
    <row r="4769" spans="1:3" ht="15.75" customHeight="1" x14ac:dyDescent="0.2">
      <c r="A4769" s="42">
        <v>5134</v>
      </c>
      <c r="B4769" s="42">
        <v>17406</v>
      </c>
      <c r="C4769" s="34" t="s">
        <v>5480</v>
      </c>
    </row>
    <row r="4770" spans="1:3" ht="15.75" customHeight="1" x14ac:dyDescent="0.2">
      <c r="A4770" s="42">
        <v>5135</v>
      </c>
      <c r="B4770" s="42">
        <v>17406</v>
      </c>
      <c r="C4770" s="34" t="s">
        <v>5481</v>
      </c>
    </row>
    <row r="4771" spans="1:3" ht="15.75" customHeight="1" x14ac:dyDescent="0.2">
      <c r="A4771" s="42">
        <v>5136</v>
      </c>
      <c r="B4771" s="42">
        <v>17406</v>
      </c>
      <c r="C4771" s="34" t="s">
        <v>5482</v>
      </c>
    </row>
    <row r="4772" spans="1:3" ht="15.75" customHeight="1" x14ac:dyDescent="0.2">
      <c r="A4772" s="42">
        <v>5137</v>
      </c>
      <c r="B4772" s="42">
        <v>17406</v>
      </c>
      <c r="C4772" s="34" t="s">
        <v>5483</v>
      </c>
    </row>
    <row r="4773" spans="1:3" ht="15.75" customHeight="1" x14ac:dyDescent="0.2">
      <c r="A4773" s="42">
        <v>5138</v>
      </c>
      <c r="B4773" s="42">
        <v>17406</v>
      </c>
      <c r="C4773" s="34" t="s">
        <v>5484</v>
      </c>
    </row>
    <row r="4774" spans="1:3" ht="15.75" customHeight="1" x14ac:dyDescent="0.2">
      <c r="A4774" s="42">
        <v>5139</v>
      </c>
      <c r="B4774" s="42">
        <v>17406</v>
      </c>
      <c r="C4774" s="34" t="s">
        <v>5485</v>
      </c>
    </row>
    <row r="4775" spans="1:3" ht="15.75" customHeight="1" x14ac:dyDescent="0.2">
      <c r="A4775" s="42">
        <v>5140</v>
      </c>
      <c r="B4775" s="42">
        <v>17406</v>
      </c>
      <c r="C4775" s="34" t="s">
        <v>5486</v>
      </c>
    </row>
    <row r="4776" spans="1:3" ht="15.75" customHeight="1" x14ac:dyDescent="0.2">
      <c r="A4776" s="42">
        <v>5141</v>
      </c>
      <c r="B4776" s="42">
        <v>17406</v>
      </c>
      <c r="C4776" s="34" t="s">
        <v>5487</v>
      </c>
    </row>
    <row r="4777" spans="1:3" ht="15.75" customHeight="1" x14ac:dyDescent="0.2">
      <c r="A4777" s="42">
        <v>5142</v>
      </c>
      <c r="B4777" s="42">
        <v>17406</v>
      </c>
      <c r="C4777" s="34" t="s">
        <v>5488</v>
      </c>
    </row>
    <row r="4778" spans="1:3" ht="15.75" customHeight="1" x14ac:dyDescent="0.2">
      <c r="A4778" s="42">
        <v>5143</v>
      </c>
      <c r="B4778" s="42">
        <v>17406</v>
      </c>
      <c r="C4778" s="34" t="s">
        <v>5489</v>
      </c>
    </row>
    <row r="4779" spans="1:3" ht="15.75" customHeight="1" x14ac:dyDescent="0.2">
      <c r="A4779" s="42">
        <v>5144</v>
      </c>
      <c r="B4779" s="42">
        <v>17406</v>
      </c>
      <c r="C4779" s="34" t="s">
        <v>5490</v>
      </c>
    </row>
    <row r="4780" spans="1:3" ht="15.75" customHeight="1" x14ac:dyDescent="0.2">
      <c r="A4780" s="42">
        <v>5145</v>
      </c>
      <c r="B4780" s="42">
        <v>17406</v>
      </c>
      <c r="C4780" s="34" t="s">
        <v>5491</v>
      </c>
    </row>
    <row r="4781" spans="1:3" ht="15.75" customHeight="1" x14ac:dyDescent="0.2">
      <c r="A4781" s="42">
        <v>5146</v>
      </c>
      <c r="B4781" s="42">
        <v>17406</v>
      </c>
      <c r="C4781" s="34" t="s">
        <v>5492</v>
      </c>
    </row>
    <row r="4782" spans="1:3" ht="15.75" customHeight="1" x14ac:dyDescent="0.2">
      <c r="A4782" s="42">
        <v>5147</v>
      </c>
      <c r="B4782" s="42">
        <v>17406</v>
      </c>
      <c r="C4782" s="34" t="s">
        <v>5493</v>
      </c>
    </row>
    <row r="4783" spans="1:3" ht="15.75" customHeight="1" x14ac:dyDescent="0.2">
      <c r="A4783" s="42">
        <v>5148</v>
      </c>
      <c r="B4783" s="42">
        <v>17406</v>
      </c>
      <c r="C4783" s="34" t="s">
        <v>5494</v>
      </c>
    </row>
    <row r="4784" spans="1:3" ht="15.75" customHeight="1" x14ac:dyDescent="0.2">
      <c r="A4784" s="42">
        <v>5149</v>
      </c>
      <c r="B4784" s="42">
        <v>17406</v>
      </c>
      <c r="C4784" s="34" t="s">
        <v>5495</v>
      </c>
    </row>
    <row r="4785" spans="1:3" ht="15.75" customHeight="1" x14ac:dyDescent="0.2">
      <c r="A4785" s="42">
        <v>5150</v>
      </c>
      <c r="B4785" s="42">
        <v>17406</v>
      </c>
      <c r="C4785" s="34" t="s">
        <v>5496</v>
      </c>
    </row>
    <row r="4786" spans="1:3" ht="15.75" customHeight="1" x14ac:dyDescent="0.2">
      <c r="A4786" s="42">
        <v>5151</v>
      </c>
      <c r="B4786" s="42">
        <v>17406</v>
      </c>
      <c r="C4786" s="34" t="s">
        <v>5497</v>
      </c>
    </row>
    <row r="4787" spans="1:3" ht="15.75" customHeight="1" x14ac:dyDescent="0.2">
      <c r="A4787" s="42">
        <v>5152</v>
      </c>
      <c r="B4787" s="42">
        <v>17406</v>
      </c>
      <c r="C4787" s="34" t="s">
        <v>5498</v>
      </c>
    </row>
    <row r="4788" spans="1:3" ht="15.75" customHeight="1" x14ac:dyDescent="0.2">
      <c r="A4788" s="42">
        <v>5153</v>
      </c>
      <c r="B4788" s="42">
        <v>17406</v>
      </c>
      <c r="C4788" s="34" t="s">
        <v>5499</v>
      </c>
    </row>
    <row r="4789" spans="1:3" ht="15.75" customHeight="1" x14ac:dyDescent="0.2">
      <c r="A4789" s="42">
        <v>5154</v>
      </c>
      <c r="B4789" s="42">
        <v>17406</v>
      </c>
      <c r="C4789" s="34" t="s">
        <v>5500</v>
      </c>
    </row>
    <row r="4790" spans="1:3" ht="15.75" customHeight="1" x14ac:dyDescent="0.2">
      <c r="A4790" s="42">
        <v>5155</v>
      </c>
      <c r="B4790" s="42">
        <v>17406</v>
      </c>
      <c r="C4790" s="34" t="s">
        <v>5501</v>
      </c>
    </row>
    <row r="4791" spans="1:3" ht="15.75" customHeight="1" x14ac:dyDescent="0.2">
      <c r="A4791" s="42">
        <v>5156</v>
      </c>
      <c r="B4791" s="42">
        <v>17406</v>
      </c>
      <c r="C4791" s="34" t="s">
        <v>5502</v>
      </c>
    </row>
    <row r="4792" spans="1:3" ht="15.75" customHeight="1" x14ac:dyDescent="0.2">
      <c r="A4792" s="42">
        <v>5157</v>
      </c>
      <c r="B4792" s="42">
        <v>17406</v>
      </c>
      <c r="C4792" s="34" t="s">
        <v>5503</v>
      </c>
    </row>
    <row r="4793" spans="1:3" ht="15.75" customHeight="1" x14ac:dyDescent="0.2">
      <c r="A4793" s="42">
        <v>5158</v>
      </c>
      <c r="B4793" s="42">
        <v>17406</v>
      </c>
      <c r="C4793" s="34" t="s">
        <v>5504</v>
      </c>
    </row>
    <row r="4794" spans="1:3" ht="15.75" customHeight="1" x14ac:dyDescent="0.2">
      <c r="A4794" s="42">
        <v>5159</v>
      </c>
      <c r="B4794" s="42">
        <v>17406</v>
      </c>
      <c r="C4794" s="34" t="s">
        <v>5505</v>
      </c>
    </row>
    <row r="4795" spans="1:3" ht="15.75" customHeight="1" x14ac:dyDescent="0.2">
      <c r="A4795" s="42">
        <v>5160</v>
      </c>
      <c r="B4795" s="42">
        <v>17406</v>
      </c>
      <c r="C4795" s="34" t="s">
        <v>5506</v>
      </c>
    </row>
    <row r="4796" spans="1:3" ht="15.75" customHeight="1" x14ac:dyDescent="0.2">
      <c r="A4796" s="42">
        <v>5161</v>
      </c>
      <c r="B4796" s="42">
        <v>17406</v>
      </c>
      <c r="C4796" s="34" t="s">
        <v>5507</v>
      </c>
    </row>
    <row r="4797" spans="1:3" ht="15.75" customHeight="1" x14ac:dyDescent="0.2">
      <c r="A4797" s="42">
        <v>5162</v>
      </c>
      <c r="B4797" s="42">
        <v>17406</v>
      </c>
      <c r="C4797" s="34" t="s">
        <v>5508</v>
      </c>
    </row>
    <row r="4798" spans="1:3" ht="15.75" customHeight="1" x14ac:dyDescent="0.2">
      <c r="A4798" s="42">
        <v>5163</v>
      </c>
      <c r="B4798" s="42">
        <v>17406</v>
      </c>
      <c r="C4798" s="34" t="s">
        <v>5509</v>
      </c>
    </row>
    <row r="4799" spans="1:3" ht="15.75" customHeight="1" x14ac:dyDescent="0.2">
      <c r="A4799" s="42">
        <v>5164</v>
      </c>
      <c r="B4799" s="42">
        <v>17406</v>
      </c>
      <c r="C4799" s="34" t="s">
        <v>5510</v>
      </c>
    </row>
    <row r="4800" spans="1:3" ht="15.75" customHeight="1" x14ac:dyDescent="0.2">
      <c r="A4800" s="42">
        <v>5165</v>
      </c>
      <c r="B4800" s="42">
        <v>17406</v>
      </c>
      <c r="C4800" s="34" t="s">
        <v>5511</v>
      </c>
    </row>
    <row r="4801" spans="1:3" ht="15.75" customHeight="1" x14ac:dyDescent="0.2">
      <c r="A4801" s="42">
        <v>5166</v>
      </c>
      <c r="B4801" s="42">
        <v>17406</v>
      </c>
      <c r="C4801" s="34" t="s">
        <v>5512</v>
      </c>
    </row>
    <row r="4802" spans="1:3" ht="15.75" customHeight="1" x14ac:dyDescent="0.2">
      <c r="A4802" s="42">
        <v>5167</v>
      </c>
      <c r="B4802" s="42">
        <v>17406</v>
      </c>
      <c r="C4802" s="34" t="s">
        <v>5513</v>
      </c>
    </row>
    <row r="4803" spans="1:3" ht="15.75" customHeight="1" x14ac:dyDescent="0.2">
      <c r="A4803" s="42">
        <v>5168</v>
      </c>
      <c r="B4803" s="42">
        <v>17406</v>
      </c>
      <c r="C4803" s="34" t="s">
        <v>5514</v>
      </c>
    </row>
    <row r="4804" spans="1:3" ht="15.75" customHeight="1" x14ac:dyDescent="0.2">
      <c r="A4804" s="42">
        <v>5169</v>
      </c>
      <c r="B4804" s="42">
        <v>17406</v>
      </c>
      <c r="C4804" s="34" t="s">
        <v>5515</v>
      </c>
    </row>
    <row r="4805" spans="1:3" ht="15.75" customHeight="1" x14ac:dyDescent="0.2">
      <c r="A4805" s="42">
        <v>5170</v>
      </c>
      <c r="B4805" s="42">
        <v>17406</v>
      </c>
      <c r="C4805" s="34" t="s">
        <v>5516</v>
      </c>
    </row>
    <row r="4806" spans="1:3" ht="15.75" customHeight="1" x14ac:dyDescent="0.2">
      <c r="A4806" s="42">
        <v>5171</v>
      </c>
      <c r="B4806" s="42">
        <v>17407</v>
      </c>
      <c r="C4806" s="34" t="s">
        <v>5517</v>
      </c>
    </row>
    <row r="4807" spans="1:3" ht="15.75" customHeight="1" x14ac:dyDescent="0.2">
      <c r="A4807" s="42">
        <v>5172</v>
      </c>
      <c r="B4807" s="42">
        <v>17407</v>
      </c>
      <c r="C4807" s="34" t="s">
        <v>5518</v>
      </c>
    </row>
    <row r="4808" spans="1:3" ht="15.75" customHeight="1" x14ac:dyDescent="0.2">
      <c r="A4808" s="42">
        <v>5173</v>
      </c>
      <c r="B4808" s="42">
        <v>17407</v>
      </c>
      <c r="C4808" s="34" t="s">
        <v>5519</v>
      </c>
    </row>
    <row r="4809" spans="1:3" ht="15.75" customHeight="1" x14ac:dyDescent="0.2">
      <c r="A4809" s="42">
        <v>5174</v>
      </c>
      <c r="B4809" s="42">
        <v>17407</v>
      </c>
      <c r="C4809" s="34" t="s">
        <v>5520</v>
      </c>
    </row>
    <row r="4810" spans="1:3" ht="15.75" customHeight="1" x14ac:dyDescent="0.2">
      <c r="A4810" s="42">
        <v>5175</v>
      </c>
      <c r="B4810" s="42">
        <v>17407</v>
      </c>
      <c r="C4810" s="34" t="s">
        <v>5521</v>
      </c>
    </row>
    <row r="4811" spans="1:3" ht="15.75" customHeight="1" x14ac:dyDescent="0.2">
      <c r="A4811" s="42">
        <v>5176</v>
      </c>
      <c r="B4811" s="42">
        <v>17407</v>
      </c>
      <c r="C4811" s="34" t="s">
        <v>5522</v>
      </c>
    </row>
    <row r="4812" spans="1:3" ht="15.75" customHeight="1" x14ac:dyDescent="0.2">
      <c r="A4812" s="42">
        <v>5177</v>
      </c>
      <c r="B4812" s="42">
        <v>17407</v>
      </c>
      <c r="C4812" s="34" t="s">
        <v>5523</v>
      </c>
    </row>
    <row r="4813" spans="1:3" ht="15.75" customHeight="1" x14ac:dyDescent="0.2">
      <c r="A4813" s="42">
        <v>5178</v>
      </c>
      <c r="B4813" s="42">
        <v>17407</v>
      </c>
      <c r="C4813" s="34" t="s">
        <v>5524</v>
      </c>
    </row>
    <row r="4814" spans="1:3" ht="15.75" customHeight="1" x14ac:dyDescent="0.2">
      <c r="A4814" s="42">
        <v>5179</v>
      </c>
      <c r="B4814" s="42">
        <v>17407</v>
      </c>
      <c r="C4814" s="34" t="s">
        <v>5525</v>
      </c>
    </row>
    <row r="4815" spans="1:3" ht="15.75" customHeight="1" x14ac:dyDescent="0.2">
      <c r="A4815" s="42">
        <v>5180</v>
      </c>
      <c r="B4815" s="42">
        <v>17407</v>
      </c>
      <c r="C4815" s="34" t="s">
        <v>5526</v>
      </c>
    </row>
    <row r="4816" spans="1:3" ht="15.75" customHeight="1" x14ac:dyDescent="0.2">
      <c r="A4816" s="42">
        <v>5181</v>
      </c>
      <c r="B4816" s="42">
        <v>17407</v>
      </c>
      <c r="C4816" s="34" t="s">
        <v>5527</v>
      </c>
    </row>
    <row r="4817" spans="1:3" ht="15.75" customHeight="1" x14ac:dyDescent="0.2">
      <c r="A4817" s="42">
        <v>5182</v>
      </c>
      <c r="B4817" s="42">
        <v>17407</v>
      </c>
      <c r="C4817" s="34" t="s">
        <v>5528</v>
      </c>
    </row>
    <row r="4818" spans="1:3" ht="15.75" customHeight="1" x14ac:dyDescent="0.2">
      <c r="A4818" s="42">
        <v>5183</v>
      </c>
      <c r="B4818" s="42">
        <v>17407</v>
      </c>
      <c r="C4818" s="34" t="s">
        <v>5529</v>
      </c>
    </row>
    <row r="4819" spans="1:3" ht="15.75" customHeight="1" x14ac:dyDescent="0.2">
      <c r="A4819" s="42">
        <v>5184</v>
      </c>
      <c r="B4819" s="42">
        <v>17407</v>
      </c>
      <c r="C4819" s="34" t="s">
        <v>5530</v>
      </c>
    </row>
    <row r="4820" spans="1:3" ht="15.75" customHeight="1" x14ac:dyDescent="0.2">
      <c r="A4820" s="42">
        <v>5185</v>
      </c>
      <c r="B4820" s="42">
        <v>17407</v>
      </c>
      <c r="C4820" s="34" t="s">
        <v>5531</v>
      </c>
    </row>
    <row r="4821" spans="1:3" ht="15.75" customHeight="1" x14ac:dyDescent="0.2">
      <c r="A4821" s="42">
        <v>5186</v>
      </c>
      <c r="B4821" s="42">
        <v>17407</v>
      </c>
      <c r="C4821" s="34" t="s">
        <v>5532</v>
      </c>
    </row>
    <row r="4822" spans="1:3" ht="15.75" customHeight="1" x14ac:dyDescent="0.2">
      <c r="A4822" s="42">
        <v>5187</v>
      </c>
      <c r="B4822" s="42">
        <v>17407</v>
      </c>
      <c r="C4822" s="34" t="s">
        <v>5533</v>
      </c>
    </row>
    <row r="4823" spans="1:3" ht="15.75" customHeight="1" x14ac:dyDescent="0.2">
      <c r="A4823" s="42">
        <v>5188</v>
      </c>
      <c r="B4823" s="42">
        <v>17407</v>
      </c>
      <c r="C4823" s="34" t="s">
        <v>5534</v>
      </c>
    </row>
    <row r="4824" spans="1:3" ht="15.75" customHeight="1" x14ac:dyDescent="0.2">
      <c r="A4824" s="42">
        <v>5189</v>
      </c>
      <c r="B4824" s="42">
        <v>17407</v>
      </c>
      <c r="C4824" s="34" t="s">
        <v>5535</v>
      </c>
    </row>
    <row r="4825" spans="1:3" ht="15.75" customHeight="1" x14ac:dyDescent="0.2">
      <c r="A4825" s="42">
        <v>5190</v>
      </c>
      <c r="B4825" s="42">
        <v>17407</v>
      </c>
      <c r="C4825" s="34" t="s">
        <v>5536</v>
      </c>
    </row>
    <row r="4826" spans="1:3" ht="15.75" customHeight="1" x14ac:dyDescent="0.2">
      <c r="A4826" s="42">
        <v>5191</v>
      </c>
      <c r="B4826" s="42">
        <v>17407</v>
      </c>
      <c r="C4826" s="34" t="s">
        <v>5537</v>
      </c>
    </row>
    <row r="4827" spans="1:3" ht="15.75" customHeight="1" x14ac:dyDescent="0.2">
      <c r="A4827" s="42">
        <v>5192</v>
      </c>
      <c r="B4827" s="42">
        <v>17407</v>
      </c>
      <c r="C4827" s="34" t="s">
        <v>5538</v>
      </c>
    </row>
    <row r="4828" spans="1:3" ht="15.75" customHeight="1" x14ac:dyDescent="0.2">
      <c r="A4828" s="42">
        <v>5193</v>
      </c>
      <c r="B4828" s="42">
        <v>17407</v>
      </c>
      <c r="C4828" s="34" t="s">
        <v>5539</v>
      </c>
    </row>
    <row r="4829" spans="1:3" ht="15.75" customHeight="1" x14ac:dyDescent="0.2">
      <c r="A4829" s="42">
        <v>5194</v>
      </c>
      <c r="B4829" s="42">
        <v>17407</v>
      </c>
      <c r="C4829" s="34" t="s">
        <v>5540</v>
      </c>
    </row>
    <row r="4830" spans="1:3" ht="15.75" customHeight="1" x14ac:dyDescent="0.2">
      <c r="A4830" s="42">
        <v>5195</v>
      </c>
      <c r="B4830" s="42">
        <v>17407</v>
      </c>
      <c r="C4830" s="34" t="s">
        <v>5541</v>
      </c>
    </row>
    <row r="4831" spans="1:3" ht="15.75" customHeight="1" x14ac:dyDescent="0.2">
      <c r="A4831" s="42">
        <v>5196</v>
      </c>
      <c r="B4831" s="42">
        <v>17407</v>
      </c>
      <c r="C4831" s="34" t="s">
        <v>5542</v>
      </c>
    </row>
    <row r="4832" spans="1:3" ht="15.75" customHeight="1" x14ac:dyDescent="0.2">
      <c r="A4832" s="42">
        <v>5197</v>
      </c>
      <c r="B4832" s="42">
        <v>17407</v>
      </c>
      <c r="C4832" s="34" t="s">
        <v>5543</v>
      </c>
    </row>
    <row r="4833" spans="1:3" ht="15.75" customHeight="1" x14ac:dyDescent="0.2">
      <c r="A4833" s="42">
        <v>5198</v>
      </c>
      <c r="B4833" s="42">
        <v>17407</v>
      </c>
      <c r="C4833" s="34" t="s">
        <v>5544</v>
      </c>
    </row>
    <row r="4834" spans="1:3" ht="15.75" customHeight="1" x14ac:dyDescent="0.2">
      <c r="A4834" s="42">
        <v>5199</v>
      </c>
      <c r="B4834" s="42">
        <v>17407</v>
      </c>
      <c r="C4834" s="34" t="s">
        <v>5545</v>
      </c>
    </row>
    <row r="4835" spans="1:3" ht="15.75" customHeight="1" x14ac:dyDescent="0.2">
      <c r="A4835" s="42">
        <v>5200</v>
      </c>
      <c r="B4835" s="42">
        <v>17407</v>
      </c>
      <c r="C4835" s="34" t="s">
        <v>5546</v>
      </c>
    </row>
    <row r="4836" spans="1:3" ht="15.75" customHeight="1" x14ac:dyDescent="0.2">
      <c r="A4836" s="42">
        <v>5201</v>
      </c>
      <c r="B4836" s="42">
        <v>17407</v>
      </c>
      <c r="C4836" s="34" t="s">
        <v>5547</v>
      </c>
    </row>
    <row r="4837" spans="1:3" ht="15.75" customHeight="1" x14ac:dyDescent="0.2">
      <c r="A4837" s="42">
        <v>5202</v>
      </c>
      <c r="B4837" s="42">
        <v>17407</v>
      </c>
      <c r="C4837" s="34" t="s">
        <v>5548</v>
      </c>
    </row>
    <row r="4838" spans="1:3" ht="15.75" customHeight="1" x14ac:dyDescent="0.2">
      <c r="A4838" s="42">
        <v>5203</v>
      </c>
      <c r="B4838" s="42">
        <v>17407</v>
      </c>
      <c r="C4838" s="34" t="s">
        <v>5549</v>
      </c>
    </row>
    <row r="4839" spans="1:3" ht="15.75" customHeight="1" x14ac:dyDescent="0.2">
      <c r="A4839" s="42">
        <v>5204</v>
      </c>
      <c r="B4839" s="42">
        <v>17407</v>
      </c>
      <c r="C4839" s="34" t="s">
        <v>5550</v>
      </c>
    </row>
    <row r="4840" spans="1:3" ht="15.75" customHeight="1" x14ac:dyDescent="0.2">
      <c r="A4840" s="42">
        <v>5205</v>
      </c>
      <c r="B4840" s="42">
        <v>17407</v>
      </c>
      <c r="C4840" s="34" t="s">
        <v>5551</v>
      </c>
    </row>
    <row r="4841" spans="1:3" ht="15.75" customHeight="1" x14ac:dyDescent="0.2">
      <c r="A4841" s="42">
        <v>5206</v>
      </c>
      <c r="B4841" s="42">
        <v>17407</v>
      </c>
      <c r="C4841" s="34" t="s">
        <v>5552</v>
      </c>
    </row>
    <row r="4842" spans="1:3" ht="15.75" customHeight="1" x14ac:dyDescent="0.2">
      <c r="A4842" s="42">
        <v>5207</v>
      </c>
      <c r="B4842" s="42">
        <v>17407</v>
      </c>
      <c r="C4842" s="34" t="s">
        <v>5553</v>
      </c>
    </row>
    <row r="4843" spans="1:3" ht="15.75" customHeight="1" x14ac:dyDescent="0.2">
      <c r="A4843" s="42">
        <v>5208</v>
      </c>
      <c r="B4843" s="42">
        <v>17407</v>
      </c>
      <c r="C4843" s="34" t="s">
        <v>5554</v>
      </c>
    </row>
    <row r="4844" spans="1:3" ht="15.75" customHeight="1" x14ac:dyDescent="0.2">
      <c r="A4844" s="42">
        <v>5209</v>
      </c>
      <c r="B4844" s="42">
        <v>17407</v>
      </c>
      <c r="C4844" s="34" t="s">
        <v>5555</v>
      </c>
    </row>
    <row r="4845" spans="1:3" ht="15.75" customHeight="1" x14ac:dyDescent="0.2">
      <c r="A4845" s="42">
        <v>5210</v>
      </c>
      <c r="B4845" s="42">
        <v>17407</v>
      </c>
      <c r="C4845" s="34" t="s">
        <v>5556</v>
      </c>
    </row>
    <row r="4846" spans="1:3" ht="15.75" customHeight="1" x14ac:dyDescent="0.2">
      <c r="A4846" s="42">
        <v>5211</v>
      </c>
      <c r="B4846" s="42">
        <v>17407</v>
      </c>
      <c r="C4846" s="34" t="s">
        <v>5557</v>
      </c>
    </row>
    <row r="4847" spans="1:3" ht="15.75" customHeight="1" x14ac:dyDescent="0.2">
      <c r="A4847" s="42">
        <v>5212</v>
      </c>
      <c r="B4847" s="42">
        <v>17407</v>
      </c>
      <c r="C4847" s="34" t="s">
        <v>5558</v>
      </c>
    </row>
    <row r="4848" spans="1:3" ht="15.75" customHeight="1" x14ac:dyDescent="0.2">
      <c r="A4848" s="42">
        <v>5213</v>
      </c>
      <c r="B4848" s="42">
        <v>17407</v>
      </c>
      <c r="C4848" s="34" t="s">
        <v>5559</v>
      </c>
    </row>
    <row r="4849" spans="1:3" ht="15.75" customHeight="1" x14ac:dyDescent="0.2">
      <c r="A4849" s="42">
        <v>5214</v>
      </c>
      <c r="B4849" s="42">
        <v>17407</v>
      </c>
      <c r="C4849" s="34" t="s">
        <v>5560</v>
      </c>
    </row>
    <row r="4850" spans="1:3" ht="15.75" customHeight="1" x14ac:dyDescent="0.2">
      <c r="A4850" s="42">
        <v>5215</v>
      </c>
      <c r="B4850" s="42">
        <v>17407</v>
      </c>
      <c r="C4850" s="34" t="s">
        <v>5561</v>
      </c>
    </row>
    <row r="4851" spans="1:3" ht="15.75" customHeight="1" x14ac:dyDescent="0.2">
      <c r="A4851" s="42">
        <v>5216</v>
      </c>
      <c r="B4851" s="42">
        <v>17407</v>
      </c>
      <c r="C4851" s="34" t="s">
        <v>5562</v>
      </c>
    </row>
    <row r="4852" spans="1:3" ht="15.75" customHeight="1" x14ac:dyDescent="0.2">
      <c r="A4852" s="42">
        <v>5217</v>
      </c>
      <c r="B4852" s="42">
        <v>17407</v>
      </c>
      <c r="C4852" s="34" t="s">
        <v>5550</v>
      </c>
    </row>
    <row r="4853" spans="1:3" ht="15.75" customHeight="1" x14ac:dyDescent="0.2">
      <c r="A4853" s="42">
        <v>5218</v>
      </c>
      <c r="B4853" s="42">
        <v>17407</v>
      </c>
      <c r="C4853" s="34" t="s">
        <v>5563</v>
      </c>
    </row>
    <row r="4854" spans="1:3" ht="15.75" customHeight="1" x14ac:dyDescent="0.2">
      <c r="A4854" s="42">
        <v>5219</v>
      </c>
      <c r="B4854" s="42">
        <v>17407</v>
      </c>
      <c r="C4854" s="34" t="s">
        <v>5564</v>
      </c>
    </row>
    <row r="4855" spans="1:3" ht="15.75" customHeight="1" x14ac:dyDescent="0.2">
      <c r="A4855" s="42">
        <v>5220</v>
      </c>
      <c r="B4855" s="42">
        <v>17407</v>
      </c>
      <c r="C4855" s="34" t="s">
        <v>5565</v>
      </c>
    </row>
    <row r="4856" spans="1:3" ht="15.75" customHeight="1" x14ac:dyDescent="0.2">
      <c r="A4856" s="42">
        <v>5221</v>
      </c>
      <c r="B4856" s="42">
        <v>17407</v>
      </c>
      <c r="C4856" s="34" t="s">
        <v>5566</v>
      </c>
    </row>
    <row r="4857" spans="1:3" ht="15.75" customHeight="1" x14ac:dyDescent="0.2">
      <c r="A4857" s="42">
        <v>5222</v>
      </c>
      <c r="B4857" s="42">
        <v>17407</v>
      </c>
      <c r="C4857" s="34" t="s">
        <v>5567</v>
      </c>
    </row>
    <row r="4858" spans="1:3" ht="15.75" customHeight="1" x14ac:dyDescent="0.2">
      <c r="A4858" s="42">
        <v>5223</v>
      </c>
      <c r="B4858" s="42">
        <v>17407</v>
      </c>
      <c r="C4858" s="34" t="s">
        <v>5568</v>
      </c>
    </row>
    <row r="4859" spans="1:3" ht="15.75" customHeight="1" x14ac:dyDescent="0.2">
      <c r="A4859" s="42">
        <v>5224</v>
      </c>
      <c r="B4859" s="42">
        <v>17407</v>
      </c>
      <c r="C4859" s="34" t="s">
        <v>5569</v>
      </c>
    </row>
    <row r="4860" spans="1:3" ht="15.75" customHeight="1" x14ac:dyDescent="0.2">
      <c r="A4860" s="42">
        <v>5225</v>
      </c>
      <c r="B4860" s="42">
        <v>17407</v>
      </c>
      <c r="C4860" s="34" t="s">
        <v>5570</v>
      </c>
    </row>
    <row r="4861" spans="1:3" ht="15.75" customHeight="1" x14ac:dyDescent="0.2">
      <c r="A4861" s="42">
        <v>5226</v>
      </c>
      <c r="B4861" s="42">
        <v>17407</v>
      </c>
      <c r="C4861" s="34" t="s">
        <v>5571</v>
      </c>
    </row>
    <row r="4862" spans="1:3" ht="15.75" customHeight="1" x14ac:dyDescent="0.2">
      <c r="A4862" s="42">
        <v>5227</v>
      </c>
      <c r="B4862" s="42">
        <v>17407</v>
      </c>
      <c r="C4862" s="34" t="s">
        <v>5572</v>
      </c>
    </row>
    <row r="4863" spans="1:3" ht="15.75" customHeight="1" x14ac:dyDescent="0.2">
      <c r="A4863" s="42">
        <v>5228</v>
      </c>
      <c r="B4863" s="42">
        <v>17407</v>
      </c>
      <c r="C4863" s="34" t="s">
        <v>5573</v>
      </c>
    </row>
    <row r="4864" spans="1:3" ht="15.75" customHeight="1" x14ac:dyDescent="0.2">
      <c r="A4864" s="42">
        <v>5229</v>
      </c>
      <c r="B4864" s="42">
        <v>17407</v>
      </c>
      <c r="C4864" s="34" t="s">
        <v>5574</v>
      </c>
    </row>
    <row r="4865" spans="1:3" ht="15.75" customHeight="1" x14ac:dyDescent="0.2">
      <c r="A4865" s="42">
        <v>5230</v>
      </c>
      <c r="B4865" s="42">
        <v>17407</v>
      </c>
      <c r="C4865" s="34" t="s">
        <v>5575</v>
      </c>
    </row>
    <row r="4866" spans="1:3" ht="15.75" customHeight="1" x14ac:dyDescent="0.2">
      <c r="A4866" s="42">
        <v>5231</v>
      </c>
      <c r="B4866" s="42">
        <v>17407</v>
      </c>
      <c r="C4866" s="34" t="s">
        <v>5576</v>
      </c>
    </row>
    <row r="4867" spans="1:3" ht="15.75" customHeight="1" x14ac:dyDescent="0.2">
      <c r="A4867" s="42">
        <v>5232</v>
      </c>
      <c r="B4867" s="42">
        <v>17407</v>
      </c>
      <c r="C4867" s="34" t="s">
        <v>5577</v>
      </c>
    </row>
    <row r="4868" spans="1:3" ht="15.75" customHeight="1" x14ac:dyDescent="0.2">
      <c r="A4868" s="42">
        <v>5233</v>
      </c>
      <c r="B4868" s="42">
        <v>17407</v>
      </c>
      <c r="C4868" s="34" t="s">
        <v>5578</v>
      </c>
    </row>
    <row r="4869" spans="1:3" ht="15.75" customHeight="1" x14ac:dyDescent="0.2">
      <c r="A4869" s="42">
        <v>5234</v>
      </c>
      <c r="B4869" s="42">
        <v>17407</v>
      </c>
      <c r="C4869" s="34" t="s">
        <v>5579</v>
      </c>
    </row>
    <row r="4870" spans="1:3" ht="15.75" customHeight="1" x14ac:dyDescent="0.2">
      <c r="A4870" s="42">
        <v>5235</v>
      </c>
      <c r="B4870" s="42">
        <v>17407</v>
      </c>
      <c r="C4870" s="34" t="s">
        <v>5580</v>
      </c>
    </row>
    <row r="4871" spans="1:3" ht="15.75" customHeight="1" x14ac:dyDescent="0.2">
      <c r="A4871" s="42">
        <v>5236</v>
      </c>
      <c r="B4871" s="42">
        <v>17407</v>
      </c>
      <c r="C4871" s="34" t="s">
        <v>5581</v>
      </c>
    </row>
    <row r="4872" spans="1:3" ht="15.75" customHeight="1" x14ac:dyDescent="0.2">
      <c r="A4872" s="42">
        <v>5237</v>
      </c>
      <c r="B4872" s="42">
        <v>17407</v>
      </c>
      <c r="C4872" s="34" t="s">
        <v>5582</v>
      </c>
    </row>
    <row r="4873" spans="1:3" ht="15.75" customHeight="1" x14ac:dyDescent="0.2">
      <c r="A4873" s="42">
        <v>5238</v>
      </c>
      <c r="B4873" s="42">
        <v>17407</v>
      </c>
      <c r="C4873" s="34" t="s">
        <v>5583</v>
      </c>
    </row>
    <row r="4874" spans="1:3" ht="15.75" customHeight="1" x14ac:dyDescent="0.2">
      <c r="A4874" s="42">
        <v>5239</v>
      </c>
      <c r="B4874" s="42">
        <v>17407</v>
      </c>
      <c r="C4874" s="34" t="s">
        <v>5584</v>
      </c>
    </row>
    <row r="4875" spans="1:3" ht="15.75" customHeight="1" x14ac:dyDescent="0.2">
      <c r="A4875" s="42">
        <v>5240</v>
      </c>
      <c r="B4875" s="42">
        <v>17407</v>
      </c>
      <c r="C4875" s="34" t="s">
        <v>5585</v>
      </c>
    </row>
    <row r="4876" spans="1:3" ht="15.75" customHeight="1" x14ac:dyDescent="0.2">
      <c r="A4876" s="42">
        <v>5241</v>
      </c>
      <c r="B4876" s="42">
        <v>17407</v>
      </c>
      <c r="C4876" s="34" t="s">
        <v>5586</v>
      </c>
    </row>
    <row r="4877" spans="1:3" ht="15.75" customHeight="1" x14ac:dyDescent="0.2">
      <c r="A4877" s="42">
        <v>5242</v>
      </c>
      <c r="B4877" s="42">
        <v>17407</v>
      </c>
      <c r="C4877" s="34" t="s">
        <v>5587</v>
      </c>
    </row>
    <row r="4878" spans="1:3" ht="15.75" customHeight="1" x14ac:dyDescent="0.2">
      <c r="A4878" s="42">
        <v>5243</v>
      </c>
      <c r="B4878" s="42">
        <v>17407</v>
      </c>
      <c r="C4878" s="34" t="s">
        <v>5588</v>
      </c>
    </row>
    <row r="4879" spans="1:3" ht="15.75" customHeight="1" x14ac:dyDescent="0.2">
      <c r="A4879" s="42">
        <v>5244</v>
      </c>
      <c r="B4879" s="42">
        <v>17407</v>
      </c>
      <c r="C4879" s="34" t="s">
        <v>5589</v>
      </c>
    </row>
    <row r="4880" spans="1:3" ht="15.75" customHeight="1" x14ac:dyDescent="0.2">
      <c r="A4880" s="42">
        <v>5245</v>
      </c>
      <c r="B4880" s="42">
        <v>17407</v>
      </c>
      <c r="C4880" s="34" t="s">
        <v>5590</v>
      </c>
    </row>
    <row r="4881" spans="1:3" ht="15.75" customHeight="1" x14ac:dyDescent="0.2">
      <c r="A4881" s="42">
        <v>5246</v>
      </c>
      <c r="B4881" s="42">
        <v>17407</v>
      </c>
      <c r="C4881" s="34" t="s">
        <v>5591</v>
      </c>
    </row>
    <row r="4882" spans="1:3" ht="15.75" customHeight="1" x14ac:dyDescent="0.2">
      <c r="A4882" s="42">
        <v>5247</v>
      </c>
      <c r="B4882" s="42">
        <v>17407</v>
      </c>
      <c r="C4882" s="34" t="s">
        <v>5592</v>
      </c>
    </row>
    <row r="4883" spans="1:3" ht="15.75" customHeight="1" x14ac:dyDescent="0.2">
      <c r="A4883" s="42">
        <v>5248</v>
      </c>
      <c r="B4883" s="42">
        <v>17407</v>
      </c>
      <c r="C4883" s="34" t="s">
        <v>5593</v>
      </c>
    </row>
    <row r="4884" spans="1:3" ht="15.75" customHeight="1" x14ac:dyDescent="0.2">
      <c r="A4884" s="42">
        <v>5249</v>
      </c>
      <c r="B4884" s="42">
        <v>17407</v>
      </c>
      <c r="C4884" s="34" t="s">
        <v>5524</v>
      </c>
    </row>
    <row r="4885" spans="1:3" ht="15.75" customHeight="1" x14ac:dyDescent="0.2">
      <c r="A4885" s="42">
        <v>5250</v>
      </c>
      <c r="B4885" s="42">
        <v>17407</v>
      </c>
      <c r="C4885" s="34" t="s">
        <v>5594</v>
      </c>
    </row>
    <row r="4886" spans="1:3" ht="15.75" customHeight="1" x14ac:dyDescent="0.2">
      <c r="A4886" s="42">
        <v>5251</v>
      </c>
      <c r="B4886" s="42">
        <v>17407</v>
      </c>
      <c r="C4886" s="34" t="s">
        <v>5595</v>
      </c>
    </row>
    <row r="4887" spans="1:3" ht="15.75" customHeight="1" x14ac:dyDescent="0.2">
      <c r="A4887" s="42">
        <v>5252</v>
      </c>
      <c r="B4887" s="42">
        <v>17407</v>
      </c>
      <c r="C4887" s="34" t="s">
        <v>5596</v>
      </c>
    </row>
    <row r="4888" spans="1:3" ht="15.75" customHeight="1" x14ac:dyDescent="0.2">
      <c r="A4888" s="42">
        <v>5253</v>
      </c>
      <c r="B4888" s="42">
        <v>17408</v>
      </c>
      <c r="C4888" s="34" t="s">
        <v>5597</v>
      </c>
    </row>
    <row r="4889" spans="1:3" ht="15.75" customHeight="1" x14ac:dyDescent="0.2">
      <c r="A4889" s="42">
        <v>5254</v>
      </c>
      <c r="B4889" s="42">
        <v>17408</v>
      </c>
      <c r="C4889" s="34" t="s">
        <v>5598</v>
      </c>
    </row>
    <row r="4890" spans="1:3" ht="15.75" customHeight="1" x14ac:dyDescent="0.2">
      <c r="A4890" s="42">
        <v>5255</v>
      </c>
      <c r="B4890" s="42">
        <v>17408</v>
      </c>
      <c r="C4890" s="34" t="s">
        <v>5599</v>
      </c>
    </row>
    <row r="4891" spans="1:3" ht="15.75" customHeight="1" x14ac:dyDescent="0.2">
      <c r="A4891" s="42">
        <v>5256</v>
      </c>
      <c r="B4891" s="42">
        <v>17408</v>
      </c>
      <c r="C4891" s="34" t="s">
        <v>5600</v>
      </c>
    </row>
    <row r="4892" spans="1:3" ht="15.75" customHeight="1" x14ac:dyDescent="0.2">
      <c r="A4892" s="42">
        <v>5257</v>
      </c>
      <c r="B4892" s="42">
        <v>17408</v>
      </c>
      <c r="C4892" s="34" t="s">
        <v>5601</v>
      </c>
    </row>
    <row r="4893" spans="1:3" ht="15.75" customHeight="1" x14ac:dyDescent="0.2">
      <c r="A4893" s="42">
        <v>5258</v>
      </c>
      <c r="B4893" s="42">
        <v>17408</v>
      </c>
      <c r="C4893" s="34" t="s">
        <v>5602</v>
      </c>
    </row>
    <row r="4894" spans="1:3" ht="15.75" customHeight="1" x14ac:dyDescent="0.2">
      <c r="A4894" s="42">
        <v>5259</v>
      </c>
      <c r="B4894" s="42">
        <v>17408</v>
      </c>
      <c r="C4894" s="34" t="s">
        <v>5603</v>
      </c>
    </row>
    <row r="4895" spans="1:3" ht="15.75" customHeight="1" x14ac:dyDescent="0.2">
      <c r="A4895" s="42">
        <v>5260</v>
      </c>
      <c r="B4895" s="42">
        <v>17408</v>
      </c>
      <c r="C4895" s="34" t="s">
        <v>5604</v>
      </c>
    </row>
    <row r="4896" spans="1:3" ht="15.75" customHeight="1" x14ac:dyDescent="0.2">
      <c r="A4896" s="42">
        <v>5261</v>
      </c>
      <c r="B4896" s="42">
        <v>17408</v>
      </c>
      <c r="C4896" s="34" t="s">
        <v>5605</v>
      </c>
    </row>
    <row r="4897" spans="1:3" ht="15.75" customHeight="1" x14ac:dyDescent="0.2">
      <c r="A4897" s="42">
        <v>5262</v>
      </c>
      <c r="B4897" s="42">
        <v>17408</v>
      </c>
      <c r="C4897" s="34" t="s">
        <v>5601</v>
      </c>
    </row>
    <row r="4898" spans="1:3" ht="15.75" customHeight="1" x14ac:dyDescent="0.2">
      <c r="A4898" s="42">
        <v>5263</v>
      </c>
      <c r="B4898" s="42">
        <v>17408</v>
      </c>
      <c r="C4898" s="34" t="s">
        <v>5606</v>
      </c>
    </row>
    <row r="4899" spans="1:3" ht="15.75" customHeight="1" x14ac:dyDescent="0.2">
      <c r="A4899" s="42">
        <v>5264</v>
      </c>
      <c r="B4899" s="42">
        <v>17408</v>
      </c>
      <c r="C4899" s="34" t="s">
        <v>5607</v>
      </c>
    </row>
    <row r="4900" spans="1:3" ht="15.75" customHeight="1" x14ac:dyDescent="0.2">
      <c r="A4900" s="42">
        <v>5265</v>
      </c>
      <c r="B4900" s="42">
        <v>17408</v>
      </c>
      <c r="C4900" s="34" t="s">
        <v>5608</v>
      </c>
    </row>
    <row r="4901" spans="1:3" ht="15.75" customHeight="1" x14ac:dyDescent="0.2">
      <c r="A4901" s="42">
        <v>5266</v>
      </c>
      <c r="B4901" s="42">
        <v>17408</v>
      </c>
      <c r="C4901" s="34" t="s">
        <v>5609</v>
      </c>
    </row>
    <row r="4902" spans="1:3" ht="15.75" customHeight="1" x14ac:dyDescent="0.2">
      <c r="A4902" s="42">
        <v>5267</v>
      </c>
      <c r="B4902" s="42">
        <v>17408</v>
      </c>
      <c r="C4902" s="34" t="s">
        <v>5610</v>
      </c>
    </row>
    <row r="4903" spans="1:3" ht="15.75" customHeight="1" x14ac:dyDescent="0.2">
      <c r="A4903" s="42">
        <v>5268</v>
      </c>
      <c r="B4903" s="42">
        <v>17408</v>
      </c>
      <c r="C4903" s="34" t="s">
        <v>5611</v>
      </c>
    </row>
    <row r="4904" spans="1:3" ht="15.75" customHeight="1" x14ac:dyDescent="0.2">
      <c r="A4904" s="42">
        <v>5269</v>
      </c>
      <c r="B4904" s="42">
        <v>17408</v>
      </c>
      <c r="C4904" s="34" t="s">
        <v>5612</v>
      </c>
    </row>
    <row r="4905" spans="1:3" ht="15.75" customHeight="1" x14ac:dyDescent="0.2">
      <c r="A4905" s="42">
        <v>5270</v>
      </c>
      <c r="B4905" s="42">
        <v>17408</v>
      </c>
      <c r="C4905" s="34" t="s">
        <v>5613</v>
      </c>
    </row>
    <row r="4906" spans="1:3" ht="15.75" customHeight="1" x14ac:dyDescent="0.2">
      <c r="A4906" s="42">
        <v>5271</v>
      </c>
      <c r="B4906" s="42">
        <v>17408</v>
      </c>
      <c r="C4906" s="34" t="s">
        <v>5606</v>
      </c>
    </row>
    <row r="4907" spans="1:3" ht="15.75" customHeight="1" x14ac:dyDescent="0.2">
      <c r="A4907" s="42">
        <v>5272</v>
      </c>
      <c r="B4907" s="42">
        <v>17408</v>
      </c>
      <c r="C4907" s="34" t="s">
        <v>5614</v>
      </c>
    </row>
    <row r="4908" spans="1:3" ht="15.75" customHeight="1" x14ac:dyDescent="0.2">
      <c r="A4908" s="42">
        <v>5273</v>
      </c>
      <c r="B4908" s="42">
        <v>17408</v>
      </c>
      <c r="C4908" s="34" t="s">
        <v>5615</v>
      </c>
    </row>
    <row r="4909" spans="1:3" ht="15.75" customHeight="1" x14ac:dyDescent="0.2">
      <c r="A4909" s="42">
        <v>5274</v>
      </c>
      <c r="B4909" s="42">
        <v>17408</v>
      </c>
      <c r="C4909" s="34" t="s">
        <v>5616</v>
      </c>
    </row>
    <row r="4910" spans="1:3" ht="15.75" customHeight="1" x14ac:dyDescent="0.2">
      <c r="A4910" s="42">
        <v>5275</v>
      </c>
      <c r="B4910" s="42">
        <v>17408</v>
      </c>
      <c r="C4910" s="34" t="s">
        <v>5617</v>
      </c>
    </row>
    <row r="4911" spans="1:3" ht="15.75" customHeight="1" x14ac:dyDescent="0.2">
      <c r="A4911" s="42">
        <v>5276</v>
      </c>
      <c r="B4911" s="42">
        <v>17408</v>
      </c>
      <c r="C4911" s="34" t="s">
        <v>5618</v>
      </c>
    </row>
    <row r="4912" spans="1:3" ht="15.75" customHeight="1" x14ac:dyDescent="0.2">
      <c r="A4912" s="42">
        <v>5277</v>
      </c>
      <c r="B4912" s="42">
        <v>17408</v>
      </c>
      <c r="C4912" s="34" t="s">
        <v>5619</v>
      </c>
    </row>
    <row r="4913" spans="1:3" ht="15.75" customHeight="1" x14ac:dyDescent="0.2">
      <c r="A4913" s="42">
        <v>5278</v>
      </c>
      <c r="B4913" s="42">
        <v>17408</v>
      </c>
      <c r="C4913" s="34" t="s">
        <v>5620</v>
      </c>
    </row>
    <row r="4914" spans="1:3" ht="15.75" customHeight="1" x14ac:dyDescent="0.2">
      <c r="A4914" s="42">
        <v>5279</v>
      </c>
      <c r="B4914" s="42">
        <v>17408</v>
      </c>
      <c r="C4914" s="34" t="s">
        <v>5621</v>
      </c>
    </row>
    <row r="4915" spans="1:3" ht="15.75" customHeight="1" x14ac:dyDescent="0.2">
      <c r="A4915" s="42">
        <v>5280</v>
      </c>
      <c r="B4915" s="42">
        <v>17408</v>
      </c>
      <c r="C4915" s="34" t="s">
        <v>5598</v>
      </c>
    </row>
    <row r="4916" spans="1:3" ht="15.75" customHeight="1" x14ac:dyDescent="0.2">
      <c r="A4916" s="42">
        <v>5281</v>
      </c>
      <c r="B4916" s="42">
        <v>17408</v>
      </c>
      <c r="C4916" s="34" t="s">
        <v>5622</v>
      </c>
    </row>
    <row r="4917" spans="1:3" ht="15.75" customHeight="1" x14ac:dyDescent="0.2">
      <c r="A4917" s="42">
        <v>5282</v>
      </c>
      <c r="B4917" s="42">
        <v>17408</v>
      </c>
      <c r="C4917" s="34" t="s">
        <v>5623</v>
      </c>
    </row>
    <row r="4918" spans="1:3" ht="15.75" customHeight="1" x14ac:dyDescent="0.2">
      <c r="A4918" s="42">
        <v>5283</v>
      </c>
      <c r="B4918" s="42">
        <v>17408</v>
      </c>
      <c r="C4918" s="34" t="s">
        <v>5624</v>
      </c>
    </row>
    <row r="4919" spans="1:3" ht="15.75" customHeight="1" x14ac:dyDescent="0.2">
      <c r="A4919" s="42">
        <v>5284</v>
      </c>
      <c r="B4919" s="42">
        <v>17408</v>
      </c>
      <c r="C4919" s="34" t="s">
        <v>5625</v>
      </c>
    </row>
    <row r="4920" spans="1:3" ht="15.75" customHeight="1" x14ac:dyDescent="0.2">
      <c r="A4920" s="42">
        <v>5285</v>
      </c>
      <c r="B4920" s="42">
        <v>17408</v>
      </c>
      <c r="C4920" s="34" t="s">
        <v>5626</v>
      </c>
    </row>
    <row r="4921" spans="1:3" ht="15.75" customHeight="1" x14ac:dyDescent="0.2">
      <c r="A4921" s="42">
        <v>5286</v>
      </c>
      <c r="B4921" s="42">
        <v>17408</v>
      </c>
      <c r="C4921" s="34" t="s">
        <v>5627</v>
      </c>
    </row>
    <row r="4922" spans="1:3" ht="15.75" customHeight="1" x14ac:dyDescent="0.2">
      <c r="A4922" s="42">
        <v>5287</v>
      </c>
      <c r="B4922" s="42">
        <v>17408</v>
      </c>
      <c r="C4922" s="34" t="s">
        <v>5628</v>
      </c>
    </row>
    <row r="4923" spans="1:3" ht="15.75" customHeight="1" x14ac:dyDescent="0.2">
      <c r="A4923" s="42">
        <v>5288</v>
      </c>
      <c r="B4923" s="42">
        <v>17408</v>
      </c>
      <c r="C4923" s="34" t="s">
        <v>5629</v>
      </c>
    </row>
    <row r="4924" spans="1:3" ht="15.75" customHeight="1" x14ac:dyDescent="0.2">
      <c r="A4924" s="42">
        <v>5289</v>
      </c>
      <c r="B4924" s="42">
        <v>17408</v>
      </c>
      <c r="C4924" s="34" t="s">
        <v>5630</v>
      </c>
    </row>
    <row r="4925" spans="1:3" ht="15.75" customHeight="1" x14ac:dyDescent="0.2">
      <c r="A4925" s="42">
        <v>5290</v>
      </c>
      <c r="B4925" s="42">
        <v>17408</v>
      </c>
      <c r="C4925" s="34" t="s">
        <v>5631</v>
      </c>
    </row>
    <row r="4926" spans="1:3" ht="15.75" customHeight="1" x14ac:dyDescent="0.2">
      <c r="A4926" s="42">
        <v>5291</v>
      </c>
      <c r="B4926" s="42">
        <v>17408</v>
      </c>
      <c r="C4926" s="34" t="s">
        <v>5601</v>
      </c>
    </row>
    <row r="4927" spans="1:3" ht="15.75" customHeight="1" x14ac:dyDescent="0.2">
      <c r="A4927" s="42">
        <v>5292</v>
      </c>
      <c r="B4927" s="42">
        <v>17408</v>
      </c>
      <c r="C4927" s="34" t="s">
        <v>5632</v>
      </c>
    </row>
    <row r="4928" spans="1:3" ht="15.75" customHeight="1" x14ac:dyDescent="0.2">
      <c r="A4928" s="42">
        <v>5293</v>
      </c>
      <c r="B4928" s="42">
        <v>17408</v>
      </c>
      <c r="C4928" s="34" t="s">
        <v>5633</v>
      </c>
    </row>
    <row r="4929" spans="1:3" ht="15.75" customHeight="1" x14ac:dyDescent="0.2">
      <c r="A4929" s="42">
        <v>5294</v>
      </c>
      <c r="B4929" s="42">
        <v>17408</v>
      </c>
      <c r="C4929" s="34" t="s">
        <v>5634</v>
      </c>
    </row>
    <row r="4930" spans="1:3" ht="15.75" customHeight="1" x14ac:dyDescent="0.2">
      <c r="A4930" s="42">
        <v>5295</v>
      </c>
      <c r="B4930" s="42">
        <v>17408</v>
      </c>
      <c r="C4930" s="34" t="s">
        <v>5635</v>
      </c>
    </row>
    <row r="4931" spans="1:3" ht="15.75" customHeight="1" x14ac:dyDescent="0.2">
      <c r="A4931" s="42">
        <v>5296</v>
      </c>
      <c r="B4931" s="42">
        <v>17408</v>
      </c>
      <c r="C4931" s="34" t="s">
        <v>5636</v>
      </c>
    </row>
    <row r="4932" spans="1:3" ht="15.75" customHeight="1" x14ac:dyDescent="0.2">
      <c r="A4932" s="42">
        <v>5297</v>
      </c>
      <c r="B4932" s="42">
        <v>17408</v>
      </c>
      <c r="C4932" s="34" t="s">
        <v>5637</v>
      </c>
    </row>
    <row r="4933" spans="1:3" ht="15.75" customHeight="1" x14ac:dyDescent="0.2">
      <c r="A4933" s="42">
        <v>5298</v>
      </c>
      <c r="B4933" s="42">
        <v>17408</v>
      </c>
      <c r="C4933" s="34" t="s">
        <v>5638</v>
      </c>
    </row>
    <row r="4934" spans="1:3" ht="15.75" customHeight="1" x14ac:dyDescent="0.2">
      <c r="A4934" s="42">
        <v>5299</v>
      </c>
      <c r="B4934" s="42">
        <v>17408</v>
      </c>
      <c r="C4934" s="34" t="s">
        <v>5639</v>
      </c>
    </row>
    <row r="4935" spans="1:3" ht="15.75" customHeight="1" x14ac:dyDescent="0.2">
      <c r="A4935" s="42">
        <v>5300</v>
      </c>
      <c r="B4935" s="42">
        <v>17408</v>
      </c>
      <c r="C4935" s="34" t="s">
        <v>5640</v>
      </c>
    </row>
    <row r="4936" spans="1:3" ht="15.75" customHeight="1" x14ac:dyDescent="0.2">
      <c r="A4936" s="42">
        <v>5301</v>
      </c>
      <c r="B4936" s="42">
        <v>17408</v>
      </c>
      <c r="C4936" s="34" t="s">
        <v>5641</v>
      </c>
    </row>
    <row r="4937" spans="1:3" ht="15.75" customHeight="1" x14ac:dyDescent="0.2">
      <c r="A4937" s="42">
        <v>5302</v>
      </c>
      <c r="B4937" s="42">
        <v>17408</v>
      </c>
      <c r="C4937" s="34" t="s">
        <v>5620</v>
      </c>
    </row>
    <row r="4938" spans="1:3" ht="15.75" customHeight="1" x14ac:dyDescent="0.2">
      <c r="A4938" s="42">
        <v>5303</v>
      </c>
      <c r="B4938" s="42">
        <v>17408</v>
      </c>
      <c r="C4938" s="34" t="s">
        <v>5642</v>
      </c>
    </row>
    <row r="4939" spans="1:3" ht="15.75" customHeight="1" x14ac:dyDescent="0.2">
      <c r="A4939" s="42">
        <v>5304</v>
      </c>
      <c r="B4939" s="42">
        <v>17408</v>
      </c>
      <c r="C4939" s="34" t="s">
        <v>5643</v>
      </c>
    </row>
    <row r="4940" spans="1:3" ht="15.75" customHeight="1" x14ac:dyDescent="0.2">
      <c r="A4940" s="42">
        <v>5305</v>
      </c>
      <c r="B4940" s="42">
        <v>17408</v>
      </c>
      <c r="C4940" s="34" t="s">
        <v>5644</v>
      </c>
    </row>
    <row r="4941" spans="1:3" ht="15.75" customHeight="1" x14ac:dyDescent="0.2">
      <c r="A4941" s="42">
        <v>5306</v>
      </c>
      <c r="B4941" s="42">
        <v>17408</v>
      </c>
      <c r="C4941" s="34" t="s">
        <v>5645</v>
      </c>
    </row>
    <row r="4942" spans="1:3" ht="15.75" customHeight="1" x14ac:dyDescent="0.2">
      <c r="A4942" s="42">
        <v>5307</v>
      </c>
      <c r="B4942" s="42">
        <v>17408</v>
      </c>
      <c r="C4942" s="34" t="s">
        <v>5646</v>
      </c>
    </row>
    <row r="4943" spans="1:3" ht="15.75" customHeight="1" x14ac:dyDescent="0.2">
      <c r="A4943" s="42">
        <v>5308</v>
      </c>
      <c r="B4943" s="42">
        <v>17408</v>
      </c>
      <c r="C4943" s="34" t="s">
        <v>5647</v>
      </c>
    </row>
    <row r="4944" spans="1:3" ht="15.75" customHeight="1" x14ac:dyDescent="0.2">
      <c r="A4944" s="42">
        <v>5309</v>
      </c>
      <c r="B4944" s="42">
        <v>17408</v>
      </c>
      <c r="C4944" s="34" t="s">
        <v>5648</v>
      </c>
    </row>
    <row r="4945" spans="1:3" ht="15.75" customHeight="1" x14ac:dyDescent="0.2">
      <c r="A4945" s="42">
        <v>5310</v>
      </c>
      <c r="B4945" s="42">
        <v>17408</v>
      </c>
      <c r="C4945" s="34" t="s">
        <v>5649</v>
      </c>
    </row>
    <row r="4946" spans="1:3" ht="15.75" customHeight="1" x14ac:dyDescent="0.2">
      <c r="A4946" s="42">
        <v>5311</v>
      </c>
      <c r="B4946" s="42">
        <v>17408</v>
      </c>
      <c r="C4946" s="34" t="s">
        <v>5650</v>
      </c>
    </row>
    <row r="4947" spans="1:3" ht="15.75" customHeight="1" x14ac:dyDescent="0.2">
      <c r="A4947" s="42">
        <v>5312</v>
      </c>
      <c r="B4947" s="42">
        <v>17408</v>
      </c>
      <c r="C4947" s="34" t="s">
        <v>5651</v>
      </c>
    </row>
    <row r="4948" spans="1:3" ht="15.75" customHeight="1" x14ac:dyDescent="0.2">
      <c r="A4948" s="42">
        <v>5313</v>
      </c>
      <c r="B4948" s="42">
        <v>17408</v>
      </c>
      <c r="C4948" s="34" t="s">
        <v>5652</v>
      </c>
    </row>
    <row r="4949" spans="1:3" ht="15.75" customHeight="1" x14ac:dyDescent="0.2">
      <c r="A4949" s="42">
        <v>5314</v>
      </c>
      <c r="B4949" s="42">
        <v>17408</v>
      </c>
      <c r="C4949" s="34" t="s">
        <v>5610</v>
      </c>
    </row>
    <row r="4950" spans="1:3" ht="15.75" customHeight="1" x14ac:dyDescent="0.2">
      <c r="A4950" s="42">
        <v>5315</v>
      </c>
      <c r="B4950" s="42">
        <v>17408</v>
      </c>
      <c r="C4950" s="34" t="s">
        <v>5653</v>
      </c>
    </row>
    <row r="4951" spans="1:3" ht="15.75" customHeight="1" x14ac:dyDescent="0.2">
      <c r="A4951" s="42">
        <v>5316</v>
      </c>
      <c r="B4951" s="42">
        <v>17408</v>
      </c>
      <c r="C4951" s="34" t="s">
        <v>5654</v>
      </c>
    </row>
    <row r="4952" spans="1:3" ht="15.75" customHeight="1" x14ac:dyDescent="0.2">
      <c r="A4952" s="42">
        <v>5317</v>
      </c>
      <c r="B4952" s="42">
        <v>17408</v>
      </c>
      <c r="C4952" s="34" t="s">
        <v>5655</v>
      </c>
    </row>
    <row r="4953" spans="1:3" ht="15.75" customHeight="1" x14ac:dyDescent="0.2">
      <c r="A4953" s="42">
        <v>5318</v>
      </c>
      <c r="B4953" s="42">
        <v>17408</v>
      </c>
      <c r="C4953" s="34" t="s">
        <v>5656</v>
      </c>
    </row>
    <row r="4954" spans="1:3" ht="15.75" customHeight="1" x14ac:dyDescent="0.2">
      <c r="A4954" s="42">
        <v>5319</v>
      </c>
      <c r="B4954" s="42">
        <v>17408</v>
      </c>
      <c r="C4954" s="34" t="s">
        <v>5657</v>
      </c>
    </row>
    <row r="4955" spans="1:3" ht="15.75" customHeight="1" x14ac:dyDescent="0.2">
      <c r="A4955" s="42">
        <v>5320</v>
      </c>
      <c r="B4955" s="42">
        <v>17408</v>
      </c>
      <c r="C4955" s="34" t="s">
        <v>5658</v>
      </c>
    </row>
    <row r="4956" spans="1:3" ht="15.75" customHeight="1" x14ac:dyDescent="0.2">
      <c r="A4956" s="42">
        <v>5321</v>
      </c>
      <c r="B4956" s="42">
        <v>17408</v>
      </c>
      <c r="C4956" s="34" t="s">
        <v>5659</v>
      </c>
    </row>
    <row r="4957" spans="1:3" ht="15.75" customHeight="1" x14ac:dyDescent="0.2">
      <c r="A4957" s="42">
        <v>5322</v>
      </c>
      <c r="B4957" s="42">
        <v>17408</v>
      </c>
      <c r="C4957" s="34" t="s">
        <v>5660</v>
      </c>
    </row>
    <row r="4958" spans="1:3" ht="15.75" customHeight="1" x14ac:dyDescent="0.2">
      <c r="A4958" s="42">
        <v>5323</v>
      </c>
      <c r="B4958" s="42">
        <v>17408</v>
      </c>
      <c r="C4958" s="34" t="s">
        <v>5661</v>
      </c>
    </row>
    <row r="4959" spans="1:3" ht="15.75" customHeight="1" x14ac:dyDescent="0.2">
      <c r="A4959" s="42">
        <v>5324</v>
      </c>
      <c r="B4959" s="42">
        <v>17408</v>
      </c>
      <c r="C4959" s="34" t="s">
        <v>5662</v>
      </c>
    </row>
    <row r="4960" spans="1:3" ht="15.75" customHeight="1" x14ac:dyDescent="0.2">
      <c r="A4960" s="42">
        <v>5325</v>
      </c>
      <c r="B4960" s="42">
        <v>17408</v>
      </c>
      <c r="C4960" s="34" t="s">
        <v>5663</v>
      </c>
    </row>
    <row r="4961" spans="1:3" ht="15.75" customHeight="1" x14ac:dyDescent="0.2">
      <c r="A4961" s="42">
        <v>5326</v>
      </c>
      <c r="B4961" s="42">
        <v>17408</v>
      </c>
      <c r="C4961" s="34" t="s">
        <v>5664</v>
      </c>
    </row>
    <row r="4962" spans="1:3" ht="15.75" customHeight="1" x14ac:dyDescent="0.2">
      <c r="A4962" s="42">
        <v>5327</v>
      </c>
      <c r="B4962" s="42">
        <v>17408</v>
      </c>
      <c r="C4962" s="34" t="s">
        <v>5665</v>
      </c>
    </row>
    <row r="4963" spans="1:3" ht="15.75" customHeight="1" x14ac:dyDescent="0.2">
      <c r="A4963" s="42">
        <v>5328</v>
      </c>
      <c r="B4963" s="42">
        <v>17408</v>
      </c>
      <c r="C4963" s="34" t="s">
        <v>5666</v>
      </c>
    </row>
    <row r="4964" spans="1:3" ht="15.75" customHeight="1" x14ac:dyDescent="0.2">
      <c r="A4964" s="42">
        <v>5329</v>
      </c>
      <c r="B4964" s="42">
        <v>17408</v>
      </c>
      <c r="C4964" s="34" t="s">
        <v>5667</v>
      </c>
    </row>
    <row r="4965" spans="1:3" ht="15.75" customHeight="1" x14ac:dyDescent="0.2">
      <c r="A4965" s="42">
        <v>5330</v>
      </c>
      <c r="B4965" s="42">
        <v>17408</v>
      </c>
      <c r="C4965" s="34" t="s">
        <v>5668</v>
      </c>
    </row>
    <row r="4966" spans="1:3" ht="15.75" customHeight="1" x14ac:dyDescent="0.2">
      <c r="A4966" s="42">
        <v>5331</v>
      </c>
      <c r="B4966" s="42">
        <v>17408</v>
      </c>
      <c r="C4966" s="34" t="s">
        <v>5604</v>
      </c>
    </row>
    <row r="4967" spans="1:3" ht="15.75" customHeight="1" x14ac:dyDescent="0.2">
      <c r="A4967" s="42">
        <v>5332</v>
      </c>
      <c r="B4967" s="42">
        <v>17408</v>
      </c>
      <c r="C4967" s="34" t="s">
        <v>5669</v>
      </c>
    </row>
    <row r="4968" spans="1:3" ht="15.75" customHeight="1" x14ac:dyDescent="0.2">
      <c r="A4968" s="42">
        <v>5333</v>
      </c>
      <c r="B4968" s="42">
        <v>17408</v>
      </c>
      <c r="C4968" s="34" t="s">
        <v>5670</v>
      </c>
    </row>
    <row r="4969" spans="1:3" ht="15.75" customHeight="1" x14ac:dyDescent="0.2">
      <c r="A4969" s="42">
        <v>5334</v>
      </c>
      <c r="B4969" s="42">
        <v>17408</v>
      </c>
      <c r="C4969" s="34" t="s">
        <v>5671</v>
      </c>
    </row>
    <row r="4970" spans="1:3" ht="15.75" customHeight="1" x14ac:dyDescent="0.2">
      <c r="A4970" s="42">
        <v>5335</v>
      </c>
      <c r="B4970" s="42">
        <v>17408</v>
      </c>
      <c r="C4970" s="34" t="s">
        <v>5672</v>
      </c>
    </row>
    <row r="4971" spans="1:3" ht="15.75" customHeight="1" x14ac:dyDescent="0.2">
      <c r="A4971" s="42">
        <v>5336</v>
      </c>
      <c r="B4971" s="42">
        <v>17409</v>
      </c>
      <c r="C4971" s="34" t="s">
        <v>5673</v>
      </c>
    </row>
    <row r="4972" spans="1:3" ht="15.75" customHeight="1" x14ac:dyDescent="0.2">
      <c r="A4972" s="42">
        <v>5337</v>
      </c>
      <c r="B4972" s="42">
        <v>17409</v>
      </c>
      <c r="C4972" s="34" t="s">
        <v>5674</v>
      </c>
    </row>
    <row r="4973" spans="1:3" ht="15.75" customHeight="1" x14ac:dyDescent="0.2">
      <c r="A4973" s="42">
        <v>5338</v>
      </c>
      <c r="B4973" s="42">
        <v>17409</v>
      </c>
      <c r="C4973" s="34" t="s">
        <v>5675</v>
      </c>
    </row>
    <row r="4974" spans="1:3" ht="15.75" customHeight="1" x14ac:dyDescent="0.2">
      <c r="A4974" s="42">
        <v>5339</v>
      </c>
      <c r="B4974" s="42">
        <v>17409</v>
      </c>
      <c r="C4974" s="34" t="s">
        <v>5676</v>
      </c>
    </row>
    <row r="4975" spans="1:3" ht="15.75" customHeight="1" x14ac:dyDescent="0.2">
      <c r="A4975" s="42">
        <v>5340</v>
      </c>
      <c r="B4975" s="42">
        <v>17409</v>
      </c>
      <c r="C4975" s="34" t="s">
        <v>5677</v>
      </c>
    </row>
    <row r="4976" spans="1:3" ht="15.75" customHeight="1" x14ac:dyDescent="0.2">
      <c r="A4976" s="42">
        <v>5341</v>
      </c>
      <c r="B4976" s="42">
        <v>17409</v>
      </c>
      <c r="C4976" s="34" t="s">
        <v>5678</v>
      </c>
    </row>
    <row r="4977" spans="1:3" ht="15.75" customHeight="1" x14ac:dyDescent="0.2">
      <c r="A4977" s="42">
        <v>5342</v>
      </c>
      <c r="B4977" s="42">
        <v>17409</v>
      </c>
      <c r="C4977" s="34" t="s">
        <v>5679</v>
      </c>
    </row>
    <row r="4978" spans="1:3" ht="15.75" customHeight="1" x14ac:dyDescent="0.2">
      <c r="A4978" s="42">
        <v>5343</v>
      </c>
      <c r="B4978" s="42">
        <v>17409</v>
      </c>
      <c r="C4978" s="34" t="s">
        <v>5680</v>
      </c>
    </row>
    <row r="4979" spans="1:3" ht="15.75" customHeight="1" x14ac:dyDescent="0.2">
      <c r="A4979" s="42">
        <v>5344</v>
      </c>
      <c r="B4979" s="42">
        <v>17409</v>
      </c>
      <c r="C4979" s="34" t="s">
        <v>5681</v>
      </c>
    </row>
    <row r="4980" spans="1:3" ht="15.75" customHeight="1" x14ac:dyDescent="0.2">
      <c r="A4980" s="42">
        <v>5345</v>
      </c>
      <c r="B4980" s="42">
        <v>17409</v>
      </c>
      <c r="C4980" s="34" t="s">
        <v>5682</v>
      </c>
    </row>
    <row r="4981" spans="1:3" ht="15.75" customHeight="1" x14ac:dyDescent="0.2">
      <c r="A4981" s="42">
        <v>5346</v>
      </c>
      <c r="B4981" s="42">
        <v>17409</v>
      </c>
      <c r="C4981" s="34" t="s">
        <v>5678</v>
      </c>
    </row>
    <row r="4982" spans="1:3" ht="15.75" customHeight="1" x14ac:dyDescent="0.2">
      <c r="A4982" s="42">
        <v>5347</v>
      </c>
      <c r="B4982" s="42">
        <v>17409</v>
      </c>
      <c r="C4982" s="34" t="s">
        <v>5683</v>
      </c>
    </row>
    <row r="4983" spans="1:3" ht="15.75" customHeight="1" x14ac:dyDescent="0.2">
      <c r="A4983" s="42">
        <v>5348</v>
      </c>
      <c r="B4983" s="42">
        <v>17409</v>
      </c>
      <c r="C4983" s="34" t="s">
        <v>5684</v>
      </c>
    </row>
    <row r="4984" spans="1:3" ht="15.75" customHeight="1" x14ac:dyDescent="0.2">
      <c r="A4984" s="42">
        <v>5349</v>
      </c>
      <c r="B4984" s="42">
        <v>17409</v>
      </c>
      <c r="C4984" s="34" t="s">
        <v>5685</v>
      </c>
    </row>
    <row r="4985" spans="1:3" ht="15.75" customHeight="1" x14ac:dyDescent="0.2">
      <c r="A4985" s="42">
        <v>5350</v>
      </c>
      <c r="B4985" s="42">
        <v>17409</v>
      </c>
      <c r="C4985" s="34" t="s">
        <v>5686</v>
      </c>
    </row>
    <row r="4986" spans="1:3" ht="15.75" customHeight="1" x14ac:dyDescent="0.2">
      <c r="A4986" s="42">
        <v>5351</v>
      </c>
      <c r="B4986" s="42">
        <v>17409</v>
      </c>
      <c r="C4986" s="34" t="s">
        <v>5687</v>
      </c>
    </row>
    <row r="4987" spans="1:3" ht="15.75" customHeight="1" x14ac:dyDescent="0.2">
      <c r="A4987" s="42">
        <v>5352</v>
      </c>
      <c r="B4987" s="42">
        <v>17409</v>
      </c>
      <c r="C4987" s="34" t="s">
        <v>5688</v>
      </c>
    </row>
    <row r="4988" spans="1:3" ht="15.75" customHeight="1" x14ac:dyDescent="0.2">
      <c r="A4988" s="42">
        <v>5353</v>
      </c>
      <c r="B4988" s="42">
        <v>17409</v>
      </c>
      <c r="C4988" s="34" t="s">
        <v>5689</v>
      </c>
    </row>
    <row r="4989" spans="1:3" ht="15.75" customHeight="1" x14ac:dyDescent="0.2">
      <c r="A4989" s="42">
        <v>5354</v>
      </c>
      <c r="B4989" s="42">
        <v>17409</v>
      </c>
      <c r="C4989" s="34" t="s">
        <v>5690</v>
      </c>
    </row>
    <row r="4990" spans="1:3" ht="15.75" customHeight="1" x14ac:dyDescent="0.2">
      <c r="A4990" s="42">
        <v>5355</v>
      </c>
      <c r="B4990" s="42">
        <v>17409</v>
      </c>
      <c r="C4990" s="34" t="s">
        <v>5691</v>
      </c>
    </row>
    <row r="4991" spans="1:3" ht="15.75" customHeight="1" x14ac:dyDescent="0.2">
      <c r="A4991" s="42">
        <v>5356</v>
      </c>
      <c r="B4991" s="42">
        <v>17409</v>
      </c>
      <c r="C4991" s="34" t="s">
        <v>5692</v>
      </c>
    </row>
    <row r="4992" spans="1:3" ht="15.75" customHeight="1" x14ac:dyDescent="0.2">
      <c r="A4992" s="42">
        <v>5357</v>
      </c>
      <c r="B4992" s="42">
        <v>17409</v>
      </c>
      <c r="C4992" s="34" t="s">
        <v>5693</v>
      </c>
    </row>
    <row r="4993" spans="1:3" ht="15.75" customHeight="1" x14ac:dyDescent="0.2">
      <c r="A4993" s="42">
        <v>5358</v>
      </c>
      <c r="B4993" s="42">
        <v>17409</v>
      </c>
      <c r="C4993" s="34" t="s">
        <v>5694</v>
      </c>
    </row>
    <row r="4994" spans="1:3" ht="15.75" customHeight="1" x14ac:dyDescent="0.2">
      <c r="A4994" s="42">
        <v>5359</v>
      </c>
      <c r="B4994" s="42">
        <v>17409</v>
      </c>
      <c r="C4994" s="34" t="s">
        <v>5695</v>
      </c>
    </row>
    <row r="4995" spans="1:3" ht="15.75" customHeight="1" x14ac:dyDescent="0.2">
      <c r="A4995" s="42">
        <v>5360</v>
      </c>
      <c r="B4995" s="42">
        <v>17409</v>
      </c>
      <c r="C4995" s="34" t="s">
        <v>5696</v>
      </c>
    </row>
    <row r="4996" spans="1:3" ht="15.75" customHeight="1" x14ac:dyDescent="0.2">
      <c r="A4996" s="42">
        <v>5361</v>
      </c>
      <c r="B4996" s="42">
        <v>17409</v>
      </c>
      <c r="C4996" s="34" t="s">
        <v>5697</v>
      </c>
    </row>
    <row r="4997" spans="1:3" ht="15.75" customHeight="1" x14ac:dyDescent="0.2">
      <c r="A4997" s="42">
        <v>5362</v>
      </c>
      <c r="B4997" s="42">
        <v>17409</v>
      </c>
      <c r="C4997" s="34" t="s">
        <v>5696</v>
      </c>
    </row>
    <row r="4998" spans="1:3" ht="15.75" customHeight="1" x14ac:dyDescent="0.2">
      <c r="A4998" s="42">
        <v>5363</v>
      </c>
      <c r="B4998" s="42">
        <v>17409</v>
      </c>
      <c r="C4998" s="34" t="s">
        <v>5698</v>
      </c>
    </row>
    <row r="4999" spans="1:3" ht="15.75" customHeight="1" x14ac:dyDescent="0.2">
      <c r="A4999" s="42">
        <v>5364</v>
      </c>
      <c r="B4999" s="42">
        <v>17409</v>
      </c>
      <c r="C4999" s="34" t="s">
        <v>5699</v>
      </c>
    </row>
    <row r="5000" spans="1:3" ht="15.75" customHeight="1" x14ac:dyDescent="0.2">
      <c r="A5000" s="42">
        <v>5365</v>
      </c>
      <c r="B5000" s="42">
        <v>17409</v>
      </c>
      <c r="C5000" s="34" t="s">
        <v>5690</v>
      </c>
    </row>
    <row r="5001" spans="1:3" ht="15.75" customHeight="1" x14ac:dyDescent="0.2">
      <c r="A5001" s="42">
        <v>5366</v>
      </c>
      <c r="B5001" s="42">
        <v>17409</v>
      </c>
      <c r="C5001" s="34" t="s">
        <v>5700</v>
      </c>
    </row>
    <row r="5002" spans="1:3" ht="15.75" customHeight="1" x14ac:dyDescent="0.2">
      <c r="A5002" s="42">
        <v>5367</v>
      </c>
      <c r="B5002" s="42">
        <v>17409</v>
      </c>
      <c r="C5002" s="34" t="s">
        <v>5701</v>
      </c>
    </row>
    <row r="5003" spans="1:3" ht="15.75" customHeight="1" x14ac:dyDescent="0.2">
      <c r="A5003" s="42">
        <v>5368</v>
      </c>
      <c r="B5003" s="42">
        <v>17409</v>
      </c>
      <c r="C5003" s="34" t="s">
        <v>5702</v>
      </c>
    </row>
    <row r="5004" spans="1:3" ht="15.75" customHeight="1" x14ac:dyDescent="0.2">
      <c r="A5004" s="42">
        <v>5369</v>
      </c>
      <c r="B5004" s="42">
        <v>17409</v>
      </c>
      <c r="C5004" s="34" t="s">
        <v>5703</v>
      </c>
    </row>
    <row r="5005" spans="1:3" ht="15.75" customHeight="1" x14ac:dyDescent="0.2">
      <c r="A5005" s="42">
        <v>5370</v>
      </c>
      <c r="B5005" s="42">
        <v>17409</v>
      </c>
      <c r="C5005" s="34" t="s">
        <v>5704</v>
      </c>
    </row>
    <row r="5006" spans="1:3" ht="15.75" customHeight="1" x14ac:dyDescent="0.2">
      <c r="A5006" s="42">
        <v>5371</v>
      </c>
      <c r="B5006" s="42">
        <v>17409</v>
      </c>
      <c r="C5006" s="34" t="s">
        <v>5674</v>
      </c>
    </row>
    <row r="5007" spans="1:3" ht="15.75" customHeight="1" x14ac:dyDescent="0.2">
      <c r="A5007" s="42">
        <v>5372</v>
      </c>
      <c r="B5007" s="42">
        <v>17409</v>
      </c>
      <c r="C5007" s="34" t="s">
        <v>5705</v>
      </c>
    </row>
    <row r="5008" spans="1:3" ht="15.75" customHeight="1" x14ac:dyDescent="0.2">
      <c r="A5008" s="42">
        <v>5373</v>
      </c>
      <c r="B5008" s="42">
        <v>17409</v>
      </c>
      <c r="C5008" s="34" t="s">
        <v>5706</v>
      </c>
    </row>
    <row r="5009" spans="1:3" ht="15.75" customHeight="1" x14ac:dyDescent="0.2">
      <c r="A5009" s="42">
        <v>5374</v>
      </c>
      <c r="B5009" s="42">
        <v>17409</v>
      </c>
      <c r="C5009" s="34" t="s">
        <v>5707</v>
      </c>
    </row>
    <row r="5010" spans="1:3" ht="15.75" customHeight="1" x14ac:dyDescent="0.2">
      <c r="A5010" s="42">
        <v>5375</v>
      </c>
      <c r="B5010" s="42">
        <v>17409</v>
      </c>
      <c r="C5010" s="34" t="s">
        <v>5708</v>
      </c>
    </row>
    <row r="5011" spans="1:3" ht="15.75" customHeight="1" x14ac:dyDescent="0.2">
      <c r="A5011" s="42">
        <v>5376</v>
      </c>
      <c r="B5011" s="42">
        <v>17409</v>
      </c>
      <c r="C5011" s="34" t="s">
        <v>5709</v>
      </c>
    </row>
    <row r="5012" spans="1:3" ht="15.75" customHeight="1" x14ac:dyDescent="0.2">
      <c r="A5012" s="42">
        <v>5377</v>
      </c>
      <c r="B5012" s="42">
        <v>17409</v>
      </c>
      <c r="C5012" s="34" t="s">
        <v>5710</v>
      </c>
    </row>
    <row r="5013" spans="1:3" ht="15.75" customHeight="1" x14ac:dyDescent="0.2">
      <c r="A5013" s="42">
        <v>5378</v>
      </c>
      <c r="B5013" s="42">
        <v>17409</v>
      </c>
      <c r="C5013" s="34" t="s">
        <v>5711</v>
      </c>
    </row>
    <row r="5014" spans="1:3" ht="15.75" customHeight="1" x14ac:dyDescent="0.2">
      <c r="A5014" s="42">
        <v>5379</v>
      </c>
      <c r="B5014" s="42">
        <v>17409</v>
      </c>
      <c r="C5014" s="34" t="s">
        <v>5712</v>
      </c>
    </row>
    <row r="5015" spans="1:3" ht="15.75" customHeight="1" x14ac:dyDescent="0.2">
      <c r="A5015" s="42">
        <v>5380</v>
      </c>
      <c r="B5015" s="42">
        <v>17409</v>
      </c>
      <c r="C5015" s="34" t="s">
        <v>5713</v>
      </c>
    </row>
    <row r="5016" spans="1:3" ht="15.75" customHeight="1" x14ac:dyDescent="0.2">
      <c r="A5016" s="42">
        <v>5381</v>
      </c>
      <c r="B5016" s="42">
        <v>17409</v>
      </c>
      <c r="C5016" s="34" t="s">
        <v>5714</v>
      </c>
    </row>
    <row r="5017" spans="1:3" ht="15.75" customHeight="1" x14ac:dyDescent="0.2">
      <c r="A5017" s="42">
        <v>5382</v>
      </c>
      <c r="B5017" s="42">
        <v>17409</v>
      </c>
      <c r="C5017" s="34" t="s">
        <v>5715</v>
      </c>
    </row>
    <row r="5018" spans="1:3" ht="15.75" customHeight="1" x14ac:dyDescent="0.2">
      <c r="A5018" s="42">
        <v>5383</v>
      </c>
      <c r="B5018" s="42">
        <v>17409</v>
      </c>
      <c r="C5018" s="34" t="s">
        <v>5716</v>
      </c>
    </row>
    <row r="5019" spans="1:3" ht="15.75" customHeight="1" x14ac:dyDescent="0.2">
      <c r="A5019" s="42">
        <v>5384</v>
      </c>
      <c r="B5019" s="42">
        <v>17409</v>
      </c>
      <c r="C5019" s="34" t="s">
        <v>5717</v>
      </c>
    </row>
    <row r="5020" spans="1:3" ht="15.75" customHeight="1" x14ac:dyDescent="0.2">
      <c r="A5020" s="42">
        <v>5385</v>
      </c>
      <c r="B5020" s="42">
        <v>17409</v>
      </c>
      <c r="C5020" s="34" t="s">
        <v>5718</v>
      </c>
    </row>
    <row r="5021" spans="1:3" ht="15.75" customHeight="1" x14ac:dyDescent="0.2">
      <c r="A5021" s="42">
        <v>5386</v>
      </c>
      <c r="B5021" s="42">
        <v>17409</v>
      </c>
      <c r="C5021" s="34" t="s">
        <v>5719</v>
      </c>
    </row>
    <row r="5022" spans="1:3" ht="15.75" customHeight="1" x14ac:dyDescent="0.2">
      <c r="A5022" s="42">
        <v>5387</v>
      </c>
      <c r="B5022" s="42">
        <v>17409</v>
      </c>
      <c r="C5022" s="34" t="s">
        <v>5720</v>
      </c>
    </row>
    <row r="5023" spans="1:3" ht="15.75" customHeight="1" x14ac:dyDescent="0.2">
      <c r="A5023" s="42">
        <v>5388</v>
      </c>
      <c r="B5023" s="42">
        <v>17409</v>
      </c>
      <c r="C5023" s="34" t="s">
        <v>5675</v>
      </c>
    </row>
    <row r="5024" spans="1:3" ht="15.75" customHeight="1" x14ac:dyDescent="0.2">
      <c r="A5024" s="42">
        <v>5389</v>
      </c>
      <c r="B5024" s="42">
        <v>17409</v>
      </c>
      <c r="C5024" s="34" t="s">
        <v>5721</v>
      </c>
    </row>
    <row r="5025" spans="1:3" ht="15.75" customHeight="1" x14ac:dyDescent="0.2">
      <c r="A5025" s="42">
        <v>5390</v>
      </c>
      <c r="B5025" s="42">
        <v>17409</v>
      </c>
      <c r="C5025" s="34" t="s">
        <v>5722</v>
      </c>
    </row>
    <row r="5026" spans="1:3" ht="15.75" customHeight="1" x14ac:dyDescent="0.2">
      <c r="A5026" s="42">
        <v>5391</v>
      </c>
      <c r="B5026" s="42">
        <v>17409</v>
      </c>
      <c r="C5026" s="34" t="s">
        <v>5723</v>
      </c>
    </row>
    <row r="5027" spans="1:3" ht="15.75" customHeight="1" x14ac:dyDescent="0.2">
      <c r="A5027" s="42">
        <v>5392</v>
      </c>
      <c r="B5027" s="42">
        <v>17409</v>
      </c>
      <c r="C5027" s="34" t="s">
        <v>5724</v>
      </c>
    </row>
    <row r="5028" spans="1:3" ht="15.75" customHeight="1" x14ac:dyDescent="0.2">
      <c r="A5028" s="42">
        <v>5393</v>
      </c>
      <c r="B5028" s="42">
        <v>17409</v>
      </c>
      <c r="C5028" s="34" t="s">
        <v>5725</v>
      </c>
    </row>
    <row r="5029" spans="1:3" ht="15.75" customHeight="1" x14ac:dyDescent="0.2">
      <c r="A5029" s="42">
        <v>5394</v>
      </c>
      <c r="B5029" s="42">
        <v>17409</v>
      </c>
      <c r="C5029" s="34" t="s">
        <v>5726</v>
      </c>
    </row>
    <row r="5030" spans="1:3" ht="15.75" customHeight="1" x14ac:dyDescent="0.2">
      <c r="A5030" s="42">
        <v>5395</v>
      </c>
      <c r="B5030" s="42">
        <v>17409</v>
      </c>
      <c r="C5030" s="34" t="s">
        <v>5727</v>
      </c>
    </row>
    <row r="5031" spans="1:3" ht="15.75" customHeight="1" x14ac:dyDescent="0.2">
      <c r="A5031" s="42">
        <v>5396</v>
      </c>
      <c r="B5031" s="42">
        <v>17409</v>
      </c>
      <c r="C5031" s="34" t="s">
        <v>5728</v>
      </c>
    </row>
    <row r="5032" spans="1:3" ht="15.75" customHeight="1" x14ac:dyDescent="0.2">
      <c r="A5032" s="42">
        <v>5397</v>
      </c>
      <c r="B5032" s="42">
        <v>17409</v>
      </c>
      <c r="C5032" s="34" t="s">
        <v>5729</v>
      </c>
    </row>
    <row r="5033" spans="1:3" ht="15.75" customHeight="1" x14ac:dyDescent="0.2">
      <c r="A5033" s="42">
        <v>5398</v>
      </c>
      <c r="B5033" s="42">
        <v>17409</v>
      </c>
      <c r="C5033" s="34" t="s">
        <v>5730</v>
      </c>
    </row>
    <row r="5034" spans="1:3" ht="15.75" customHeight="1" x14ac:dyDescent="0.2">
      <c r="A5034" s="42">
        <v>5399</v>
      </c>
      <c r="B5034" s="42">
        <v>17409</v>
      </c>
      <c r="C5034" s="34" t="s">
        <v>5731</v>
      </c>
    </row>
    <row r="5035" spans="1:3" ht="15.75" customHeight="1" x14ac:dyDescent="0.2">
      <c r="A5035" s="42">
        <v>5400</v>
      </c>
      <c r="B5035" s="42">
        <v>17409</v>
      </c>
      <c r="C5035" s="34" t="s">
        <v>5732</v>
      </c>
    </row>
    <row r="5036" spans="1:3" ht="15.75" customHeight="1" x14ac:dyDescent="0.2">
      <c r="A5036" s="42">
        <v>5401</v>
      </c>
      <c r="B5036" s="42">
        <v>17409</v>
      </c>
      <c r="C5036" s="34" t="s">
        <v>5733</v>
      </c>
    </row>
    <row r="5037" spans="1:3" ht="15.75" customHeight="1" x14ac:dyDescent="0.2">
      <c r="A5037" s="42">
        <v>5402</v>
      </c>
      <c r="B5037" s="42">
        <v>17409</v>
      </c>
      <c r="C5037" s="34" t="s">
        <v>5734</v>
      </c>
    </row>
    <row r="5038" spans="1:3" ht="15.75" customHeight="1" x14ac:dyDescent="0.2">
      <c r="A5038" s="42">
        <v>5403</v>
      </c>
      <c r="B5038" s="42">
        <v>17409</v>
      </c>
      <c r="C5038" s="34" t="s">
        <v>5735</v>
      </c>
    </row>
    <row r="5039" spans="1:3" ht="15.75" customHeight="1" x14ac:dyDescent="0.2">
      <c r="A5039" s="42">
        <v>5404</v>
      </c>
      <c r="B5039" s="42">
        <v>17409</v>
      </c>
      <c r="C5039" s="34" t="s">
        <v>5736</v>
      </c>
    </row>
    <row r="5040" spans="1:3" ht="15.75" customHeight="1" x14ac:dyDescent="0.2">
      <c r="A5040" s="42">
        <v>5405</v>
      </c>
      <c r="B5040" s="42">
        <v>17409</v>
      </c>
      <c r="C5040" s="34" t="s">
        <v>5737</v>
      </c>
    </row>
    <row r="5041" spans="1:3" ht="15.75" customHeight="1" x14ac:dyDescent="0.2">
      <c r="A5041" s="42">
        <v>5406</v>
      </c>
      <c r="B5041" s="42">
        <v>17409</v>
      </c>
      <c r="C5041" s="34" t="s">
        <v>5738</v>
      </c>
    </row>
    <row r="5042" spans="1:3" ht="15.75" customHeight="1" x14ac:dyDescent="0.2">
      <c r="A5042" s="42">
        <v>5407</v>
      </c>
      <c r="B5042" s="42">
        <v>17409</v>
      </c>
      <c r="C5042" s="34" t="s">
        <v>5739</v>
      </c>
    </row>
    <row r="5043" spans="1:3" ht="15.75" customHeight="1" x14ac:dyDescent="0.2">
      <c r="A5043" s="42">
        <v>5408</v>
      </c>
      <c r="B5043" s="42">
        <v>17409</v>
      </c>
      <c r="C5043" s="34" t="s">
        <v>5740</v>
      </c>
    </row>
    <row r="5044" spans="1:3" ht="15.75" customHeight="1" x14ac:dyDescent="0.2">
      <c r="A5044" s="42">
        <v>5409</v>
      </c>
      <c r="B5044" s="42">
        <v>17409</v>
      </c>
      <c r="C5044" s="34" t="s">
        <v>5741</v>
      </c>
    </row>
    <row r="5045" spans="1:3" ht="15.75" customHeight="1" x14ac:dyDescent="0.2">
      <c r="A5045" s="42">
        <v>5410</v>
      </c>
      <c r="B5045" s="42">
        <v>17409</v>
      </c>
      <c r="C5045" s="34" t="s">
        <v>5719</v>
      </c>
    </row>
    <row r="5046" spans="1:3" ht="15.75" customHeight="1" x14ac:dyDescent="0.2">
      <c r="A5046" s="42">
        <v>5411</v>
      </c>
      <c r="B5046" s="42">
        <v>17409</v>
      </c>
      <c r="C5046" s="34" t="s">
        <v>5742</v>
      </c>
    </row>
    <row r="5047" spans="1:3" ht="15.75" customHeight="1" x14ac:dyDescent="0.2">
      <c r="A5047" s="42">
        <v>5412</v>
      </c>
      <c r="B5047" s="42">
        <v>17409</v>
      </c>
      <c r="C5047" s="34" t="s">
        <v>5743</v>
      </c>
    </row>
    <row r="5048" spans="1:3" ht="15.75" customHeight="1" x14ac:dyDescent="0.2">
      <c r="A5048" s="42">
        <v>5413</v>
      </c>
      <c r="B5048" s="42">
        <v>17409</v>
      </c>
      <c r="C5048" s="34" t="s">
        <v>5713</v>
      </c>
    </row>
    <row r="5049" spans="1:3" ht="15.75" customHeight="1" x14ac:dyDescent="0.2">
      <c r="A5049" s="42">
        <v>5414</v>
      </c>
      <c r="B5049" s="42">
        <v>17409</v>
      </c>
      <c r="C5049" s="34" t="s">
        <v>5744</v>
      </c>
    </row>
    <row r="5050" spans="1:3" ht="15.75" customHeight="1" x14ac:dyDescent="0.2">
      <c r="A5050" s="42">
        <v>5415</v>
      </c>
      <c r="B5050" s="42">
        <v>17409</v>
      </c>
      <c r="C5050" s="34" t="s">
        <v>5681</v>
      </c>
    </row>
    <row r="5051" spans="1:3" ht="15.75" customHeight="1" x14ac:dyDescent="0.2">
      <c r="A5051" s="42">
        <v>5416</v>
      </c>
      <c r="B5051" s="42">
        <v>17409</v>
      </c>
      <c r="C5051" s="34" t="s">
        <v>5745</v>
      </c>
    </row>
    <row r="5052" spans="1:3" ht="15.75" customHeight="1" x14ac:dyDescent="0.2">
      <c r="A5052" s="42">
        <v>5417</v>
      </c>
      <c r="B5052" s="42">
        <v>17409</v>
      </c>
      <c r="C5052" s="34" t="s">
        <v>5746</v>
      </c>
    </row>
    <row r="5053" spans="1:3" ht="15.75" customHeight="1" x14ac:dyDescent="0.2">
      <c r="A5053" s="42">
        <v>5418</v>
      </c>
      <c r="B5053" s="42">
        <v>17409</v>
      </c>
      <c r="C5053" s="34" t="s">
        <v>5747</v>
      </c>
    </row>
    <row r="5054" spans="1:3" ht="15.75" customHeight="1" x14ac:dyDescent="0.2">
      <c r="A5054" s="42">
        <v>5419</v>
      </c>
      <c r="B5054" s="42">
        <v>17410</v>
      </c>
      <c r="C5054" s="34" t="s">
        <v>5748</v>
      </c>
    </row>
    <row r="5055" spans="1:3" ht="15.75" customHeight="1" x14ac:dyDescent="0.2">
      <c r="A5055" s="42">
        <v>5420</v>
      </c>
      <c r="B5055" s="42">
        <v>17410</v>
      </c>
      <c r="C5055" s="34" t="s">
        <v>5749</v>
      </c>
    </row>
    <row r="5056" spans="1:3" ht="15.75" customHeight="1" x14ac:dyDescent="0.2">
      <c r="A5056" s="42">
        <v>5421</v>
      </c>
      <c r="B5056" s="42">
        <v>17410</v>
      </c>
      <c r="C5056" s="34" t="s">
        <v>5750</v>
      </c>
    </row>
    <row r="5057" spans="1:3" ht="15.75" customHeight="1" x14ac:dyDescent="0.2">
      <c r="A5057" s="42">
        <v>5422</v>
      </c>
      <c r="B5057" s="42">
        <v>17410</v>
      </c>
      <c r="C5057" s="34" t="s">
        <v>5751</v>
      </c>
    </row>
    <row r="5058" spans="1:3" ht="15.75" customHeight="1" x14ac:dyDescent="0.2">
      <c r="A5058" s="42">
        <v>5423</v>
      </c>
      <c r="B5058" s="42">
        <v>17410</v>
      </c>
      <c r="C5058" s="34" t="s">
        <v>5752</v>
      </c>
    </row>
    <row r="5059" spans="1:3" ht="15.75" customHeight="1" x14ac:dyDescent="0.2">
      <c r="A5059" s="42">
        <v>5424</v>
      </c>
      <c r="B5059" s="42">
        <v>17410</v>
      </c>
      <c r="C5059" s="34" t="s">
        <v>5753</v>
      </c>
    </row>
    <row r="5060" spans="1:3" ht="15.75" customHeight="1" x14ac:dyDescent="0.2">
      <c r="A5060" s="42">
        <v>5425</v>
      </c>
      <c r="B5060" s="42">
        <v>17410</v>
      </c>
      <c r="C5060" s="34" t="s">
        <v>5754</v>
      </c>
    </row>
    <row r="5061" spans="1:3" ht="15.75" customHeight="1" x14ac:dyDescent="0.2">
      <c r="A5061" s="42">
        <v>5426</v>
      </c>
      <c r="B5061" s="42">
        <v>17410</v>
      </c>
      <c r="C5061" s="34" t="s">
        <v>5755</v>
      </c>
    </row>
    <row r="5062" spans="1:3" ht="15.75" customHeight="1" x14ac:dyDescent="0.2">
      <c r="A5062" s="42">
        <v>5427</v>
      </c>
      <c r="B5062" s="42">
        <v>17410</v>
      </c>
      <c r="C5062" s="34" t="s">
        <v>5756</v>
      </c>
    </row>
    <row r="5063" spans="1:3" ht="15.75" customHeight="1" x14ac:dyDescent="0.2">
      <c r="A5063" s="42">
        <v>5428</v>
      </c>
      <c r="B5063" s="42">
        <v>17410</v>
      </c>
      <c r="C5063" s="34" t="s">
        <v>5757</v>
      </c>
    </row>
    <row r="5064" spans="1:3" ht="15.75" customHeight="1" x14ac:dyDescent="0.2">
      <c r="A5064" s="42">
        <v>5429</v>
      </c>
      <c r="B5064" s="42">
        <v>17410</v>
      </c>
      <c r="C5064" s="34" t="s">
        <v>5758</v>
      </c>
    </row>
    <row r="5065" spans="1:3" ht="15.75" customHeight="1" x14ac:dyDescent="0.2">
      <c r="A5065" s="42">
        <v>5430</v>
      </c>
      <c r="B5065" s="42">
        <v>17410</v>
      </c>
      <c r="C5065" s="34" t="s">
        <v>5759</v>
      </c>
    </row>
    <row r="5066" spans="1:3" ht="15.75" customHeight="1" x14ac:dyDescent="0.2">
      <c r="A5066" s="42">
        <v>5431</v>
      </c>
      <c r="B5066" s="42">
        <v>17410</v>
      </c>
      <c r="C5066" s="34" t="s">
        <v>5760</v>
      </c>
    </row>
    <row r="5067" spans="1:3" ht="15.75" customHeight="1" x14ac:dyDescent="0.2">
      <c r="A5067" s="42">
        <v>5432</v>
      </c>
      <c r="B5067" s="42">
        <v>17410</v>
      </c>
      <c r="C5067" s="34" t="s">
        <v>5761</v>
      </c>
    </row>
    <row r="5068" spans="1:3" ht="15.75" customHeight="1" x14ac:dyDescent="0.2">
      <c r="A5068" s="42">
        <v>5433</v>
      </c>
      <c r="B5068" s="42">
        <v>17410</v>
      </c>
      <c r="C5068" s="34" t="s">
        <v>5762</v>
      </c>
    </row>
    <row r="5069" spans="1:3" ht="15.75" customHeight="1" x14ac:dyDescent="0.2">
      <c r="A5069" s="42">
        <v>5434</v>
      </c>
      <c r="B5069" s="42">
        <v>17410</v>
      </c>
      <c r="C5069" s="34" t="s">
        <v>5763</v>
      </c>
    </row>
    <row r="5070" spans="1:3" ht="15.75" customHeight="1" x14ac:dyDescent="0.2">
      <c r="A5070" s="42">
        <v>5435</v>
      </c>
      <c r="B5070" s="42">
        <v>17410</v>
      </c>
      <c r="C5070" s="34" t="s">
        <v>5764</v>
      </c>
    </row>
    <row r="5071" spans="1:3" ht="15.75" customHeight="1" x14ac:dyDescent="0.2">
      <c r="A5071" s="42">
        <v>5436</v>
      </c>
      <c r="B5071" s="42">
        <v>17410</v>
      </c>
      <c r="C5071" s="34" t="s">
        <v>5765</v>
      </c>
    </row>
    <row r="5072" spans="1:3" ht="15.75" customHeight="1" x14ac:dyDescent="0.2">
      <c r="A5072" s="42">
        <v>5437</v>
      </c>
      <c r="B5072" s="42">
        <v>17410</v>
      </c>
      <c r="C5072" s="34" t="s">
        <v>5766</v>
      </c>
    </row>
    <row r="5073" spans="1:3" ht="15.75" customHeight="1" x14ac:dyDescent="0.2">
      <c r="A5073" s="42">
        <v>5438</v>
      </c>
      <c r="B5073" s="42">
        <v>17410</v>
      </c>
      <c r="C5073" s="34" t="s">
        <v>5757</v>
      </c>
    </row>
    <row r="5074" spans="1:3" ht="15.75" customHeight="1" x14ac:dyDescent="0.2">
      <c r="A5074" s="42">
        <v>5439</v>
      </c>
      <c r="B5074" s="42">
        <v>17410</v>
      </c>
      <c r="C5074" s="34" t="s">
        <v>5767</v>
      </c>
    </row>
    <row r="5075" spans="1:3" ht="15.75" customHeight="1" x14ac:dyDescent="0.2">
      <c r="A5075" s="42">
        <v>5440</v>
      </c>
      <c r="B5075" s="42">
        <v>17410</v>
      </c>
      <c r="C5075" s="34" t="s">
        <v>5768</v>
      </c>
    </row>
    <row r="5076" spans="1:3" ht="15.75" customHeight="1" x14ac:dyDescent="0.2">
      <c r="A5076" s="42">
        <v>5441</v>
      </c>
      <c r="B5076" s="42">
        <v>17410</v>
      </c>
      <c r="C5076" s="34" t="s">
        <v>5769</v>
      </c>
    </row>
    <row r="5077" spans="1:3" ht="15.75" customHeight="1" x14ac:dyDescent="0.2">
      <c r="A5077" s="42">
        <v>5442</v>
      </c>
      <c r="B5077" s="42">
        <v>17410</v>
      </c>
      <c r="C5077" s="34" t="s">
        <v>5770</v>
      </c>
    </row>
    <row r="5078" spans="1:3" ht="15.75" customHeight="1" x14ac:dyDescent="0.2">
      <c r="A5078" s="42">
        <v>5443</v>
      </c>
      <c r="B5078" s="42">
        <v>17410</v>
      </c>
      <c r="C5078" s="34" t="s">
        <v>5771</v>
      </c>
    </row>
    <row r="5079" spans="1:3" ht="15.75" customHeight="1" x14ac:dyDescent="0.2">
      <c r="A5079" s="42">
        <v>5444</v>
      </c>
      <c r="B5079" s="42">
        <v>17410</v>
      </c>
      <c r="C5079" s="34" t="s">
        <v>5772</v>
      </c>
    </row>
    <row r="5080" spans="1:3" ht="15.75" customHeight="1" x14ac:dyDescent="0.2">
      <c r="A5080" s="42">
        <v>5445</v>
      </c>
      <c r="B5080" s="42">
        <v>17410</v>
      </c>
      <c r="C5080" s="34" t="s">
        <v>5773</v>
      </c>
    </row>
    <row r="5081" spans="1:3" ht="15.75" customHeight="1" x14ac:dyDescent="0.2">
      <c r="A5081" s="42">
        <v>5446</v>
      </c>
      <c r="B5081" s="42">
        <v>17410</v>
      </c>
      <c r="C5081" s="34" t="s">
        <v>5774</v>
      </c>
    </row>
    <row r="5082" spans="1:3" ht="15.75" customHeight="1" x14ac:dyDescent="0.2">
      <c r="A5082" s="42">
        <v>5447</v>
      </c>
      <c r="B5082" s="42">
        <v>17410</v>
      </c>
      <c r="C5082" s="34" t="s">
        <v>5775</v>
      </c>
    </row>
    <row r="5083" spans="1:3" ht="15.75" customHeight="1" x14ac:dyDescent="0.2">
      <c r="A5083" s="42">
        <v>5448</v>
      </c>
      <c r="B5083" s="42">
        <v>17410</v>
      </c>
      <c r="C5083" s="34" t="s">
        <v>5776</v>
      </c>
    </row>
    <row r="5084" spans="1:3" ht="15.75" customHeight="1" x14ac:dyDescent="0.2">
      <c r="A5084" s="42">
        <v>5449</v>
      </c>
      <c r="B5084" s="42">
        <v>17410</v>
      </c>
      <c r="C5084" s="34" t="s">
        <v>5777</v>
      </c>
    </row>
    <row r="5085" spans="1:3" ht="15.75" customHeight="1" x14ac:dyDescent="0.2">
      <c r="A5085" s="42">
        <v>5450</v>
      </c>
      <c r="B5085" s="42">
        <v>17410</v>
      </c>
      <c r="C5085" s="34" t="s">
        <v>5778</v>
      </c>
    </row>
    <row r="5086" spans="1:3" ht="15.75" customHeight="1" x14ac:dyDescent="0.2">
      <c r="A5086" s="42">
        <v>5451</v>
      </c>
      <c r="B5086" s="42">
        <v>17410</v>
      </c>
      <c r="C5086" s="34" t="s">
        <v>5779</v>
      </c>
    </row>
    <row r="5087" spans="1:3" ht="15.75" customHeight="1" x14ac:dyDescent="0.2">
      <c r="A5087" s="42">
        <v>5452</v>
      </c>
      <c r="B5087" s="42">
        <v>17410</v>
      </c>
      <c r="C5087" s="34" t="s">
        <v>5780</v>
      </c>
    </row>
    <row r="5088" spans="1:3" ht="15.75" customHeight="1" x14ac:dyDescent="0.2">
      <c r="A5088" s="42">
        <v>5453</v>
      </c>
      <c r="B5088" s="42">
        <v>17410</v>
      </c>
      <c r="C5088" s="34" t="s">
        <v>5781</v>
      </c>
    </row>
    <row r="5089" spans="1:3" ht="15.75" customHeight="1" x14ac:dyDescent="0.2">
      <c r="A5089" s="42">
        <v>5454</v>
      </c>
      <c r="B5089" s="42">
        <v>17410</v>
      </c>
      <c r="C5089" s="34" t="s">
        <v>5782</v>
      </c>
    </row>
    <row r="5090" spans="1:3" ht="15.75" customHeight="1" x14ac:dyDescent="0.2">
      <c r="A5090" s="42">
        <v>5455</v>
      </c>
      <c r="B5090" s="42">
        <v>17410</v>
      </c>
      <c r="C5090" s="34" t="s">
        <v>5783</v>
      </c>
    </row>
    <row r="5091" spans="1:3" ht="15.75" customHeight="1" x14ac:dyDescent="0.2">
      <c r="A5091" s="42">
        <v>5456</v>
      </c>
      <c r="B5091" s="42">
        <v>17410</v>
      </c>
      <c r="C5091" s="34" t="s">
        <v>5784</v>
      </c>
    </row>
    <row r="5092" spans="1:3" ht="15.75" customHeight="1" x14ac:dyDescent="0.2">
      <c r="A5092" s="42">
        <v>5457</v>
      </c>
      <c r="B5092" s="42">
        <v>17410</v>
      </c>
      <c r="C5092" s="34" t="s">
        <v>5785</v>
      </c>
    </row>
    <row r="5093" spans="1:3" ht="15.75" customHeight="1" x14ac:dyDescent="0.2">
      <c r="A5093" s="42">
        <v>5458</v>
      </c>
      <c r="B5093" s="42">
        <v>17410</v>
      </c>
      <c r="C5093" s="34" t="s">
        <v>5786</v>
      </c>
    </row>
    <row r="5094" spans="1:3" ht="15.75" customHeight="1" x14ac:dyDescent="0.2">
      <c r="A5094" s="42">
        <v>5459</v>
      </c>
      <c r="B5094" s="42">
        <v>17410</v>
      </c>
      <c r="C5094" s="34" t="s">
        <v>5787</v>
      </c>
    </row>
    <row r="5095" spans="1:3" ht="15.75" customHeight="1" x14ac:dyDescent="0.2">
      <c r="A5095" s="42">
        <v>5460</v>
      </c>
      <c r="B5095" s="42">
        <v>17410</v>
      </c>
      <c r="C5095" s="34" t="s">
        <v>5788</v>
      </c>
    </row>
    <row r="5096" spans="1:3" ht="15.75" customHeight="1" x14ac:dyDescent="0.2">
      <c r="A5096" s="42">
        <v>5461</v>
      </c>
      <c r="B5096" s="42">
        <v>17410</v>
      </c>
      <c r="C5096" s="34" t="s">
        <v>5789</v>
      </c>
    </row>
    <row r="5097" spans="1:3" ht="15.75" customHeight="1" x14ac:dyDescent="0.2">
      <c r="A5097" s="42">
        <v>5462</v>
      </c>
      <c r="B5097" s="42">
        <v>17410</v>
      </c>
      <c r="C5097" s="34" t="s">
        <v>5786</v>
      </c>
    </row>
    <row r="5098" spans="1:3" ht="15.75" customHeight="1" x14ac:dyDescent="0.2">
      <c r="A5098" s="42">
        <v>5463</v>
      </c>
      <c r="B5098" s="42">
        <v>17410</v>
      </c>
      <c r="C5098" s="34" t="s">
        <v>5790</v>
      </c>
    </row>
    <row r="5099" spans="1:3" ht="15.75" customHeight="1" x14ac:dyDescent="0.2">
      <c r="A5099" s="42">
        <v>5464</v>
      </c>
      <c r="B5099" s="42">
        <v>17410</v>
      </c>
      <c r="C5099" s="34" t="s">
        <v>5791</v>
      </c>
    </row>
    <row r="5100" spans="1:3" ht="15.75" customHeight="1" x14ac:dyDescent="0.2">
      <c r="A5100" s="42">
        <v>5465</v>
      </c>
      <c r="B5100" s="42">
        <v>17410</v>
      </c>
      <c r="C5100" s="34" t="s">
        <v>5792</v>
      </c>
    </row>
    <row r="5101" spans="1:3" ht="15.75" customHeight="1" x14ac:dyDescent="0.2">
      <c r="A5101" s="42">
        <v>5466</v>
      </c>
      <c r="B5101" s="42">
        <v>17410</v>
      </c>
      <c r="C5101" s="34" t="s">
        <v>5793</v>
      </c>
    </row>
    <row r="5102" spans="1:3" ht="15.75" customHeight="1" x14ac:dyDescent="0.2">
      <c r="A5102" s="42">
        <v>5467</v>
      </c>
      <c r="B5102" s="42">
        <v>17410</v>
      </c>
      <c r="C5102" s="34" t="s">
        <v>5794</v>
      </c>
    </row>
    <row r="5103" spans="1:3" ht="15.75" customHeight="1" x14ac:dyDescent="0.2">
      <c r="A5103" s="42">
        <v>5468</v>
      </c>
      <c r="B5103" s="42">
        <v>17410</v>
      </c>
      <c r="C5103" s="34" t="s">
        <v>5795</v>
      </c>
    </row>
    <row r="5104" spans="1:3" ht="15.75" customHeight="1" x14ac:dyDescent="0.2">
      <c r="A5104" s="42">
        <v>5469</v>
      </c>
      <c r="B5104" s="42">
        <v>17410</v>
      </c>
      <c r="C5104" s="34" t="s">
        <v>5796</v>
      </c>
    </row>
    <row r="5105" spans="1:3" ht="15.75" customHeight="1" x14ac:dyDescent="0.2">
      <c r="A5105" s="42">
        <v>5470</v>
      </c>
      <c r="B5105" s="42">
        <v>17410</v>
      </c>
      <c r="C5105" s="34" t="s">
        <v>5797</v>
      </c>
    </row>
    <row r="5106" spans="1:3" ht="15.75" customHeight="1" x14ac:dyDescent="0.2">
      <c r="A5106" s="42">
        <v>5471</v>
      </c>
      <c r="B5106" s="42">
        <v>17410</v>
      </c>
      <c r="C5106" s="34" t="s">
        <v>5798</v>
      </c>
    </row>
    <row r="5107" spans="1:3" ht="15.75" customHeight="1" x14ac:dyDescent="0.2">
      <c r="A5107" s="42">
        <v>5472</v>
      </c>
      <c r="B5107" s="42">
        <v>17410</v>
      </c>
      <c r="C5107" s="34" t="s">
        <v>5799</v>
      </c>
    </row>
    <row r="5108" spans="1:3" ht="15.75" customHeight="1" x14ac:dyDescent="0.2">
      <c r="A5108" s="42">
        <v>5473</v>
      </c>
      <c r="B5108" s="42">
        <v>17410</v>
      </c>
      <c r="C5108" s="34" t="s">
        <v>5800</v>
      </c>
    </row>
    <row r="5109" spans="1:3" ht="15.75" customHeight="1" x14ac:dyDescent="0.2">
      <c r="A5109" s="42">
        <v>5474</v>
      </c>
      <c r="B5109" s="42">
        <v>17410</v>
      </c>
      <c r="C5109" s="34" t="s">
        <v>5801</v>
      </c>
    </row>
    <row r="5110" spans="1:3" ht="15.75" customHeight="1" x14ac:dyDescent="0.2">
      <c r="A5110" s="42">
        <v>5475</v>
      </c>
      <c r="B5110" s="42">
        <v>17410</v>
      </c>
      <c r="C5110" s="34" t="s">
        <v>5802</v>
      </c>
    </row>
    <row r="5111" spans="1:3" ht="15.75" customHeight="1" x14ac:dyDescent="0.2">
      <c r="A5111" s="42">
        <v>5476</v>
      </c>
      <c r="B5111" s="42">
        <v>17410</v>
      </c>
      <c r="C5111" s="34" t="s">
        <v>5803</v>
      </c>
    </row>
    <row r="5112" spans="1:3" ht="15.75" customHeight="1" x14ac:dyDescent="0.2">
      <c r="A5112" s="42">
        <v>5477</v>
      </c>
      <c r="B5112" s="42">
        <v>17410</v>
      </c>
      <c r="C5112" s="34" t="s">
        <v>5804</v>
      </c>
    </row>
    <row r="5113" spans="1:3" ht="15.75" customHeight="1" x14ac:dyDescent="0.2">
      <c r="A5113" s="42">
        <v>5478</v>
      </c>
      <c r="B5113" s="42">
        <v>17410</v>
      </c>
      <c r="C5113" s="34" t="s">
        <v>5805</v>
      </c>
    </row>
    <row r="5114" spans="1:3" ht="15.75" customHeight="1" x14ac:dyDescent="0.2">
      <c r="A5114" s="42">
        <v>5479</v>
      </c>
      <c r="B5114" s="42">
        <v>17410</v>
      </c>
      <c r="C5114" s="34" t="s">
        <v>5806</v>
      </c>
    </row>
    <row r="5115" spans="1:3" ht="15.75" customHeight="1" x14ac:dyDescent="0.2">
      <c r="A5115" s="42">
        <v>5480</v>
      </c>
      <c r="B5115" s="42">
        <v>17410</v>
      </c>
      <c r="C5115" s="34" t="s">
        <v>5807</v>
      </c>
    </row>
    <row r="5116" spans="1:3" ht="15.75" customHeight="1" x14ac:dyDescent="0.2">
      <c r="A5116" s="42">
        <v>5481</v>
      </c>
      <c r="B5116" s="42">
        <v>17410</v>
      </c>
      <c r="C5116" s="34" t="s">
        <v>5808</v>
      </c>
    </row>
    <row r="5117" spans="1:3" ht="15.75" customHeight="1" x14ac:dyDescent="0.2">
      <c r="A5117" s="42">
        <v>5482</v>
      </c>
      <c r="B5117" s="42">
        <v>17410</v>
      </c>
      <c r="C5117" s="34" t="s">
        <v>5809</v>
      </c>
    </row>
    <row r="5118" spans="1:3" ht="15.75" customHeight="1" x14ac:dyDescent="0.2">
      <c r="A5118" s="42">
        <v>5483</v>
      </c>
      <c r="B5118" s="42">
        <v>17410</v>
      </c>
      <c r="C5118" s="34" t="s">
        <v>5810</v>
      </c>
    </row>
    <row r="5119" spans="1:3" ht="15.75" customHeight="1" x14ac:dyDescent="0.2">
      <c r="A5119" s="42">
        <v>5484</v>
      </c>
      <c r="B5119" s="42">
        <v>17410</v>
      </c>
      <c r="C5119" s="34" t="s">
        <v>5771</v>
      </c>
    </row>
    <row r="5120" spans="1:3" ht="15.75" customHeight="1" x14ac:dyDescent="0.2">
      <c r="A5120" s="42">
        <v>5485</v>
      </c>
      <c r="B5120" s="42">
        <v>17410</v>
      </c>
      <c r="C5120" s="34" t="s">
        <v>5771</v>
      </c>
    </row>
    <row r="5121" spans="1:3" ht="15.75" customHeight="1" x14ac:dyDescent="0.2">
      <c r="A5121" s="42">
        <v>5486</v>
      </c>
      <c r="B5121" s="42">
        <v>17410</v>
      </c>
      <c r="C5121" s="34" t="s">
        <v>5811</v>
      </c>
    </row>
    <row r="5122" spans="1:3" ht="15.75" customHeight="1" x14ac:dyDescent="0.2">
      <c r="A5122" s="42">
        <v>5487</v>
      </c>
      <c r="B5122" s="42">
        <v>17410</v>
      </c>
      <c r="C5122" s="34" t="s">
        <v>5812</v>
      </c>
    </row>
    <row r="5123" spans="1:3" ht="15.75" customHeight="1" x14ac:dyDescent="0.2">
      <c r="A5123" s="42">
        <v>5488</v>
      </c>
      <c r="B5123" s="42">
        <v>17410</v>
      </c>
      <c r="C5123" s="34" t="s">
        <v>5813</v>
      </c>
    </row>
    <row r="5124" spans="1:3" ht="15.75" customHeight="1" x14ac:dyDescent="0.2">
      <c r="A5124" s="42">
        <v>5489</v>
      </c>
      <c r="B5124" s="42">
        <v>17410</v>
      </c>
      <c r="C5124" s="34" t="s">
        <v>5814</v>
      </c>
    </row>
    <row r="5125" spans="1:3" ht="15.75" customHeight="1" x14ac:dyDescent="0.2">
      <c r="A5125" s="42">
        <v>5490</v>
      </c>
      <c r="B5125" s="42">
        <v>17410</v>
      </c>
      <c r="C5125" s="34" t="s">
        <v>5815</v>
      </c>
    </row>
    <row r="5126" spans="1:3" ht="15.75" customHeight="1" x14ac:dyDescent="0.2">
      <c r="A5126" s="42">
        <v>5491</v>
      </c>
      <c r="B5126" s="42">
        <v>17410</v>
      </c>
      <c r="C5126" s="34" t="s">
        <v>5816</v>
      </c>
    </row>
    <row r="5127" spans="1:3" ht="15.75" customHeight="1" x14ac:dyDescent="0.2">
      <c r="A5127" s="42">
        <v>5492</v>
      </c>
      <c r="B5127" s="42">
        <v>17410</v>
      </c>
      <c r="C5127" s="34" t="s">
        <v>5817</v>
      </c>
    </row>
    <row r="5128" spans="1:3" ht="15.75" customHeight="1" x14ac:dyDescent="0.2">
      <c r="A5128" s="42">
        <v>5493</v>
      </c>
      <c r="B5128" s="42">
        <v>17410</v>
      </c>
      <c r="C5128" s="34" t="s">
        <v>5818</v>
      </c>
    </row>
    <row r="5129" spans="1:3" ht="15.75" customHeight="1" x14ac:dyDescent="0.2">
      <c r="A5129" s="42">
        <v>5494</v>
      </c>
      <c r="B5129" s="42">
        <v>17410</v>
      </c>
      <c r="C5129" s="34" t="s">
        <v>5819</v>
      </c>
    </row>
    <row r="5130" spans="1:3" ht="15.75" customHeight="1" x14ac:dyDescent="0.2">
      <c r="A5130" s="42">
        <v>5495</v>
      </c>
      <c r="B5130" s="42">
        <v>17410</v>
      </c>
      <c r="C5130" s="34" t="s">
        <v>5820</v>
      </c>
    </row>
    <row r="5131" spans="1:3" ht="15.75" customHeight="1" x14ac:dyDescent="0.2">
      <c r="A5131" s="42">
        <v>5496</v>
      </c>
      <c r="B5131" s="42">
        <v>17410</v>
      </c>
      <c r="C5131" s="34" t="s">
        <v>5821</v>
      </c>
    </row>
    <row r="5132" spans="1:3" ht="15.75" customHeight="1" x14ac:dyDescent="0.2">
      <c r="A5132" s="42">
        <v>5497</v>
      </c>
      <c r="B5132" s="42">
        <v>17410</v>
      </c>
      <c r="C5132" s="34" t="s">
        <v>5822</v>
      </c>
    </row>
    <row r="5133" spans="1:3" ht="15.75" customHeight="1" x14ac:dyDescent="0.2">
      <c r="A5133" s="42">
        <v>5498</v>
      </c>
      <c r="B5133" s="42">
        <v>17410</v>
      </c>
      <c r="C5133" s="34" t="s">
        <v>5814</v>
      </c>
    </row>
    <row r="5134" spans="1:3" ht="15.75" customHeight="1" x14ac:dyDescent="0.2">
      <c r="A5134" s="42">
        <v>5499</v>
      </c>
      <c r="B5134" s="42">
        <v>17410</v>
      </c>
      <c r="C5134" s="34" t="s">
        <v>5823</v>
      </c>
    </row>
    <row r="5135" spans="1:3" ht="15.75" customHeight="1" x14ac:dyDescent="0.2">
      <c r="A5135" s="42">
        <v>5500</v>
      </c>
      <c r="B5135" s="42">
        <v>17410</v>
      </c>
      <c r="C5135" s="34" t="s">
        <v>5824</v>
      </c>
    </row>
    <row r="5136" spans="1:3" ht="15.75" customHeight="1" x14ac:dyDescent="0.2">
      <c r="A5136" s="42">
        <v>5501</v>
      </c>
      <c r="B5136" s="42">
        <v>17412</v>
      </c>
      <c r="C5136" s="34" t="s">
        <v>5825</v>
      </c>
    </row>
    <row r="5137" spans="1:3" ht="15.75" customHeight="1" x14ac:dyDescent="0.2">
      <c r="A5137" s="42">
        <v>5502</v>
      </c>
      <c r="B5137" s="42">
        <v>17412</v>
      </c>
      <c r="C5137" s="34" t="s">
        <v>5825</v>
      </c>
    </row>
    <row r="5138" spans="1:3" ht="15.75" customHeight="1" x14ac:dyDescent="0.2">
      <c r="A5138" s="42">
        <v>5503</v>
      </c>
      <c r="B5138" s="42">
        <v>17412</v>
      </c>
      <c r="C5138" s="34" t="s">
        <v>5825</v>
      </c>
    </row>
    <row r="5139" spans="1:3" ht="15.75" customHeight="1" x14ac:dyDescent="0.2">
      <c r="A5139" s="42">
        <v>5504</v>
      </c>
      <c r="B5139" s="42">
        <v>17412</v>
      </c>
      <c r="C5139" s="34" t="s">
        <v>5825</v>
      </c>
    </row>
    <row r="5140" spans="1:3" ht="15.75" customHeight="1" x14ac:dyDescent="0.2">
      <c r="A5140" s="42">
        <v>5505</v>
      </c>
      <c r="B5140" s="42">
        <v>17412</v>
      </c>
      <c r="C5140" s="34" t="s">
        <v>5825</v>
      </c>
    </row>
    <row r="5141" spans="1:3" ht="15.75" customHeight="1" x14ac:dyDescent="0.2">
      <c r="A5141" s="42">
        <v>5506</v>
      </c>
      <c r="B5141" s="42">
        <v>17412</v>
      </c>
      <c r="C5141" s="34" t="s">
        <v>5825</v>
      </c>
    </row>
    <row r="5142" spans="1:3" ht="15.75" customHeight="1" x14ac:dyDescent="0.2">
      <c r="A5142" s="42">
        <v>5507</v>
      </c>
      <c r="B5142" s="42">
        <v>17412</v>
      </c>
      <c r="C5142" s="34" t="s">
        <v>5825</v>
      </c>
    </row>
    <row r="5143" spans="1:3" ht="15.75" customHeight="1" x14ac:dyDescent="0.2">
      <c r="A5143" s="42">
        <v>5508</v>
      </c>
      <c r="B5143" s="42">
        <v>17412</v>
      </c>
      <c r="C5143" s="34" t="s">
        <v>5825</v>
      </c>
    </row>
    <row r="5144" spans="1:3" ht="15.75" customHeight="1" x14ac:dyDescent="0.2">
      <c r="A5144" s="42">
        <v>5509</v>
      </c>
      <c r="B5144" s="42">
        <v>17412</v>
      </c>
      <c r="C5144" s="34" t="s">
        <v>5825</v>
      </c>
    </row>
    <row r="5145" spans="1:3" ht="15.75" customHeight="1" x14ac:dyDescent="0.2">
      <c r="A5145" s="42">
        <v>5510</v>
      </c>
      <c r="B5145" s="42">
        <v>17412</v>
      </c>
      <c r="C5145" s="34" t="s">
        <v>5825</v>
      </c>
    </row>
    <row r="5146" spans="1:3" ht="15.75" customHeight="1" x14ac:dyDescent="0.2">
      <c r="A5146" s="42">
        <v>5511</v>
      </c>
      <c r="B5146" s="42">
        <v>17412</v>
      </c>
      <c r="C5146" s="34" t="s">
        <v>5826</v>
      </c>
    </row>
    <row r="5147" spans="1:3" ht="15.75" customHeight="1" x14ac:dyDescent="0.2">
      <c r="A5147" s="42">
        <v>5512</v>
      </c>
      <c r="B5147" s="42">
        <v>17412</v>
      </c>
      <c r="C5147" s="34" t="s">
        <v>5825</v>
      </c>
    </row>
    <row r="5148" spans="1:3" ht="15.75" customHeight="1" x14ac:dyDescent="0.2">
      <c r="A5148" s="42">
        <v>5513</v>
      </c>
      <c r="B5148" s="42">
        <v>17412</v>
      </c>
      <c r="C5148" s="34" t="s">
        <v>5825</v>
      </c>
    </row>
    <row r="5149" spans="1:3" ht="15.75" customHeight="1" x14ac:dyDescent="0.2">
      <c r="A5149" s="42">
        <v>5514</v>
      </c>
      <c r="B5149" s="42">
        <v>17412</v>
      </c>
      <c r="C5149" s="34" t="s">
        <v>5825</v>
      </c>
    </row>
    <row r="5150" spans="1:3" ht="15.75" customHeight="1" x14ac:dyDescent="0.2">
      <c r="A5150" s="42">
        <v>5515</v>
      </c>
      <c r="B5150" s="42">
        <v>17412</v>
      </c>
      <c r="C5150" s="34" t="s">
        <v>5827</v>
      </c>
    </row>
    <row r="5151" spans="1:3" ht="15.75" customHeight="1" x14ac:dyDescent="0.2">
      <c r="A5151" s="42">
        <v>5516</v>
      </c>
      <c r="B5151" s="42">
        <v>17412</v>
      </c>
      <c r="C5151" s="34" t="s">
        <v>5825</v>
      </c>
    </row>
    <row r="5152" spans="1:3" ht="15.75" customHeight="1" x14ac:dyDescent="0.2">
      <c r="A5152" s="42">
        <v>5517</v>
      </c>
      <c r="B5152" s="42">
        <v>17412</v>
      </c>
      <c r="C5152" s="34" t="s">
        <v>5825</v>
      </c>
    </row>
    <row r="5153" spans="1:3" ht="15.75" customHeight="1" x14ac:dyDescent="0.2">
      <c r="A5153" s="42">
        <v>5518</v>
      </c>
      <c r="B5153" s="42">
        <v>17412</v>
      </c>
      <c r="C5153" s="34" t="s">
        <v>5825</v>
      </c>
    </row>
    <row r="5154" spans="1:3" ht="15.75" customHeight="1" x14ac:dyDescent="0.2">
      <c r="A5154" s="42">
        <v>5519</v>
      </c>
      <c r="B5154" s="42">
        <v>17412</v>
      </c>
      <c r="C5154" s="34" t="s">
        <v>5825</v>
      </c>
    </row>
    <row r="5155" spans="1:3" ht="15.75" customHeight="1" x14ac:dyDescent="0.2">
      <c r="A5155" s="42">
        <v>5520</v>
      </c>
      <c r="B5155" s="42">
        <v>17412</v>
      </c>
      <c r="C5155" s="34" t="s">
        <v>5825</v>
      </c>
    </row>
    <row r="5156" spans="1:3" ht="15.75" customHeight="1" x14ac:dyDescent="0.2">
      <c r="A5156" s="42">
        <v>5521</v>
      </c>
      <c r="B5156" s="42">
        <v>17412</v>
      </c>
      <c r="C5156" s="34" t="s">
        <v>5825</v>
      </c>
    </row>
    <row r="5157" spans="1:3" ht="15.75" customHeight="1" x14ac:dyDescent="0.2">
      <c r="A5157" s="42">
        <v>5522</v>
      </c>
      <c r="B5157" s="42">
        <v>17412</v>
      </c>
      <c r="C5157" s="34" t="s">
        <v>5825</v>
      </c>
    </row>
    <row r="5158" spans="1:3" ht="15.75" customHeight="1" x14ac:dyDescent="0.2">
      <c r="A5158" s="42">
        <v>5523</v>
      </c>
      <c r="B5158" s="42">
        <v>17412</v>
      </c>
      <c r="C5158" s="34" t="s">
        <v>5826</v>
      </c>
    </row>
    <row r="5159" spans="1:3" ht="15.75" customHeight="1" x14ac:dyDescent="0.2">
      <c r="A5159" s="42">
        <v>5524</v>
      </c>
      <c r="B5159" s="42">
        <v>17412</v>
      </c>
      <c r="C5159" s="34" t="s">
        <v>5825</v>
      </c>
    </row>
    <row r="5160" spans="1:3" ht="15.75" customHeight="1" x14ac:dyDescent="0.2">
      <c r="A5160" s="42">
        <v>5525</v>
      </c>
      <c r="B5160" s="42">
        <v>17412</v>
      </c>
      <c r="C5160" s="34" t="s">
        <v>5825</v>
      </c>
    </row>
    <row r="5161" spans="1:3" ht="15.75" customHeight="1" x14ac:dyDescent="0.2">
      <c r="A5161" s="42">
        <v>5526</v>
      </c>
      <c r="B5161" s="42">
        <v>17412</v>
      </c>
      <c r="C5161" s="34" t="s">
        <v>5825</v>
      </c>
    </row>
    <row r="5162" spans="1:3" ht="15.75" customHeight="1" x14ac:dyDescent="0.2">
      <c r="A5162" s="42">
        <v>5527</v>
      </c>
      <c r="B5162" s="42">
        <v>17412</v>
      </c>
      <c r="C5162" s="34" t="s">
        <v>5825</v>
      </c>
    </row>
    <row r="5163" spans="1:3" ht="15.75" customHeight="1" x14ac:dyDescent="0.2">
      <c r="A5163" s="42">
        <v>5528</v>
      </c>
      <c r="B5163" s="42">
        <v>17412</v>
      </c>
      <c r="C5163" s="34" t="s">
        <v>5825</v>
      </c>
    </row>
    <row r="5164" spans="1:3" ht="15.75" customHeight="1" x14ac:dyDescent="0.2">
      <c r="A5164" s="42">
        <v>5529</v>
      </c>
      <c r="B5164" s="42">
        <v>17412</v>
      </c>
      <c r="C5164" s="34" t="s">
        <v>5825</v>
      </c>
    </row>
    <row r="5165" spans="1:3" ht="15.75" customHeight="1" x14ac:dyDescent="0.2">
      <c r="A5165" s="42">
        <v>5530</v>
      </c>
      <c r="B5165" s="42">
        <v>17412</v>
      </c>
      <c r="C5165" s="34" t="s">
        <v>5825</v>
      </c>
    </row>
    <row r="5166" spans="1:3" ht="15.75" customHeight="1" x14ac:dyDescent="0.2">
      <c r="A5166" s="42">
        <v>5531</v>
      </c>
      <c r="B5166" s="42">
        <v>17412</v>
      </c>
      <c r="C5166" s="34" t="s">
        <v>5825</v>
      </c>
    </row>
    <row r="5167" spans="1:3" ht="15.75" customHeight="1" x14ac:dyDescent="0.2">
      <c r="A5167" s="42">
        <v>5532</v>
      </c>
      <c r="B5167" s="42">
        <v>17412</v>
      </c>
      <c r="C5167" s="34" t="s">
        <v>5825</v>
      </c>
    </row>
    <row r="5168" spans="1:3" ht="15.75" customHeight="1" x14ac:dyDescent="0.2">
      <c r="A5168" s="42">
        <v>5533</v>
      </c>
      <c r="B5168" s="42">
        <v>17412</v>
      </c>
      <c r="C5168" s="34" t="s">
        <v>5825</v>
      </c>
    </row>
    <row r="5169" spans="1:3" ht="15.75" customHeight="1" x14ac:dyDescent="0.2">
      <c r="A5169" s="42">
        <v>5534</v>
      </c>
      <c r="B5169" s="42">
        <v>17412</v>
      </c>
      <c r="C5169" s="34" t="s">
        <v>5825</v>
      </c>
    </row>
    <row r="5170" spans="1:3" ht="15.75" customHeight="1" x14ac:dyDescent="0.2">
      <c r="A5170" s="42">
        <v>5535</v>
      </c>
      <c r="B5170" s="42">
        <v>17412</v>
      </c>
      <c r="C5170" s="34" t="s">
        <v>5825</v>
      </c>
    </row>
    <row r="5171" spans="1:3" ht="15.75" customHeight="1" x14ac:dyDescent="0.2">
      <c r="A5171" s="42">
        <v>5536</v>
      </c>
      <c r="B5171" s="42">
        <v>17412</v>
      </c>
      <c r="C5171" s="34" t="s">
        <v>5825</v>
      </c>
    </row>
    <row r="5172" spans="1:3" ht="15.75" customHeight="1" x14ac:dyDescent="0.2">
      <c r="A5172" s="42">
        <v>5537</v>
      </c>
      <c r="B5172" s="42">
        <v>17412</v>
      </c>
      <c r="C5172" s="34" t="s">
        <v>5825</v>
      </c>
    </row>
    <row r="5173" spans="1:3" ht="15.75" customHeight="1" x14ac:dyDescent="0.2">
      <c r="A5173" s="42">
        <v>5538</v>
      </c>
      <c r="B5173" s="42">
        <v>17412</v>
      </c>
      <c r="C5173" s="34" t="s">
        <v>5825</v>
      </c>
    </row>
    <row r="5174" spans="1:3" ht="15.75" customHeight="1" x14ac:dyDescent="0.2">
      <c r="A5174" s="42">
        <v>5539</v>
      </c>
      <c r="B5174" s="42">
        <v>17412</v>
      </c>
      <c r="C5174" s="34" t="s">
        <v>5825</v>
      </c>
    </row>
    <row r="5175" spans="1:3" ht="15.75" customHeight="1" x14ac:dyDescent="0.2">
      <c r="A5175" s="42">
        <v>5540</v>
      </c>
      <c r="B5175" s="42">
        <v>17412</v>
      </c>
      <c r="C5175" s="34" t="s">
        <v>5825</v>
      </c>
    </row>
    <row r="5176" spans="1:3" ht="15.75" customHeight="1" x14ac:dyDescent="0.2">
      <c r="A5176" s="42">
        <v>5541</v>
      </c>
      <c r="B5176" s="42">
        <v>17412</v>
      </c>
      <c r="C5176" s="34" t="s">
        <v>5825</v>
      </c>
    </row>
    <row r="5177" spans="1:3" ht="15.75" customHeight="1" x14ac:dyDescent="0.2">
      <c r="A5177" s="42">
        <v>5542</v>
      </c>
      <c r="B5177" s="42">
        <v>17412</v>
      </c>
      <c r="C5177" s="34" t="s">
        <v>5828</v>
      </c>
    </row>
    <row r="5178" spans="1:3" ht="15.75" customHeight="1" x14ac:dyDescent="0.2">
      <c r="A5178" s="42">
        <v>5543</v>
      </c>
      <c r="B5178" s="42">
        <v>17412</v>
      </c>
      <c r="C5178" s="34" t="s">
        <v>5825</v>
      </c>
    </row>
    <row r="5179" spans="1:3" ht="15.75" customHeight="1" x14ac:dyDescent="0.2">
      <c r="A5179" s="42">
        <v>5544</v>
      </c>
      <c r="B5179" s="42">
        <v>17412</v>
      </c>
      <c r="C5179" s="34" t="s">
        <v>5825</v>
      </c>
    </row>
    <row r="5180" spans="1:3" ht="15.75" customHeight="1" x14ac:dyDescent="0.2">
      <c r="A5180" s="42">
        <v>5545</v>
      </c>
      <c r="B5180" s="42">
        <v>17412</v>
      </c>
      <c r="C5180" s="34" t="s">
        <v>5825</v>
      </c>
    </row>
    <row r="5181" spans="1:3" ht="15.75" customHeight="1" x14ac:dyDescent="0.2">
      <c r="A5181" s="42">
        <v>5546</v>
      </c>
      <c r="B5181" s="42">
        <v>17412</v>
      </c>
      <c r="C5181" s="34" t="s">
        <v>5825</v>
      </c>
    </row>
    <row r="5182" spans="1:3" ht="15.75" customHeight="1" x14ac:dyDescent="0.2">
      <c r="A5182" s="42">
        <v>5547</v>
      </c>
      <c r="B5182" s="42">
        <v>17412</v>
      </c>
      <c r="C5182" s="34" t="s">
        <v>5825</v>
      </c>
    </row>
    <row r="5183" spans="1:3" ht="15.75" customHeight="1" x14ac:dyDescent="0.2">
      <c r="A5183" s="42">
        <v>5548</v>
      </c>
      <c r="B5183" s="42">
        <v>17412</v>
      </c>
      <c r="C5183" s="34" t="s">
        <v>5825</v>
      </c>
    </row>
    <row r="5184" spans="1:3" ht="15.75" customHeight="1" x14ac:dyDescent="0.2">
      <c r="A5184" s="42">
        <v>5549</v>
      </c>
      <c r="B5184" s="42">
        <v>17412</v>
      </c>
      <c r="C5184" s="34" t="s">
        <v>5825</v>
      </c>
    </row>
    <row r="5185" spans="1:3" ht="15.75" customHeight="1" x14ac:dyDescent="0.2">
      <c r="A5185" s="42">
        <v>5550</v>
      </c>
      <c r="B5185" s="42">
        <v>17412</v>
      </c>
      <c r="C5185" s="34" t="s">
        <v>5825</v>
      </c>
    </row>
    <row r="5186" spans="1:3" ht="15.75" customHeight="1" x14ac:dyDescent="0.2">
      <c r="A5186" s="42">
        <v>5551</v>
      </c>
      <c r="B5186" s="42">
        <v>17412</v>
      </c>
      <c r="C5186" s="34" t="s">
        <v>5825</v>
      </c>
    </row>
    <row r="5187" spans="1:3" ht="15.75" customHeight="1" x14ac:dyDescent="0.2">
      <c r="A5187" s="42">
        <v>5552</v>
      </c>
      <c r="B5187" s="42">
        <v>17412</v>
      </c>
      <c r="C5187" s="34" t="s">
        <v>5825</v>
      </c>
    </row>
    <row r="5188" spans="1:3" ht="15.75" customHeight="1" x14ac:dyDescent="0.2">
      <c r="A5188" s="42">
        <v>5553</v>
      </c>
      <c r="B5188" s="42">
        <v>17412</v>
      </c>
      <c r="C5188" s="34" t="s">
        <v>5825</v>
      </c>
    </row>
    <row r="5189" spans="1:3" ht="15.75" customHeight="1" x14ac:dyDescent="0.2">
      <c r="A5189" s="42">
        <v>5554</v>
      </c>
      <c r="B5189" s="42">
        <v>17412</v>
      </c>
      <c r="C5189" s="34" t="s">
        <v>5825</v>
      </c>
    </row>
    <row r="5190" spans="1:3" ht="15.75" customHeight="1" x14ac:dyDescent="0.2">
      <c r="A5190" s="42">
        <v>5555</v>
      </c>
      <c r="B5190" s="42">
        <v>17412</v>
      </c>
      <c r="C5190" s="34" t="s">
        <v>5825</v>
      </c>
    </row>
    <row r="5191" spans="1:3" ht="15.75" customHeight="1" x14ac:dyDescent="0.2">
      <c r="A5191" s="42">
        <v>5556</v>
      </c>
      <c r="B5191" s="42">
        <v>17412</v>
      </c>
      <c r="C5191" s="34" t="s">
        <v>5825</v>
      </c>
    </row>
    <row r="5192" spans="1:3" ht="15.75" customHeight="1" x14ac:dyDescent="0.2">
      <c r="A5192" s="42">
        <v>5557</v>
      </c>
      <c r="B5192" s="42">
        <v>17412</v>
      </c>
      <c r="C5192" s="34" t="s">
        <v>5825</v>
      </c>
    </row>
    <row r="5193" spans="1:3" ht="15.75" customHeight="1" x14ac:dyDescent="0.2">
      <c r="A5193" s="42">
        <v>5558</v>
      </c>
      <c r="B5193" s="42">
        <v>17412</v>
      </c>
      <c r="C5193" s="34" t="s">
        <v>5825</v>
      </c>
    </row>
    <row r="5194" spans="1:3" ht="15.75" customHeight="1" x14ac:dyDescent="0.2">
      <c r="A5194" s="42">
        <v>5559</v>
      </c>
      <c r="B5194" s="42">
        <v>17412</v>
      </c>
      <c r="C5194" s="34" t="s">
        <v>5825</v>
      </c>
    </row>
    <row r="5195" spans="1:3" ht="15.75" customHeight="1" x14ac:dyDescent="0.2">
      <c r="A5195" s="42">
        <v>5560</v>
      </c>
      <c r="B5195" s="42">
        <v>17412</v>
      </c>
      <c r="C5195" s="34" t="s">
        <v>5825</v>
      </c>
    </row>
    <row r="5196" spans="1:3" ht="15.75" customHeight="1" x14ac:dyDescent="0.2">
      <c r="A5196" s="42">
        <v>5561</v>
      </c>
      <c r="B5196" s="42">
        <v>17412</v>
      </c>
      <c r="C5196" s="34" t="s">
        <v>5825</v>
      </c>
    </row>
    <row r="5197" spans="1:3" ht="15.75" customHeight="1" x14ac:dyDescent="0.2">
      <c r="A5197" s="42">
        <v>5562</v>
      </c>
      <c r="B5197" s="42">
        <v>17412</v>
      </c>
      <c r="C5197" s="34" t="s">
        <v>5825</v>
      </c>
    </row>
    <row r="5198" spans="1:3" ht="15.75" customHeight="1" x14ac:dyDescent="0.2">
      <c r="A5198" s="42">
        <v>5563</v>
      </c>
      <c r="B5198" s="42">
        <v>17412</v>
      </c>
      <c r="C5198" s="34" t="s">
        <v>5825</v>
      </c>
    </row>
    <row r="5199" spans="1:3" ht="15.75" customHeight="1" x14ac:dyDescent="0.2">
      <c r="A5199" s="42">
        <v>5564</v>
      </c>
      <c r="B5199" s="42">
        <v>17412</v>
      </c>
      <c r="C5199" s="34" t="s">
        <v>5825</v>
      </c>
    </row>
    <row r="5200" spans="1:3" ht="15.75" customHeight="1" x14ac:dyDescent="0.2">
      <c r="A5200" s="42">
        <v>5565</v>
      </c>
      <c r="B5200" s="42">
        <v>17412</v>
      </c>
      <c r="C5200" s="34" t="s">
        <v>5826</v>
      </c>
    </row>
    <row r="5201" spans="1:3" ht="15.75" customHeight="1" x14ac:dyDescent="0.2">
      <c r="A5201" s="42">
        <v>5566</v>
      </c>
      <c r="B5201" s="42">
        <v>17412</v>
      </c>
      <c r="C5201" s="34" t="s">
        <v>5825</v>
      </c>
    </row>
    <row r="5202" spans="1:3" ht="15.75" customHeight="1" x14ac:dyDescent="0.2">
      <c r="A5202" s="42">
        <v>5567</v>
      </c>
      <c r="B5202" s="42">
        <v>17412</v>
      </c>
      <c r="C5202" s="34" t="s">
        <v>5825</v>
      </c>
    </row>
    <row r="5203" spans="1:3" ht="15.75" customHeight="1" x14ac:dyDescent="0.2">
      <c r="A5203" s="42">
        <v>5568</v>
      </c>
      <c r="B5203" s="42">
        <v>17412</v>
      </c>
      <c r="C5203" s="34" t="s">
        <v>5825</v>
      </c>
    </row>
    <row r="5204" spans="1:3" ht="15.75" customHeight="1" x14ac:dyDescent="0.2">
      <c r="A5204" s="42">
        <v>5569</v>
      </c>
      <c r="B5204" s="42">
        <v>17412</v>
      </c>
      <c r="C5204" s="34" t="s">
        <v>5825</v>
      </c>
    </row>
    <row r="5205" spans="1:3" ht="15.75" customHeight="1" x14ac:dyDescent="0.2">
      <c r="A5205" s="42">
        <v>5570</v>
      </c>
      <c r="B5205" s="42">
        <v>17412</v>
      </c>
      <c r="C5205" s="34" t="s">
        <v>5825</v>
      </c>
    </row>
    <row r="5206" spans="1:3" ht="15.75" customHeight="1" x14ac:dyDescent="0.2">
      <c r="A5206" s="42">
        <v>5571</v>
      </c>
      <c r="B5206" s="42">
        <v>17412</v>
      </c>
      <c r="C5206" s="34" t="s">
        <v>5825</v>
      </c>
    </row>
    <row r="5207" spans="1:3" ht="15.75" customHeight="1" x14ac:dyDescent="0.2">
      <c r="A5207" s="42">
        <v>5572</v>
      </c>
      <c r="B5207" s="42">
        <v>17412</v>
      </c>
      <c r="C5207" s="34" t="s">
        <v>5829</v>
      </c>
    </row>
    <row r="5208" spans="1:3" ht="15.75" customHeight="1" x14ac:dyDescent="0.2">
      <c r="A5208" s="42">
        <v>5573</v>
      </c>
      <c r="B5208" s="42">
        <v>17412</v>
      </c>
      <c r="C5208" s="34" t="s">
        <v>5825</v>
      </c>
    </row>
    <row r="5209" spans="1:3" ht="15.75" customHeight="1" x14ac:dyDescent="0.2">
      <c r="A5209" s="42">
        <v>5574</v>
      </c>
      <c r="B5209" s="42">
        <v>17412</v>
      </c>
      <c r="C5209" s="34" t="s">
        <v>5825</v>
      </c>
    </row>
    <row r="5210" spans="1:3" ht="15.75" customHeight="1" x14ac:dyDescent="0.2">
      <c r="A5210" s="42">
        <v>5575</v>
      </c>
      <c r="B5210" s="42">
        <v>17412</v>
      </c>
      <c r="C5210" s="34" t="s">
        <v>5827</v>
      </c>
    </row>
    <row r="5211" spans="1:3" ht="15.75" customHeight="1" x14ac:dyDescent="0.2">
      <c r="A5211" s="42">
        <v>5576</v>
      </c>
      <c r="B5211" s="42">
        <v>17412</v>
      </c>
      <c r="C5211" s="34" t="s">
        <v>5825</v>
      </c>
    </row>
    <row r="5212" spans="1:3" ht="15.75" customHeight="1" x14ac:dyDescent="0.2">
      <c r="A5212" s="42">
        <v>5577</v>
      </c>
      <c r="B5212" s="42">
        <v>17412</v>
      </c>
      <c r="C5212" s="34" t="s">
        <v>5825</v>
      </c>
    </row>
    <row r="5213" spans="1:3" ht="15.75" customHeight="1" x14ac:dyDescent="0.2">
      <c r="A5213" s="42">
        <v>5578</v>
      </c>
      <c r="B5213" s="42">
        <v>17412</v>
      </c>
      <c r="C5213" s="34" t="s">
        <v>5825</v>
      </c>
    </row>
    <row r="5214" spans="1:3" ht="15.75" customHeight="1" x14ac:dyDescent="0.2">
      <c r="A5214" s="42">
        <v>5579</v>
      </c>
      <c r="B5214" s="42">
        <v>17412</v>
      </c>
      <c r="C5214" s="34" t="s">
        <v>5825</v>
      </c>
    </row>
    <row r="5215" spans="1:3" ht="15.75" customHeight="1" x14ac:dyDescent="0.2">
      <c r="A5215" s="42">
        <v>5580</v>
      </c>
      <c r="B5215" s="42">
        <v>17412</v>
      </c>
      <c r="C5215" s="34" t="s">
        <v>5825</v>
      </c>
    </row>
    <row r="5216" spans="1:3" ht="15.75" customHeight="1" x14ac:dyDescent="0.2">
      <c r="A5216" s="42">
        <v>5581</v>
      </c>
      <c r="B5216" s="42">
        <v>17412</v>
      </c>
      <c r="C5216" s="34" t="s">
        <v>5825</v>
      </c>
    </row>
    <row r="5217" spans="1:3" ht="15.75" customHeight="1" x14ac:dyDescent="0.2">
      <c r="A5217" s="42">
        <v>5582</v>
      </c>
      <c r="B5217" s="42">
        <v>17412</v>
      </c>
      <c r="C5217" s="34" t="s">
        <v>5825</v>
      </c>
    </row>
    <row r="5218" spans="1:3" ht="15.75" customHeight="1" x14ac:dyDescent="0.2">
      <c r="A5218" s="42">
        <v>5583</v>
      </c>
      <c r="B5218" s="42">
        <v>17412</v>
      </c>
      <c r="C5218" s="34" t="s">
        <v>5825</v>
      </c>
    </row>
    <row r="5219" spans="1:3" ht="15.75" customHeight="1" x14ac:dyDescent="0.2">
      <c r="A5219" s="42">
        <v>5584</v>
      </c>
      <c r="B5219" s="42">
        <v>17412</v>
      </c>
      <c r="C5219" s="34" t="s">
        <v>5825</v>
      </c>
    </row>
    <row r="5220" spans="1:3" ht="15.75" customHeight="1" x14ac:dyDescent="0.2">
      <c r="A5220" s="42">
        <v>5585</v>
      </c>
      <c r="B5220" s="42">
        <v>17412</v>
      </c>
      <c r="C5220" s="34" t="s">
        <v>5825</v>
      </c>
    </row>
    <row r="5221" spans="1:3" ht="15.75" customHeight="1" x14ac:dyDescent="0.2">
      <c r="A5221" s="42">
        <v>5586</v>
      </c>
      <c r="B5221" s="42">
        <v>17412</v>
      </c>
      <c r="C5221" s="34" t="s">
        <v>5830</v>
      </c>
    </row>
    <row r="5222" spans="1:3" ht="15.75" customHeight="1" x14ac:dyDescent="0.2">
      <c r="A5222" s="42">
        <v>5587</v>
      </c>
      <c r="B5222" s="42">
        <v>17412</v>
      </c>
      <c r="C5222" s="34" t="s">
        <v>5825</v>
      </c>
    </row>
    <row r="5223" spans="1:3" ht="15.75" customHeight="1" x14ac:dyDescent="0.2">
      <c r="A5223" s="42">
        <v>5588</v>
      </c>
      <c r="B5223" s="42">
        <v>17412</v>
      </c>
      <c r="C5223" s="34" t="s">
        <v>5825</v>
      </c>
    </row>
    <row r="5224" spans="1:3" ht="15.75" customHeight="1" x14ac:dyDescent="0.2">
      <c r="A5224" s="42">
        <v>5589</v>
      </c>
      <c r="B5224" s="42">
        <v>17412</v>
      </c>
      <c r="C5224" s="34" t="s">
        <v>5825</v>
      </c>
    </row>
    <row r="5225" spans="1:3" ht="15.75" customHeight="1" x14ac:dyDescent="0.2">
      <c r="A5225" s="42">
        <v>5590</v>
      </c>
      <c r="B5225" s="42">
        <v>17415</v>
      </c>
      <c r="C5225" s="34" t="s">
        <v>5831</v>
      </c>
    </row>
    <row r="5226" spans="1:3" ht="15.75" customHeight="1" x14ac:dyDescent="0.2">
      <c r="A5226" s="42">
        <v>5591</v>
      </c>
      <c r="B5226" s="42">
        <v>17415</v>
      </c>
      <c r="C5226" s="34" t="s">
        <v>5831</v>
      </c>
    </row>
    <row r="5227" spans="1:3" ht="15.75" customHeight="1" x14ac:dyDescent="0.2">
      <c r="A5227" s="42">
        <v>5592</v>
      </c>
      <c r="B5227" s="42">
        <v>17415</v>
      </c>
      <c r="C5227" s="34" t="s">
        <v>5832</v>
      </c>
    </row>
    <row r="5228" spans="1:3" ht="15.75" customHeight="1" x14ac:dyDescent="0.2">
      <c r="A5228" s="42">
        <v>5593</v>
      </c>
      <c r="B5228" s="42">
        <v>17415</v>
      </c>
      <c r="C5228" s="34" t="s">
        <v>5833</v>
      </c>
    </row>
    <row r="5229" spans="1:3" ht="15.75" customHeight="1" x14ac:dyDescent="0.2">
      <c r="A5229" s="42">
        <v>5594</v>
      </c>
      <c r="B5229" s="42">
        <v>17415</v>
      </c>
      <c r="C5229" s="34" t="s">
        <v>5831</v>
      </c>
    </row>
    <row r="5230" spans="1:3" ht="15.75" customHeight="1" x14ac:dyDescent="0.2">
      <c r="A5230" s="42">
        <v>5595</v>
      </c>
      <c r="B5230" s="42">
        <v>17415</v>
      </c>
      <c r="C5230" s="34" t="s">
        <v>5831</v>
      </c>
    </row>
    <row r="5231" spans="1:3" ht="15.75" customHeight="1" x14ac:dyDescent="0.2">
      <c r="A5231" s="42">
        <v>5596</v>
      </c>
      <c r="B5231" s="42">
        <v>17415</v>
      </c>
      <c r="C5231" s="34" t="s">
        <v>5831</v>
      </c>
    </row>
    <row r="5232" spans="1:3" ht="15.75" customHeight="1" x14ac:dyDescent="0.2">
      <c r="A5232" s="42">
        <v>5597</v>
      </c>
      <c r="B5232" s="42">
        <v>17415</v>
      </c>
      <c r="C5232" s="34" t="s">
        <v>5831</v>
      </c>
    </row>
    <row r="5233" spans="1:3" ht="15.75" customHeight="1" x14ac:dyDescent="0.2">
      <c r="A5233" s="42">
        <v>5598</v>
      </c>
      <c r="B5233" s="42">
        <v>17415</v>
      </c>
      <c r="C5233" s="34" t="s">
        <v>5831</v>
      </c>
    </row>
    <row r="5234" spans="1:3" ht="15.75" customHeight="1" x14ac:dyDescent="0.2">
      <c r="A5234" s="42">
        <v>5599</v>
      </c>
      <c r="B5234" s="42">
        <v>17415</v>
      </c>
      <c r="C5234" s="34" t="s">
        <v>5831</v>
      </c>
    </row>
    <row r="5235" spans="1:3" ht="15.75" customHeight="1" x14ac:dyDescent="0.2">
      <c r="A5235" s="42">
        <v>5600</v>
      </c>
      <c r="B5235" s="42">
        <v>17415</v>
      </c>
      <c r="C5235" s="34" t="s">
        <v>5831</v>
      </c>
    </row>
    <row r="5236" spans="1:3" ht="15.75" customHeight="1" x14ac:dyDescent="0.2">
      <c r="A5236" s="42">
        <v>5601</v>
      </c>
      <c r="B5236" s="42">
        <v>17415</v>
      </c>
      <c r="C5236" s="34" t="s">
        <v>5832</v>
      </c>
    </row>
    <row r="5237" spans="1:3" ht="15.75" customHeight="1" x14ac:dyDescent="0.2">
      <c r="A5237" s="42">
        <v>5602</v>
      </c>
      <c r="B5237" s="42">
        <v>17415</v>
      </c>
      <c r="C5237" s="34" t="s">
        <v>5831</v>
      </c>
    </row>
    <row r="5238" spans="1:3" ht="15.75" customHeight="1" x14ac:dyDescent="0.2">
      <c r="A5238" s="42">
        <v>5603</v>
      </c>
      <c r="B5238" s="42">
        <v>17415</v>
      </c>
      <c r="C5238" s="34" t="s">
        <v>5834</v>
      </c>
    </row>
    <row r="5239" spans="1:3" ht="15.75" customHeight="1" x14ac:dyDescent="0.2">
      <c r="A5239" s="42">
        <v>5604</v>
      </c>
      <c r="B5239" s="42">
        <v>17415</v>
      </c>
      <c r="C5239" s="34" t="s">
        <v>5831</v>
      </c>
    </row>
    <row r="5240" spans="1:3" ht="15.75" customHeight="1" x14ac:dyDescent="0.2">
      <c r="A5240" s="42">
        <v>5605</v>
      </c>
      <c r="B5240" s="42">
        <v>17415</v>
      </c>
      <c r="C5240" s="34" t="s">
        <v>5832</v>
      </c>
    </row>
    <row r="5241" spans="1:3" ht="15.75" customHeight="1" x14ac:dyDescent="0.2">
      <c r="A5241" s="42">
        <v>5606</v>
      </c>
      <c r="B5241" s="42">
        <v>17415</v>
      </c>
      <c r="C5241" s="34" t="s">
        <v>5831</v>
      </c>
    </row>
    <row r="5242" spans="1:3" ht="15.75" customHeight="1" x14ac:dyDescent="0.2">
      <c r="A5242" s="42">
        <v>5607</v>
      </c>
      <c r="B5242" s="42">
        <v>17415</v>
      </c>
      <c r="C5242" s="34" t="s">
        <v>5834</v>
      </c>
    </row>
    <row r="5243" spans="1:3" ht="15.75" customHeight="1" x14ac:dyDescent="0.2">
      <c r="A5243" s="42">
        <v>5608</v>
      </c>
      <c r="B5243" s="42">
        <v>17415</v>
      </c>
      <c r="C5243" s="34" t="s">
        <v>5831</v>
      </c>
    </row>
    <row r="5244" spans="1:3" ht="15.75" customHeight="1" x14ac:dyDescent="0.2">
      <c r="A5244" s="42">
        <v>5609</v>
      </c>
      <c r="B5244" s="42">
        <v>17415</v>
      </c>
      <c r="C5244" s="34" t="s">
        <v>5831</v>
      </c>
    </row>
    <row r="5245" spans="1:3" ht="15.75" customHeight="1" x14ac:dyDescent="0.2">
      <c r="A5245" s="42">
        <v>5610</v>
      </c>
      <c r="B5245" s="42">
        <v>17415</v>
      </c>
      <c r="C5245" s="34" t="s">
        <v>5832</v>
      </c>
    </row>
    <row r="5246" spans="1:3" ht="15.75" customHeight="1" x14ac:dyDescent="0.2">
      <c r="A5246" s="42">
        <v>5611</v>
      </c>
      <c r="B5246" s="42">
        <v>17415</v>
      </c>
      <c r="C5246" s="34" t="s">
        <v>5834</v>
      </c>
    </row>
    <row r="5247" spans="1:3" ht="15.75" customHeight="1" x14ac:dyDescent="0.2">
      <c r="A5247" s="42">
        <v>5612</v>
      </c>
      <c r="B5247" s="42">
        <v>17415</v>
      </c>
      <c r="C5247" s="34" t="s">
        <v>5834</v>
      </c>
    </row>
    <row r="5248" spans="1:3" ht="15.75" customHeight="1" x14ac:dyDescent="0.2">
      <c r="A5248" s="42">
        <v>5613</v>
      </c>
      <c r="B5248" s="42">
        <v>17415</v>
      </c>
      <c r="C5248" s="34" t="s">
        <v>5831</v>
      </c>
    </row>
    <row r="5249" spans="1:3" ht="15.75" customHeight="1" x14ac:dyDescent="0.2">
      <c r="A5249" s="42">
        <v>5614</v>
      </c>
      <c r="B5249" s="42">
        <v>17415</v>
      </c>
      <c r="C5249" s="34" t="s">
        <v>5831</v>
      </c>
    </row>
    <row r="5250" spans="1:3" ht="15.75" customHeight="1" x14ac:dyDescent="0.2">
      <c r="A5250" s="42">
        <v>5615</v>
      </c>
      <c r="B5250" s="42">
        <v>17415</v>
      </c>
      <c r="C5250" s="34" t="s">
        <v>5831</v>
      </c>
    </row>
    <row r="5251" spans="1:3" ht="15.75" customHeight="1" x14ac:dyDescent="0.2">
      <c r="A5251" s="42">
        <v>5616</v>
      </c>
      <c r="B5251" s="42">
        <v>17415</v>
      </c>
      <c r="C5251" s="34" t="s">
        <v>5834</v>
      </c>
    </row>
    <row r="5252" spans="1:3" ht="15.75" customHeight="1" x14ac:dyDescent="0.2">
      <c r="A5252" s="42">
        <v>5617</v>
      </c>
      <c r="B5252" s="42">
        <v>17415</v>
      </c>
      <c r="C5252" s="34" t="s">
        <v>5835</v>
      </c>
    </row>
    <row r="5253" spans="1:3" ht="15.75" customHeight="1" x14ac:dyDescent="0.2">
      <c r="A5253" s="42">
        <v>5618</v>
      </c>
      <c r="B5253" s="42">
        <v>17415</v>
      </c>
      <c r="C5253" s="34" t="s">
        <v>5831</v>
      </c>
    </row>
    <row r="5254" spans="1:3" ht="15.75" customHeight="1" x14ac:dyDescent="0.2">
      <c r="A5254" s="42">
        <v>5619</v>
      </c>
      <c r="B5254" s="42">
        <v>17415</v>
      </c>
      <c r="C5254" s="34" t="s">
        <v>5831</v>
      </c>
    </row>
    <row r="5255" spans="1:3" ht="15.75" customHeight="1" x14ac:dyDescent="0.2">
      <c r="A5255" s="42">
        <v>5620</v>
      </c>
      <c r="B5255" s="42">
        <v>17415</v>
      </c>
      <c r="C5255" s="34" t="s">
        <v>5832</v>
      </c>
    </row>
    <row r="5256" spans="1:3" ht="15.75" customHeight="1" x14ac:dyDescent="0.2">
      <c r="A5256" s="42">
        <v>5621</v>
      </c>
      <c r="B5256" s="42">
        <v>17415</v>
      </c>
      <c r="C5256" s="34" t="s">
        <v>5831</v>
      </c>
    </row>
    <row r="5257" spans="1:3" ht="15.75" customHeight="1" x14ac:dyDescent="0.2">
      <c r="A5257" s="42">
        <v>5622</v>
      </c>
      <c r="B5257" s="42">
        <v>17415</v>
      </c>
      <c r="C5257" s="34" t="s">
        <v>5831</v>
      </c>
    </row>
    <row r="5258" spans="1:3" ht="15.75" customHeight="1" x14ac:dyDescent="0.2">
      <c r="A5258" s="42">
        <v>5623</v>
      </c>
      <c r="B5258" s="42">
        <v>17415</v>
      </c>
      <c r="C5258" s="34" t="s">
        <v>5831</v>
      </c>
    </row>
    <row r="5259" spans="1:3" ht="15.75" customHeight="1" x14ac:dyDescent="0.2">
      <c r="A5259" s="42">
        <v>5624</v>
      </c>
      <c r="B5259" s="42">
        <v>17415</v>
      </c>
      <c r="C5259" s="34" t="s">
        <v>5832</v>
      </c>
    </row>
    <row r="5260" spans="1:3" ht="15.75" customHeight="1" x14ac:dyDescent="0.2">
      <c r="A5260" s="42">
        <v>5625</v>
      </c>
      <c r="B5260" s="42">
        <v>17415</v>
      </c>
      <c r="C5260" s="34" t="s">
        <v>5832</v>
      </c>
    </row>
    <row r="5261" spans="1:3" ht="15.75" customHeight="1" x14ac:dyDescent="0.2">
      <c r="A5261" s="42">
        <v>5626</v>
      </c>
      <c r="B5261" s="42">
        <v>17415</v>
      </c>
      <c r="C5261" s="34" t="s">
        <v>5832</v>
      </c>
    </row>
    <row r="5262" spans="1:3" ht="15.75" customHeight="1" x14ac:dyDescent="0.2">
      <c r="A5262" s="42">
        <v>5627</v>
      </c>
      <c r="B5262" s="42">
        <v>17415</v>
      </c>
      <c r="C5262" s="34" t="s">
        <v>5831</v>
      </c>
    </row>
    <row r="5263" spans="1:3" ht="15.75" customHeight="1" x14ac:dyDescent="0.2">
      <c r="A5263" s="42">
        <v>5628</v>
      </c>
      <c r="B5263" s="42">
        <v>17415</v>
      </c>
      <c r="C5263" s="34" t="s">
        <v>5831</v>
      </c>
    </row>
    <row r="5264" spans="1:3" ht="15.75" customHeight="1" x14ac:dyDescent="0.2">
      <c r="A5264" s="42">
        <v>5629</v>
      </c>
      <c r="B5264" s="42">
        <v>17415</v>
      </c>
      <c r="C5264" s="34" t="s">
        <v>5834</v>
      </c>
    </row>
    <row r="5265" spans="1:3" ht="15.75" customHeight="1" x14ac:dyDescent="0.2">
      <c r="A5265" s="42">
        <v>5630</v>
      </c>
      <c r="B5265" s="42">
        <v>17415</v>
      </c>
      <c r="C5265" s="34" t="s">
        <v>5831</v>
      </c>
    </row>
    <row r="5266" spans="1:3" ht="15.75" customHeight="1" x14ac:dyDescent="0.2">
      <c r="A5266" s="42">
        <v>5631</v>
      </c>
      <c r="B5266" s="42">
        <v>17415</v>
      </c>
      <c r="C5266" s="34" t="s">
        <v>5832</v>
      </c>
    </row>
    <row r="5267" spans="1:3" ht="15.75" customHeight="1" x14ac:dyDescent="0.2">
      <c r="A5267" s="42">
        <v>5632</v>
      </c>
      <c r="B5267" s="42">
        <v>17415</v>
      </c>
      <c r="C5267" s="34" t="s">
        <v>5832</v>
      </c>
    </row>
    <row r="5268" spans="1:3" ht="15.75" customHeight="1" x14ac:dyDescent="0.2">
      <c r="A5268" s="42">
        <v>5633</v>
      </c>
      <c r="B5268" s="42">
        <v>17415</v>
      </c>
      <c r="C5268" s="34" t="s">
        <v>5836</v>
      </c>
    </row>
    <row r="5269" spans="1:3" ht="15.75" customHeight="1" x14ac:dyDescent="0.2">
      <c r="A5269" s="42">
        <v>5634</v>
      </c>
      <c r="B5269" s="42">
        <v>17415</v>
      </c>
      <c r="C5269" s="34" t="s">
        <v>5837</v>
      </c>
    </row>
    <row r="5270" spans="1:3" ht="15.75" customHeight="1" x14ac:dyDescent="0.2">
      <c r="A5270" s="42">
        <v>5635</v>
      </c>
      <c r="B5270" s="42">
        <v>17415</v>
      </c>
      <c r="C5270" s="34" t="s">
        <v>5832</v>
      </c>
    </row>
    <row r="5271" spans="1:3" ht="15.75" customHeight="1" x14ac:dyDescent="0.2">
      <c r="A5271" s="42">
        <v>5636</v>
      </c>
      <c r="B5271" s="42">
        <v>17415</v>
      </c>
      <c r="C5271" s="34" t="s">
        <v>5832</v>
      </c>
    </row>
    <row r="5272" spans="1:3" ht="15.75" customHeight="1" x14ac:dyDescent="0.2">
      <c r="A5272" s="42">
        <v>5637</v>
      </c>
      <c r="B5272" s="42">
        <v>17415</v>
      </c>
      <c r="C5272" s="34" t="s">
        <v>5834</v>
      </c>
    </row>
    <row r="5273" spans="1:3" ht="15.75" customHeight="1" x14ac:dyDescent="0.2">
      <c r="A5273" s="42">
        <v>5638</v>
      </c>
      <c r="B5273" s="42">
        <v>17415</v>
      </c>
      <c r="C5273" s="34" t="s">
        <v>5832</v>
      </c>
    </row>
    <row r="5274" spans="1:3" ht="15.75" customHeight="1" x14ac:dyDescent="0.2">
      <c r="A5274" s="42">
        <v>5639</v>
      </c>
      <c r="B5274" s="42">
        <v>17415</v>
      </c>
      <c r="C5274" s="34" t="s">
        <v>5832</v>
      </c>
    </row>
    <row r="5275" spans="1:3" ht="15.75" customHeight="1" x14ac:dyDescent="0.2">
      <c r="A5275" s="42">
        <v>5640</v>
      </c>
      <c r="B5275" s="42">
        <v>17415</v>
      </c>
      <c r="C5275" s="34" t="s">
        <v>5832</v>
      </c>
    </row>
    <row r="5276" spans="1:3" ht="15.75" customHeight="1" x14ac:dyDescent="0.2">
      <c r="A5276" s="42">
        <v>5641</v>
      </c>
      <c r="B5276" s="42">
        <v>17415</v>
      </c>
      <c r="C5276" s="34" t="s">
        <v>5832</v>
      </c>
    </row>
    <row r="5277" spans="1:3" ht="15.75" customHeight="1" x14ac:dyDescent="0.2">
      <c r="A5277" s="42">
        <v>5642</v>
      </c>
      <c r="B5277" s="42">
        <v>17415</v>
      </c>
      <c r="C5277" s="34" t="s">
        <v>5831</v>
      </c>
    </row>
    <row r="5278" spans="1:3" ht="15.75" customHeight="1" x14ac:dyDescent="0.2">
      <c r="A5278" s="42">
        <v>5643</v>
      </c>
      <c r="B5278" s="42">
        <v>17415</v>
      </c>
      <c r="C5278" s="34" t="s">
        <v>5831</v>
      </c>
    </row>
    <row r="5279" spans="1:3" ht="15.75" customHeight="1" x14ac:dyDescent="0.2">
      <c r="A5279" s="42">
        <v>5644</v>
      </c>
      <c r="B5279" s="42">
        <v>17415</v>
      </c>
      <c r="C5279" s="34" t="s">
        <v>5832</v>
      </c>
    </row>
    <row r="5280" spans="1:3" ht="15.75" customHeight="1" x14ac:dyDescent="0.2">
      <c r="A5280" s="42">
        <v>5645</v>
      </c>
      <c r="B5280" s="42">
        <v>17415</v>
      </c>
      <c r="C5280" s="34" t="s">
        <v>5832</v>
      </c>
    </row>
    <row r="5281" spans="1:3" ht="15.75" customHeight="1" x14ac:dyDescent="0.2">
      <c r="A5281" s="42">
        <v>5646</v>
      </c>
      <c r="B5281" s="42">
        <v>17415</v>
      </c>
      <c r="C5281" s="34" t="s">
        <v>5832</v>
      </c>
    </row>
    <row r="5282" spans="1:3" ht="15.75" customHeight="1" x14ac:dyDescent="0.2">
      <c r="A5282" s="42">
        <v>5647</v>
      </c>
      <c r="B5282" s="42">
        <v>17415</v>
      </c>
      <c r="C5282" s="34" t="s">
        <v>5832</v>
      </c>
    </row>
    <row r="5283" spans="1:3" ht="15.75" customHeight="1" x14ac:dyDescent="0.2">
      <c r="A5283" s="42">
        <v>5648</v>
      </c>
      <c r="B5283" s="42">
        <v>17415</v>
      </c>
      <c r="C5283" s="34" t="s">
        <v>5832</v>
      </c>
    </row>
    <row r="5284" spans="1:3" ht="15.75" customHeight="1" x14ac:dyDescent="0.2">
      <c r="A5284" s="42">
        <v>5649</v>
      </c>
      <c r="B5284" s="42">
        <v>17415</v>
      </c>
      <c r="C5284" s="34" t="s">
        <v>5832</v>
      </c>
    </row>
    <row r="5285" spans="1:3" ht="15.75" customHeight="1" x14ac:dyDescent="0.2">
      <c r="A5285" s="42">
        <v>5650</v>
      </c>
      <c r="B5285" s="42">
        <v>17415</v>
      </c>
      <c r="C5285" s="34" t="s">
        <v>5832</v>
      </c>
    </row>
    <row r="5286" spans="1:3" ht="15.75" customHeight="1" x14ac:dyDescent="0.2">
      <c r="A5286" s="42">
        <v>5651</v>
      </c>
      <c r="B5286" s="42">
        <v>17415</v>
      </c>
      <c r="C5286" s="34" t="s">
        <v>5832</v>
      </c>
    </row>
    <row r="5287" spans="1:3" ht="15.75" customHeight="1" x14ac:dyDescent="0.2">
      <c r="A5287" s="42">
        <v>5652</v>
      </c>
      <c r="B5287" s="42">
        <v>17415</v>
      </c>
      <c r="C5287" s="34" t="s">
        <v>5833</v>
      </c>
    </row>
    <row r="5288" spans="1:3" ht="15.75" customHeight="1" x14ac:dyDescent="0.2">
      <c r="A5288" s="42">
        <v>5653</v>
      </c>
      <c r="B5288" s="42">
        <v>17415</v>
      </c>
      <c r="C5288" s="34" t="s">
        <v>5831</v>
      </c>
    </row>
    <row r="5289" spans="1:3" ht="15.75" customHeight="1" x14ac:dyDescent="0.2">
      <c r="A5289" s="42">
        <v>5654</v>
      </c>
      <c r="B5289" s="42">
        <v>17415</v>
      </c>
      <c r="C5289" s="34" t="s">
        <v>5831</v>
      </c>
    </row>
    <row r="5290" spans="1:3" ht="15.75" customHeight="1" x14ac:dyDescent="0.2">
      <c r="A5290" s="42">
        <v>5655</v>
      </c>
      <c r="B5290" s="42">
        <v>17415</v>
      </c>
      <c r="C5290" s="34" t="s">
        <v>5831</v>
      </c>
    </row>
    <row r="5291" spans="1:3" ht="15.75" customHeight="1" x14ac:dyDescent="0.2">
      <c r="A5291" s="42">
        <v>5656</v>
      </c>
      <c r="B5291" s="42">
        <v>17415</v>
      </c>
      <c r="C5291" s="34" t="s">
        <v>5831</v>
      </c>
    </row>
    <row r="5292" spans="1:3" ht="15.75" customHeight="1" x14ac:dyDescent="0.2">
      <c r="A5292" s="42">
        <v>5657</v>
      </c>
      <c r="B5292" s="42">
        <v>17415</v>
      </c>
      <c r="C5292" s="34" t="s">
        <v>5831</v>
      </c>
    </row>
    <row r="5293" spans="1:3" ht="15.75" customHeight="1" x14ac:dyDescent="0.2">
      <c r="A5293" s="42">
        <v>5658</v>
      </c>
      <c r="B5293" s="42">
        <v>17415</v>
      </c>
      <c r="C5293" s="34" t="s">
        <v>5834</v>
      </c>
    </row>
    <row r="5294" spans="1:3" ht="15.75" customHeight="1" x14ac:dyDescent="0.2">
      <c r="A5294" s="42">
        <v>5659</v>
      </c>
      <c r="B5294" s="42">
        <v>17415</v>
      </c>
      <c r="C5294" s="34" t="s">
        <v>5831</v>
      </c>
    </row>
    <row r="5295" spans="1:3" ht="15.75" customHeight="1" x14ac:dyDescent="0.2">
      <c r="A5295" s="42">
        <v>5660</v>
      </c>
      <c r="B5295" s="42">
        <v>17415</v>
      </c>
      <c r="C5295" s="34" t="s">
        <v>5831</v>
      </c>
    </row>
    <row r="5296" spans="1:3" ht="15.75" customHeight="1" x14ac:dyDescent="0.2">
      <c r="A5296" s="42">
        <v>5661</v>
      </c>
      <c r="B5296" s="42">
        <v>17415</v>
      </c>
      <c r="C5296" s="34" t="s">
        <v>5832</v>
      </c>
    </row>
    <row r="5297" spans="1:3" ht="15.75" customHeight="1" x14ac:dyDescent="0.2">
      <c r="A5297" s="42">
        <v>5662</v>
      </c>
      <c r="B5297" s="42">
        <v>17415</v>
      </c>
      <c r="C5297" s="34" t="s">
        <v>5832</v>
      </c>
    </row>
    <row r="5298" spans="1:3" ht="15.75" customHeight="1" x14ac:dyDescent="0.2">
      <c r="A5298" s="42">
        <v>5663</v>
      </c>
      <c r="B5298" s="42">
        <v>17415</v>
      </c>
      <c r="C5298" s="34" t="s">
        <v>5831</v>
      </c>
    </row>
    <row r="5299" spans="1:3" ht="15.75" customHeight="1" x14ac:dyDescent="0.2">
      <c r="A5299" s="42">
        <v>5664</v>
      </c>
      <c r="B5299" s="42">
        <v>17415</v>
      </c>
      <c r="C5299" s="34" t="s">
        <v>5831</v>
      </c>
    </row>
    <row r="5300" spans="1:3" ht="15.75" customHeight="1" x14ac:dyDescent="0.2">
      <c r="A5300" s="42">
        <v>5665</v>
      </c>
      <c r="B5300" s="42">
        <v>17415</v>
      </c>
      <c r="C5300" s="34" t="s">
        <v>5832</v>
      </c>
    </row>
    <row r="5301" spans="1:3" ht="15.75" customHeight="1" x14ac:dyDescent="0.2">
      <c r="A5301" s="42">
        <v>5666</v>
      </c>
      <c r="B5301" s="42">
        <v>17415</v>
      </c>
      <c r="C5301" s="34" t="s">
        <v>5831</v>
      </c>
    </row>
    <row r="5302" spans="1:3" ht="15.75" customHeight="1" x14ac:dyDescent="0.2">
      <c r="A5302" s="42">
        <v>5667</v>
      </c>
      <c r="B5302" s="42">
        <v>17415</v>
      </c>
      <c r="C5302" s="34" t="s">
        <v>5831</v>
      </c>
    </row>
    <row r="5303" spans="1:3" ht="15.75" customHeight="1" x14ac:dyDescent="0.2">
      <c r="A5303" s="42">
        <v>5668</v>
      </c>
      <c r="B5303" s="42">
        <v>17415</v>
      </c>
      <c r="C5303" s="34" t="s">
        <v>5832</v>
      </c>
    </row>
    <row r="5304" spans="1:3" ht="15.75" customHeight="1" x14ac:dyDescent="0.2">
      <c r="A5304" s="42">
        <v>5669</v>
      </c>
      <c r="B5304" s="42">
        <v>17415</v>
      </c>
      <c r="C5304" s="34" t="s">
        <v>5831</v>
      </c>
    </row>
    <row r="5305" spans="1:3" ht="15.75" customHeight="1" x14ac:dyDescent="0.2">
      <c r="A5305" s="42">
        <v>5670</v>
      </c>
      <c r="B5305" s="42">
        <v>17415</v>
      </c>
      <c r="C5305" s="34" t="s">
        <v>5832</v>
      </c>
    </row>
    <row r="5306" spans="1:3" ht="15.75" customHeight="1" x14ac:dyDescent="0.2">
      <c r="A5306" s="42">
        <v>5671</v>
      </c>
      <c r="B5306" s="42">
        <v>17415</v>
      </c>
      <c r="C5306" s="34" t="s">
        <v>5832</v>
      </c>
    </row>
    <row r="5307" spans="1:3" ht="15.75" customHeight="1" x14ac:dyDescent="0.2">
      <c r="A5307" s="42">
        <v>5672</v>
      </c>
      <c r="B5307" s="42">
        <v>17415</v>
      </c>
      <c r="C5307" s="34" t="s">
        <v>5831</v>
      </c>
    </row>
    <row r="5308" spans="1:3" ht="15.75" customHeight="1" x14ac:dyDescent="0.2">
      <c r="A5308" s="42">
        <v>5673</v>
      </c>
      <c r="B5308" s="42">
        <v>17415</v>
      </c>
      <c r="C5308" s="34" t="s">
        <v>5831</v>
      </c>
    </row>
    <row r="5309" spans="1:3" ht="15.75" customHeight="1" x14ac:dyDescent="0.2">
      <c r="A5309" s="42">
        <v>5674</v>
      </c>
      <c r="B5309" s="42">
        <v>17415</v>
      </c>
      <c r="C5309" s="34" t="s">
        <v>5832</v>
      </c>
    </row>
    <row r="5310" spans="1:3" ht="15.75" customHeight="1" x14ac:dyDescent="0.2">
      <c r="A5310" s="42">
        <v>5675</v>
      </c>
      <c r="B5310" s="42">
        <v>17415</v>
      </c>
      <c r="C5310" s="34" t="s">
        <v>5831</v>
      </c>
    </row>
    <row r="5311" spans="1:3" ht="15.75" customHeight="1" x14ac:dyDescent="0.2">
      <c r="A5311" s="42">
        <v>5676</v>
      </c>
      <c r="B5311" s="42">
        <v>17415</v>
      </c>
      <c r="C5311" s="34" t="s">
        <v>5832</v>
      </c>
    </row>
    <row r="5312" spans="1:3" ht="15.75" customHeight="1" x14ac:dyDescent="0.2">
      <c r="A5312" s="42">
        <v>5677</v>
      </c>
      <c r="B5312" s="42">
        <v>17415</v>
      </c>
      <c r="C5312" s="34" t="s">
        <v>5831</v>
      </c>
    </row>
    <row r="5313" spans="1:3" ht="15.75" customHeight="1" x14ac:dyDescent="0.2">
      <c r="A5313" s="42">
        <v>5678</v>
      </c>
      <c r="B5313" s="42">
        <v>17415</v>
      </c>
      <c r="C5313" s="34" t="s">
        <v>5832</v>
      </c>
    </row>
    <row r="5314" spans="1:3" ht="15.75" customHeight="1" x14ac:dyDescent="0.2">
      <c r="A5314" s="42">
        <v>5679</v>
      </c>
      <c r="B5314" s="42">
        <v>17415</v>
      </c>
      <c r="C5314" s="34" t="s">
        <v>5832</v>
      </c>
    </row>
    <row r="5315" spans="1:3" ht="15.75" customHeight="1" x14ac:dyDescent="0.2">
      <c r="A5315" s="42">
        <v>5680</v>
      </c>
      <c r="B5315" s="42">
        <v>17416</v>
      </c>
      <c r="C5315" s="34" t="s">
        <v>5838</v>
      </c>
    </row>
    <row r="5316" spans="1:3" ht="15.75" customHeight="1" x14ac:dyDescent="0.2">
      <c r="A5316" s="42">
        <v>5681</v>
      </c>
      <c r="B5316" s="42">
        <v>17416</v>
      </c>
      <c r="C5316" s="34" t="s">
        <v>5839</v>
      </c>
    </row>
    <row r="5317" spans="1:3" ht="15.75" customHeight="1" x14ac:dyDescent="0.2">
      <c r="A5317" s="42">
        <v>5682</v>
      </c>
      <c r="B5317" s="42">
        <v>17416</v>
      </c>
      <c r="C5317" s="34" t="s">
        <v>5840</v>
      </c>
    </row>
    <row r="5318" spans="1:3" ht="15.75" customHeight="1" x14ac:dyDescent="0.2">
      <c r="A5318" s="42">
        <v>5683</v>
      </c>
      <c r="B5318" s="42">
        <v>17416</v>
      </c>
      <c r="C5318" s="34" t="s">
        <v>5841</v>
      </c>
    </row>
    <row r="5319" spans="1:3" ht="15.75" customHeight="1" x14ac:dyDescent="0.2">
      <c r="A5319" s="42">
        <v>5684</v>
      </c>
      <c r="B5319" s="42">
        <v>17416</v>
      </c>
      <c r="C5319" s="34" t="s">
        <v>5839</v>
      </c>
    </row>
    <row r="5320" spans="1:3" ht="15.75" customHeight="1" x14ac:dyDescent="0.2">
      <c r="A5320" s="42">
        <v>5685</v>
      </c>
      <c r="B5320" s="42">
        <v>17416</v>
      </c>
      <c r="C5320" s="34" t="s">
        <v>5842</v>
      </c>
    </row>
    <row r="5321" spans="1:3" ht="15.75" customHeight="1" x14ac:dyDescent="0.2">
      <c r="A5321" s="42">
        <v>5686</v>
      </c>
      <c r="B5321" s="42">
        <v>17416</v>
      </c>
      <c r="C5321" s="34" t="s">
        <v>5842</v>
      </c>
    </row>
    <row r="5322" spans="1:3" ht="15.75" customHeight="1" x14ac:dyDescent="0.2">
      <c r="A5322" s="42">
        <v>5687</v>
      </c>
      <c r="B5322" s="42">
        <v>17416</v>
      </c>
      <c r="C5322" s="34" t="s">
        <v>5842</v>
      </c>
    </row>
    <row r="5323" spans="1:3" ht="15.75" customHeight="1" x14ac:dyDescent="0.2">
      <c r="A5323" s="42">
        <v>5688</v>
      </c>
      <c r="B5323" s="42">
        <v>17416</v>
      </c>
      <c r="C5323" s="34" t="s">
        <v>5842</v>
      </c>
    </row>
    <row r="5324" spans="1:3" ht="15.75" customHeight="1" x14ac:dyDescent="0.2">
      <c r="A5324" s="42">
        <v>5689</v>
      </c>
      <c r="B5324" s="42">
        <v>17416</v>
      </c>
      <c r="C5324" s="34" t="s">
        <v>5839</v>
      </c>
    </row>
    <row r="5325" spans="1:3" ht="15.75" customHeight="1" x14ac:dyDescent="0.2">
      <c r="A5325" s="42">
        <v>5690</v>
      </c>
      <c r="B5325" s="42">
        <v>17416</v>
      </c>
      <c r="C5325" s="34" t="s">
        <v>5840</v>
      </c>
    </row>
    <row r="5326" spans="1:3" ht="15.75" customHeight="1" x14ac:dyDescent="0.2">
      <c r="A5326" s="42">
        <v>5691</v>
      </c>
      <c r="B5326" s="42">
        <v>17416</v>
      </c>
      <c r="C5326" s="34" t="s">
        <v>5842</v>
      </c>
    </row>
    <row r="5327" spans="1:3" ht="15.75" customHeight="1" x14ac:dyDescent="0.2">
      <c r="A5327" s="42">
        <v>5692</v>
      </c>
      <c r="B5327" s="42">
        <v>17416</v>
      </c>
      <c r="C5327" s="34" t="s">
        <v>5839</v>
      </c>
    </row>
    <row r="5328" spans="1:3" ht="15.75" customHeight="1" x14ac:dyDescent="0.2">
      <c r="A5328" s="42">
        <v>5693</v>
      </c>
      <c r="B5328" s="42">
        <v>17416</v>
      </c>
      <c r="C5328" s="34" t="s">
        <v>5839</v>
      </c>
    </row>
    <row r="5329" spans="1:3" ht="15.75" customHeight="1" x14ac:dyDescent="0.2">
      <c r="A5329" s="42">
        <v>5694</v>
      </c>
      <c r="B5329" s="42">
        <v>17416</v>
      </c>
      <c r="C5329" s="34" t="s">
        <v>5842</v>
      </c>
    </row>
    <row r="5330" spans="1:3" ht="15.75" customHeight="1" x14ac:dyDescent="0.2">
      <c r="A5330" s="42">
        <v>5695</v>
      </c>
      <c r="B5330" s="42">
        <v>17416</v>
      </c>
      <c r="C5330" s="34" t="s">
        <v>5840</v>
      </c>
    </row>
    <row r="5331" spans="1:3" ht="15.75" customHeight="1" x14ac:dyDescent="0.2">
      <c r="A5331" s="42">
        <v>5696</v>
      </c>
      <c r="B5331" s="42">
        <v>17416</v>
      </c>
      <c r="C5331" s="34" t="s">
        <v>5842</v>
      </c>
    </row>
    <row r="5332" spans="1:3" ht="15.75" customHeight="1" x14ac:dyDescent="0.2">
      <c r="A5332" s="42">
        <v>5697</v>
      </c>
      <c r="B5332" s="42">
        <v>17416</v>
      </c>
      <c r="C5332" s="34" t="s">
        <v>5840</v>
      </c>
    </row>
    <row r="5333" spans="1:3" ht="15.75" customHeight="1" x14ac:dyDescent="0.2">
      <c r="A5333" s="42">
        <v>5698</v>
      </c>
      <c r="B5333" s="42">
        <v>17416</v>
      </c>
      <c r="C5333" s="34" t="s">
        <v>5839</v>
      </c>
    </row>
    <row r="5334" spans="1:3" ht="15.75" customHeight="1" x14ac:dyDescent="0.2">
      <c r="A5334" s="42">
        <v>5699</v>
      </c>
      <c r="B5334" s="42">
        <v>17416</v>
      </c>
      <c r="C5334" s="34" t="s">
        <v>5839</v>
      </c>
    </row>
    <row r="5335" spans="1:3" ht="15.75" customHeight="1" x14ac:dyDescent="0.2">
      <c r="A5335" s="42">
        <v>5700</v>
      </c>
      <c r="B5335" s="42">
        <v>17416</v>
      </c>
      <c r="C5335" s="34" t="s">
        <v>5840</v>
      </c>
    </row>
    <row r="5336" spans="1:3" ht="15.75" customHeight="1" x14ac:dyDescent="0.2">
      <c r="A5336" s="42">
        <v>5701</v>
      </c>
      <c r="B5336" s="42">
        <v>17416</v>
      </c>
      <c r="C5336" s="34" t="s">
        <v>5839</v>
      </c>
    </row>
    <row r="5337" spans="1:3" ht="15.75" customHeight="1" x14ac:dyDescent="0.2">
      <c r="A5337" s="42">
        <v>5702</v>
      </c>
      <c r="B5337" s="42">
        <v>17416</v>
      </c>
      <c r="C5337" s="34" t="s">
        <v>5843</v>
      </c>
    </row>
    <row r="5338" spans="1:3" ht="15.75" customHeight="1" x14ac:dyDescent="0.2">
      <c r="A5338" s="42">
        <v>5703</v>
      </c>
      <c r="B5338" s="42">
        <v>17416</v>
      </c>
      <c r="C5338" s="34" t="s">
        <v>5842</v>
      </c>
    </row>
    <row r="5339" spans="1:3" ht="15.75" customHeight="1" x14ac:dyDescent="0.2">
      <c r="A5339" s="42">
        <v>5704</v>
      </c>
      <c r="B5339" s="42">
        <v>17416</v>
      </c>
      <c r="C5339" s="34" t="s">
        <v>5842</v>
      </c>
    </row>
    <row r="5340" spans="1:3" ht="15.75" customHeight="1" x14ac:dyDescent="0.2">
      <c r="A5340" s="42">
        <v>5705</v>
      </c>
      <c r="B5340" s="42">
        <v>17416</v>
      </c>
      <c r="C5340" s="34" t="s">
        <v>5839</v>
      </c>
    </row>
    <row r="5341" spans="1:3" ht="15.75" customHeight="1" x14ac:dyDescent="0.2">
      <c r="A5341" s="42">
        <v>5706</v>
      </c>
      <c r="B5341" s="42">
        <v>17416</v>
      </c>
      <c r="C5341" s="34" t="s">
        <v>5844</v>
      </c>
    </row>
    <row r="5342" spans="1:3" ht="15.75" customHeight="1" x14ac:dyDescent="0.2">
      <c r="A5342" s="42">
        <v>5707</v>
      </c>
      <c r="B5342" s="42">
        <v>17416</v>
      </c>
      <c r="C5342" s="34" t="s">
        <v>5845</v>
      </c>
    </row>
    <row r="5343" spans="1:3" ht="15.75" customHeight="1" x14ac:dyDescent="0.2">
      <c r="A5343" s="42">
        <v>5708</v>
      </c>
      <c r="B5343" s="42">
        <v>17416</v>
      </c>
      <c r="C5343" s="34" t="s">
        <v>5839</v>
      </c>
    </row>
    <row r="5344" spans="1:3" ht="15.75" customHeight="1" x14ac:dyDescent="0.2">
      <c r="A5344" s="42">
        <v>5709</v>
      </c>
      <c r="B5344" s="42">
        <v>17416</v>
      </c>
      <c r="C5344" s="34" t="s">
        <v>5839</v>
      </c>
    </row>
    <row r="5345" spans="1:3" ht="15.75" customHeight="1" x14ac:dyDescent="0.2">
      <c r="A5345" s="42">
        <v>5710</v>
      </c>
      <c r="B5345" s="42">
        <v>17416</v>
      </c>
      <c r="C5345" s="34" t="s">
        <v>5846</v>
      </c>
    </row>
    <row r="5346" spans="1:3" ht="15.75" customHeight="1" x14ac:dyDescent="0.2">
      <c r="A5346" s="42">
        <v>5711</v>
      </c>
      <c r="B5346" s="42">
        <v>17416</v>
      </c>
      <c r="C5346" s="34" t="s">
        <v>5839</v>
      </c>
    </row>
    <row r="5347" spans="1:3" ht="15.75" customHeight="1" x14ac:dyDescent="0.2">
      <c r="A5347" s="42">
        <v>5712</v>
      </c>
      <c r="B5347" s="42">
        <v>17416</v>
      </c>
      <c r="C5347" s="34" t="s">
        <v>5839</v>
      </c>
    </row>
    <row r="5348" spans="1:3" ht="15.75" customHeight="1" x14ac:dyDescent="0.2">
      <c r="A5348" s="42">
        <v>5713</v>
      </c>
      <c r="B5348" s="42">
        <v>17416</v>
      </c>
      <c r="C5348" s="34" t="s">
        <v>5839</v>
      </c>
    </row>
    <row r="5349" spans="1:3" ht="15.75" customHeight="1" x14ac:dyDescent="0.2">
      <c r="A5349" s="42">
        <v>5714</v>
      </c>
      <c r="B5349" s="42">
        <v>17416</v>
      </c>
      <c r="C5349" s="34" t="s">
        <v>5840</v>
      </c>
    </row>
    <row r="5350" spans="1:3" ht="15.75" customHeight="1" x14ac:dyDescent="0.2">
      <c r="A5350" s="42">
        <v>5715</v>
      </c>
      <c r="B5350" s="42">
        <v>17416</v>
      </c>
      <c r="C5350" s="34" t="s">
        <v>5840</v>
      </c>
    </row>
    <row r="5351" spans="1:3" ht="15.75" customHeight="1" x14ac:dyDescent="0.2">
      <c r="A5351" s="42">
        <v>5716</v>
      </c>
      <c r="B5351" s="42">
        <v>17416</v>
      </c>
      <c r="C5351" s="34" t="s">
        <v>5840</v>
      </c>
    </row>
    <row r="5352" spans="1:3" ht="15.75" customHeight="1" x14ac:dyDescent="0.2">
      <c r="A5352" s="42">
        <v>5717</v>
      </c>
      <c r="B5352" s="42">
        <v>17416</v>
      </c>
      <c r="C5352" s="34" t="s">
        <v>5839</v>
      </c>
    </row>
    <row r="5353" spans="1:3" ht="15.75" customHeight="1" x14ac:dyDescent="0.2">
      <c r="A5353" s="42">
        <v>5718</v>
      </c>
      <c r="B5353" s="42">
        <v>17416</v>
      </c>
      <c r="C5353" s="34" t="s">
        <v>5839</v>
      </c>
    </row>
    <row r="5354" spans="1:3" ht="15.75" customHeight="1" x14ac:dyDescent="0.2">
      <c r="A5354" s="42">
        <v>5719</v>
      </c>
      <c r="B5354" s="42">
        <v>17416</v>
      </c>
      <c r="C5354" s="34" t="s">
        <v>5839</v>
      </c>
    </row>
    <row r="5355" spans="1:3" ht="15.75" customHeight="1" x14ac:dyDescent="0.2">
      <c r="A5355" s="42">
        <v>5720</v>
      </c>
      <c r="B5355" s="42">
        <v>17416</v>
      </c>
      <c r="C5355" s="34" t="s">
        <v>5839</v>
      </c>
    </row>
    <row r="5356" spans="1:3" ht="15.75" customHeight="1" x14ac:dyDescent="0.2">
      <c r="A5356" s="42">
        <v>5721</v>
      </c>
      <c r="B5356" s="42">
        <v>17416</v>
      </c>
      <c r="C5356" s="34" t="s">
        <v>5840</v>
      </c>
    </row>
    <row r="5357" spans="1:3" ht="15.75" customHeight="1" x14ac:dyDescent="0.2">
      <c r="A5357" s="42">
        <v>5722</v>
      </c>
      <c r="B5357" s="42">
        <v>17416</v>
      </c>
      <c r="C5357" s="34" t="s">
        <v>5840</v>
      </c>
    </row>
    <row r="5358" spans="1:3" ht="15.75" customHeight="1" x14ac:dyDescent="0.2">
      <c r="A5358" s="42">
        <v>5723</v>
      </c>
      <c r="B5358" s="42">
        <v>17416</v>
      </c>
      <c r="C5358" s="34" t="s">
        <v>5840</v>
      </c>
    </row>
    <row r="5359" spans="1:3" ht="15.75" customHeight="1" x14ac:dyDescent="0.2">
      <c r="A5359" s="42">
        <v>5724</v>
      </c>
      <c r="B5359" s="42">
        <v>17416</v>
      </c>
      <c r="C5359" s="34" t="s">
        <v>5847</v>
      </c>
    </row>
    <row r="5360" spans="1:3" ht="15.75" customHeight="1" x14ac:dyDescent="0.2">
      <c r="A5360" s="42">
        <v>5725</v>
      </c>
      <c r="B5360" s="42">
        <v>17416</v>
      </c>
      <c r="C5360" s="34" t="s">
        <v>5840</v>
      </c>
    </row>
    <row r="5361" spans="1:3" ht="15.75" customHeight="1" x14ac:dyDescent="0.2">
      <c r="A5361" s="42">
        <v>5726</v>
      </c>
      <c r="B5361" s="42">
        <v>17416</v>
      </c>
      <c r="C5361" s="34" t="s">
        <v>5842</v>
      </c>
    </row>
    <row r="5362" spans="1:3" ht="15.75" customHeight="1" x14ac:dyDescent="0.2">
      <c r="A5362" s="42">
        <v>5727</v>
      </c>
      <c r="B5362" s="42">
        <v>17416</v>
      </c>
      <c r="C5362" s="34" t="s">
        <v>5846</v>
      </c>
    </row>
    <row r="5363" spans="1:3" ht="15.75" customHeight="1" x14ac:dyDescent="0.2">
      <c r="A5363" s="42">
        <v>5728</v>
      </c>
      <c r="B5363" s="42">
        <v>17416</v>
      </c>
      <c r="C5363" s="34" t="s">
        <v>5839</v>
      </c>
    </row>
    <row r="5364" spans="1:3" ht="15.75" customHeight="1" x14ac:dyDescent="0.2">
      <c r="A5364" s="42">
        <v>5729</v>
      </c>
      <c r="B5364" s="42">
        <v>17416</v>
      </c>
      <c r="C5364" s="34" t="s">
        <v>5848</v>
      </c>
    </row>
    <row r="5365" spans="1:3" ht="15.75" customHeight="1" x14ac:dyDescent="0.2">
      <c r="A5365" s="42">
        <v>5730</v>
      </c>
      <c r="B5365" s="42">
        <v>17416</v>
      </c>
      <c r="C5365" s="34" t="s">
        <v>5840</v>
      </c>
    </row>
    <row r="5366" spans="1:3" ht="15.75" customHeight="1" x14ac:dyDescent="0.2">
      <c r="A5366" s="42">
        <v>5731</v>
      </c>
      <c r="B5366" s="42">
        <v>17416</v>
      </c>
      <c r="C5366" s="34" t="s">
        <v>5844</v>
      </c>
    </row>
    <row r="5367" spans="1:3" ht="15.75" customHeight="1" x14ac:dyDescent="0.2">
      <c r="A5367" s="42">
        <v>5732</v>
      </c>
      <c r="B5367" s="42">
        <v>17416</v>
      </c>
      <c r="C5367" s="34" t="s">
        <v>5842</v>
      </c>
    </row>
    <row r="5368" spans="1:3" ht="15.75" customHeight="1" x14ac:dyDescent="0.2">
      <c r="A5368" s="42">
        <v>5733</v>
      </c>
      <c r="B5368" s="42">
        <v>17416</v>
      </c>
      <c r="C5368" s="34" t="s">
        <v>5845</v>
      </c>
    </row>
    <row r="5369" spans="1:3" ht="15.75" customHeight="1" x14ac:dyDescent="0.2">
      <c r="A5369" s="42">
        <v>5734</v>
      </c>
      <c r="B5369" s="42">
        <v>17416</v>
      </c>
      <c r="C5369" s="34" t="s">
        <v>5840</v>
      </c>
    </row>
    <row r="5370" spans="1:3" ht="15.75" customHeight="1" x14ac:dyDescent="0.2">
      <c r="A5370" s="42">
        <v>5735</v>
      </c>
      <c r="B5370" s="42">
        <v>17416</v>
      </c>
      <c r="C5370" s="34" t="s">
        <v>5849</v>
      </c>
    </row>
    <row r="5371" spans="1:3" ht="15.75" customHeight="1" x14ac:dyDescent="0.2">
      <c r="A5371" s="42">
        <v>5736</v>
      </c>
      <c r="B5371" s="42">
        <v>17416</v>
      </c>
      <c r="C5371" s="34" t="s">
        <v>5840</v>
      </c>
    </row>
    <row r="5372" spans="1:3" ht="15.75" customHeight="1" x14ac:dyDescent="0.2">
      <c r="A5372" s="42">
        <v>5737</v>
      </c>
      <c r="B5372" s="42">
        <v>17416</v>
      </c>
      <c r="C5372" s="34" t="s">
        <v>5839</v>
      </c>
    </row>
    <row r="5373" spans="1:3" ht="15.75" customHeight="1" x14ac:dyDescent="0.2">
      <c r="A5373" s="42">
        <v>5738</v>
      </c>
      <c r="B5373" s="42">
        <v>17416</v>
      </c>
      <c r="C5373" s="34" t="s">
        <v>5839</v>
      </c>
    </row>
    <row r="5374" spans="1:3" ht="15.75" customHeight="1" x14ac:dyDescent="0.2">
      <c r="A5374" s="42">
        <v>5739</v>
      </c>
      <c r="B5374" s="42">
        <v>17416</v>
      </c>
      <c r="C5374" s="34" t="s">
        <v>5839</v>
      </c>
    </row>
    <row r="5375" spans="1:3" ht="15.75" customHeight="1" x14ac:dyDescent="0.2">
      <c r="A5375" s="42">
        <v>5740</v>
      </c>
      <c r="B5375" s="42">
        <v>17416</v>
      </c>
      <c r="C5375" s="34" t="s">
        <v>5840</v>
      </c>
    </row>
    <row r="5376" spans="1:3" ht="15.75" customHeight="1" x14ac:dyDescent="0.2">
      <c r="A5376" s="42">
        <v>5741</v>
      </c>
      <c r="B5376" s="42">
        <v>17416</v>
      </c>
      <c r="C5376" s="34" t="s">
        <v>5840</v>
      </c>
    </row>
    <row r="5377" spans="1:3" ht="15.75" customHeight="1" x14ac:dyDescent="0.2">
      <c r="A5377" s="42">
        <v>5742</v>
      </c>
      <c r="B5377" s="42">
        <v>17416</v>
      </c>
      <c r="C5377" s="34" t="s">
        <v>5850</v>
      </c>
    </row>
    <row r="5378" spans="1:3" ht="15.75" customHeight="1" x14ac:dyDescent="0.2">
      <c r="A5378" s="42">
        <v>5743</v>
      </c>
      <c r="B5378" s="42">
        <v>17416</v>
      </c>
      <c r="C5378" s="34" t="s">
        <v>5839</v>
      </c>
    </row>
    <row r="5379" spans="1:3" ht="15.75" customHeight="1" x14ac:dyDescent="0.2">
      <c r="A5379" s="42">
        <v>5744</v>
      </c>
      <c r="B5379" s="42">
        <v>17416</v>
      </c>
      <c r="C5379" s="34" t="s">
        <v>5839</v>
      </c>
    </row>
    <row r="5380" spans="1:3" ht="15.75" customHeight="1" x14ac:dyDescent="0.2">
      <c r="A5380" s="42">
        <v>5745</v>
      </c>
      <c r="B5380" s="42">
        <v>17416</v>
      </c>
      <c r="C5380" s="34" t="s">
        <v>5839</v>
      </c>
    </row>
    <row r="5381" spans="1:3" ht="15.75" customHeight="1" x14ac:dyDescent="0.2">
      <c r="A5381" s="42">
        <v>5746</v>
      </c>
      <c r="B5381" s="42">
        <v>17416</v>
      </c>
      <c r="C5381" s="34" t="s">
        <v>5839</v>
      </c>
    </row>
    <row r="5382" spans="1:3" ht="15.75" customHeight="1" x14ac:dyDescent="0.2">
      <c r="A5382" s="42">
        <v>5747</v>
      </c>
      <c r="B5382" s="42">
        <v>17416</v>
      </c>
      <c r="C5382" s="34" t="s">
        <v>5839</v>
      </c>
    </row>
    <row r="5383" spans="1:3" ht="15.75" customHeight="1" x14ac:dyDescent="0.2">
      <c r="A5383" s="42">
        <v>5748</v>
      </c>
      <c r="B5383" s="42">
        <v>17416</v>
      </c>
      <c r="C5383" s="34" t="s">
        <v>5840</v>
      </c>
    </row>
    <row r="5384" spans="1:3" ht="15.75" customHeight="1" x14ac:dyDescent="0.2">
      <c r="A5384" s="42">
        <v>5749</v>
      </c>
      <c r="B5384" s="42">
        <v>17416</v>
      </c>
      <c r="C5384" s="34" t="s">
        <v>5842</v>
      </c>
    </row>
    <row r="5385" spans="1:3" ht="15.75" customHeight="1" x14ac:dyDescent="0.2">
      <c r="A5385" s="42">
        <v>5750</v>
      </c>
      <c r="B5385" s="42">
        <v>17416</v>
      </c>
      <c r="C5385" s="34" t="s">
        <v>5839</v>
      </c>
    </row>
    <row r="5386" spans="1:3" ht="15.75" customHeight="1" x14ac:dyDescent="0.2">
      <c r="A5386" s="42">
        <v>5751</v>
      </c>
      <c r="B5386" s="42">
        <v>17416</v>
      </c>
      <c r="C5386" s="34" t="s">
        <v>5851</v>
      </c>
    </row>
    <row r="5387" spans="1:3" ht="15.75" customHeight="1" x14ac:dyDescent="0.2">
      <c r="A5387" s="42">
        <v>5752</v>
      </c>
      <c r="B5387" s="42">
        <v>17416</v>
      </c>
      <c r="C5387" s="34" t="s">
        <v>5840</v>
      </c>
    </row>
    <row r="5388" spans="1:3" ht="15.75" customHeight="1" x14ac:dyDescent="0.2">
      <c r="A5388" s="42">
        <v>5753</v>
      </c>
      <c r="B5388" s="42">
        <v>17416</v>
      </c>
      <c r="C5388" s="34" t="s">
        <v>5852</v>
      </c>
    </row>
    <row r="5389" spans="1:3" ht="15.75" customHeight="1" x14ac:dyDescent="0.2">
      <c r="A5389" s="42">
        <v>5754</v>
      </c>
      <c r="B5389" s="42">
        <v>17416</v>
      </c>
      <c r="C5389" s="34" t="s">
        <v>5839</v>
      </c>
    </row>
    <row r="5390" spans="1:3" ht="15.75" customHeight="1" x14ac:dyDescent="0.2">
      <c r="A5390" s="42">
        <v>5755</v>
      </c>
      <c r="B5390" s="42">
        <v>17416</v>
      </c>
      <c r="C5390" s="34" t="s">
        <v>5853</v>
      </c>
    </row>
    <row r="5391" spans="1:3" ht="15.75" customHeight="1" x14ac:dyDescent="0.2">
      <c r="A5391" s="42">
        <v>5756</v>
      </c>
      <c r="B5391" s="42">
        <v>17416</v>
      </c>
      <c r="C5391" s="34" t="s">
        <v>5842</v>
      </c>
    </row>
    <row r="5392" spans="1:3" ht="15.75" customHeight="1" x14ac:dyDescent="0.2">
      <c r="A5392" s="42">
        <v>5757</v>
      </c>
      <c r="B5392" s="42">
        <v>17416</v>
      </c>
      <c r="C5392" s="34" t="s">
        <v>5839</v>
      </c>
    </row>
    <row r="5393" spans="1:3" ht="15.75" customHeight="1" x14ac:dyDescent="0.2">
      <c r="A5393" s="42">
        <v>5758</v>
      </c>
      <c r="B5393" s="42">
        <v>17416</v>
      </c>
      <c r="C5393" s="34" t="s">
        <v>5844</v>
      </c>
    </row>
    <row r="5394" spans="1:3" ht="15.75" customHeight="1" x14ac:dyDescent="0.2">
      <c r="A5394" s="42">
        <v>5759</v>
      </c>
      <c r="B5394" s="42">
        <v>17416</v>
      </c>
      <c r="C5394" s="34" t="s">
        <v>5839</v>
      </c>
    </row>
    <row r="5395" spans="1:3" ht="15.75" customHeight="1" x14ac:dyDescent="0.2">
      <c r="A5395" s="42">
        <v>5760</v>
      </c>
      <c r="B5395" s="42">
        <v>17416</v>
      </c>
      <c r="C5395" s="34" t="s">
        <v>5844</v>
      </c>
    </row>
    <row r="5396" spans="1:3" ht="15.75" customHeight="1" x14ac:dyDescent="0.2">
      <c r="A5396" s="42">
        <v>5761</v>
      </c>
      <c r="B5396" s="42">
        <v>17416</v>
      </c>
      <c r="C5396" s="34" t="s">
        <v>5840</v>
      </c>
    </row>
    <row r="5397" spans="1:3" ht="15.75" customHeight="1" x14ac:dyDescent="0.2">
      <c r="A5397" s="42">
        <v>5762</v>
      </c>
      <c r="B5397" s="42">
        <v>17416</v>
      </c>
      <c r="C5397" s="34" t="s">
        <v>5839</v>
      </c>
    </row>
    <row r="5398" spans="1:3" ht="15.75" customHeight="1" x14ac:dyDescent="0.2">
      <c r="A5398" s="42">
        <v>5763</v>
      </c>
      <c r="B5398" s="42">
        <v>17416</v>
      </c>
      <c r="C5398" s="34" t="s">
        <v>5839</v>
      </c>
    </row>
    <row r="5399" spans="1:3" ht="15.75" customHeight="1" x14ac:dyDescent="0.2">
      <c r="A5399" s="42">
        <v>5764</v>
      </c>
      <c r="B5399" s="42">
        <v>17416</v>
      </c>
      <c r="C5399" s="34" t="s">
        <v>5839</v>
      </c>
    </row>
    <row r="5400" spans="1:3" ht="15.75" customHeight="1" x14ac:dyDescent="0.2">
      <c r="A5400" s="42">
        <v>5765</v>
      </c>
      <c r="B5400" s="42">
        <v>17416</v>
      </c>
      <c r="C5400" s="34" t="s">
        <v>5839</v>
      </c>
    </row>
    <row r="5401" spans="1:3" ht="15.75" customHeight="1" x14ac:dyDescent="0.2">
      <c r="A5401" s="42">
        <v>5766</v>
      </c>
      <c r="B5401" s="42">
        <v>17416</v>
      </c>
      <c r="C5401" s="34" t="s">
        <v>5840</v>
      </c>
    </row>
    <row r="5402" spans="1:3" ht="15.75" customHeight="1" x14ac:dyDescent="0.2">
      <c r="A5402" s="42">
        <v>5767</v>
      </c>
      <c r="B5402" s="42">
        <v>17416</v>
      </c>
      <c r="C5402" s="34" t="s">
        <v>5842</v>
      </c>
    </row>
    <row r="5403" spans="1:3" ht="15.75" customHeight="1" x14ac:dyDescent="0.2">
      <c r="A5403" s="42">
        <v>5768</v>
      </c>
      <c r="B5403" s="42">
        <v>17416</v>
      </c>
      <c r="C5403" s="34" t="s">
        <v>5840</v>
      </c>
    </row>
    <row r="5404" spans="1:3" ht="15.75" customHeight="1" x14ac:dyDescent="0.2">
      <c r="A5404" s="42">
        <v>5769</v>
      </c>
      <c r="B5404" s="42">
        <v>17416</v>
      </c>
      <c r="C5404" s="34" t="s">
        <v>5840</v>
      </c>
    </row>
    <row r="5405" spans="1:3" ht="15.75" customHeight="1" x14ac:dyDescent="0.2">
      <c r="A5405" s="42">
        <v>5770</v>
      </c>
      <c r="B5405" s="42">
        <v>17417</v>
      </c>
      <c r="C5405" s="34" t="s">
        <v>5854</v>
      </c>
    </row>
    <row r="5406" spans="1:3" ht="15.75" customHeight="1" x14ac:dyDescent="0.2">
      <c r="A5406" s="42">
        <v>5771</v>
      </c>
      <c r="B5406" s="42">
        <v>17417</v>
      </c>
      <c r="C5406" s="34" t="s">
        <v>5855</v>
      </c>
    </row>
    <row r="5407" spans="1:3" ht="15.75" customHeight="1" x14ac:dyDescent="0.2">
      <c r="A5407" s="42">
        <v>5772</v>
      </c>
      <c r="B5407" s="42">
        <v>17417</v>
      </c>
      <c r="C5407" s="34" t="s">
        <v>5856</v>
      </c>
    </row>
    <row r="5408" spans="1:3" ht="15.75" customHeight="1" x14ac:dyDescent="0.2">
      <c r="A5408" s="42">
        <v>5773</v>
      </c>
      <c r="B5408" s="42">
        <v>17417</v>
      </c>
      <c r="C5408" s="34" t="s">
        <v>5854</v>
      </c>
    </row>
    <row r="5409" spans="1:3" ht="15.75" customHeight="1" x14ac:dyDescent="0.2">
      <c r="A5409" s="42">
        <v>5774</v>
      </c>
      <c r="B5409" s="42">
        <v>17417</v>
      </c>
      <c r="C5409" s="34" t="s">
        <v>5854</v>
      </c>
    </row>
    <row r="5410" spans="1:3" ht="15.75" customHeight="1" x14ac:dyDescent="0.2">
      <c r="A5410" s="42">
        <v>5775</v>
      </c>
      <c r="B5410" s="42">
        <v>17417</v>
      </c>
      <c r="C5410" s="34" t="s">
        <v>5854</v>
      </c>
    </row>
    <row r="5411" spans="1:3" ht="15.75" customHeight="1" x14ac:dyDescent="0.2">
      <c r="A5411" s="42">
        <v>5776</v>
      </c>
      <c r="B5411" s="42">
        <v>17417</v>
      </c>
      <c r="C5411" s="34" t="s">
        <v>5855</v>
      </c>
    </row>
    <row r="5412" spans="1:3" ht="15.75" customHeight="1" x14ac:dyDescent="0.2">
      <c r="A5412" s="42">
        <v>5777</v>
      </c>
      <c r="B5412" s="42">
        <v>17417</v>
      </c>
      <c r="C5412" s="34" t="s">
        <v>5854</v>
      </c>
    </row>
    <row r="5413" spans="1:3" ht="15.75" customHeight="1" x14ac:dyDescent="0.2">
      <c r="A5413" s="42">
        <v>5778</v>
      </c>
      <c r="B5413" s="42">
        <v>17417</v>
      </c>
      <c r="C5413" s="34" t="s">
        <v>5854</v>
      </c>
    </row>
    <row r="5414" spans="1:3" ht="15.75" customHeight="1" x14ac:dyDescent="0.2">
      <c r="A5414" s="42">
        <v>5779</v>
      </c>
      <c r="B5414" s="42">
        <v>17417</v>
      </c>
      <c r="C5414" s="34" t="s">
        <v>5854</v>
      </c>
    </row>
    <row r="5415" spans="1:3" ht="15.75" customHeight="1" x14ac:dyDescent="0.2">
      <c r="A5415" s="42">
        <v>5780</v>
      </c>
      <c r="B5415" s="42">
        <v>17417</v>
      </c>
      <c r="C5415" s="34" t="s">
        <v>5857</v>
      </c>
    </row>
    <row r="5416" spans="1:3" ht="15.75" customHeight="1" x14ac:dyDescent="0.2">
      <c r="A5416" s="42">
        <v>5781</v>
      </c>
      <c r="B5416" s="42">
        <v>17417</v>
      </c>
      <c r="C5416" s="34" t="s">
        <v>5856</v>
      </c>
    </row>
    <row r="5417" spans="1:3" ht="15.75" customHeight="1" x14ac:dyDescent="0.2">
      <c r="A5417" s="42">
        <v>5782</v>
      </c>
      <c r="B5417" s="42">
        <v>17417</v>
      </c>
      <c r="C5417" s="34" t="s">
        <v>5856</v>
      </c>
    </row>
    <row r="5418" spans="1:3" ht="15.75" customHeight="1" x14ac:dyDescent="0.2">
      <c r="A5418" s="42">
        <v>5783</v>
      </c>
      <c r="B5418" s="42">
        <v>17417</v>
      </c>
      <c r="C5418" s="34" t="s">
        <v>5854</v>
      </c>
    </row>
    <row r="5419" spans="1:3" ht="15.75" customHeight="1" x14ac:dyDescent="0.2">
      <c r="A5419" s="42">
        <v>5784</v>
      </c>
      <c r="B5419" s="42">
        <v>17417</v>
      </c>
      <c r="C5419" s="34" t="s">
        <v>5854</v>
      </c>
    </row>
    <row r="5420" spans="1:3" ht="15.75" customHeight="1" x14ac:dyDescent="0.2">
      <c r="A5420" s="42">
        <v>5785</v>
      </c>
      <c r="B5420" s="42">
        <v>17417</v>
      </c>
      <c r="C5420" s="34" t="s">
        <v>5856</v>
      </c>
    </row>
    <row r="5421" spans="1:3" ht="15.75" customHeight="1" x14ac:dyDescent="0.2">
      <c r="A5421" s="42">
        <v>5786</v>
      </c>
      <c r="B5421" s="42">
        <v>17417</v>
      </c>
      <c r="C5421" s="34" t="s">
        <v>5854</v>
      </c>
    </row>
    <row r="5422" spans="1:3" ht="15.75" customHeight="1" x14ac:dyDescent="0.2">
      <c r="A5422" s="42">
        <v>5787</v>
      </c>
      <c r="B5422" s="42">
        <v>17417</v>
      </c>
      <c r="C5422" s="34" t="s">
        <v>5854</v>
      </c>
    </row>
    <row r="5423" spans="1:3" ht="15.75" customHeight="1" x14ac:dyDescent="0.2">
      <c r="A5423" s="42">
        <v>5788</v>
      </c>
      <c r="B5423" s="42">
        <v>17417</v>
      </c>
      <c r="C5423" s="34" t="s">
        <v>5854</v>
      </c>
    </row>
    <row r="5424" spans="1:3" ht="15.75" customHeight="1" x14ac:dyDescent="0.2">
      <c r="A5424" s="42">
        <v>5789</v>
      </c>
      <c r="B5424" s="42">
        <v>17417</v>
      </c>
      <c r="C5424" s="34" t="s">
        <v>5854</v>
      </c>
    </row>
    <row r="5425" spans="1:3" ht="15.75" customHeight="1" x14ac:dyDescent="0.2">
      <c r="A5425" s="42">
        <v>5790</v>
      </c>
      <c r="B5425" s="42">
        <v>17417</v>
      </c>
      <c r="C5425" s="34" t="s">
        <v>5854</v>
      </c>
    </row>
    <row r="5426" spans="1:3" ht="15.75" customHeight="1" x14ac:dyDescent="0.2">
      <c r="A5426" s="42">
        <v>5791</v>
      </c>
      <c r="B5426" s="42">
        <v>17417</v>
      </c>
      <c r="C5426" s="34" t="s">
        <v>5856</v>
      </c>
    </row>
    <row r="5427" spans="1:3" ht="15.75" customHeight="1" x14ac:dyDescent="0.2">
      <c r="A5427" s="42">
        <v>5792</v>
      </c>
      <c r="B5427" s="42">
        <v>17417</v>
      </c>
      <c r="C5427" s="34" t="s">
        <v>5856</v>
      </c>
    </row>
    <row r="5428" spans="1:3" ht="15.75" customHeight="1" x14ac:dyDescent="0.2">
      <c r="A5428" s="42">
        <v>5793</v>
      </c>
      <c r="B5428" s="42">
        <v>17417</v>
      </c>
      <c r="C5428" s="34" t="s">
        <v>5854</v>
      </c>
    </row>
    <row r="5429" spans="1:3" ht="15.75" customHeight="1" x14ac:dyDescent="0.2">
      <c r="A5429" s="42">
        <v>5794</v>
      </c>
      <c r="B5429" s="42">
        <v>17417</v>
      </c>
      <c r="C5429" s="34" t="s">
        <v>5854</v>
      </c>
    </row>
    <row r="5430" spans="1:3" ht="15.75" customHeight="1" x14ac:dyDescent="0.2">
      <c r="A5430" s="42">
        <v>5795</v>
      </c>
      <c r="B5430" s="42">
        <v>17417</v>
      </c>
      <c r="C5430" s="34" t="s">
        <v>5854</v>
      </c>
    </row>
    <row r="5431" spans="1:3" ht="15.75" customHeight="1" x14ac:dyDescent="0.2">
      <c r="A5431" s="42">
        <v>5796</v>
      </c>
      <c r="B5431" s="42">
        <v>17417</v>
      </c>
      <c r="C5431" s="34" t="s">
        <v>5856</v>
      </c>
    </row>
    <row r="5432" spans="1:3" ht="15.75" customHeight="1" x14ac:dyDescent="0.2">
      <c r="A5432" s="42">
        <v>5797</v>
      </c>
      <c r="B5432" s="42">
        <v>17417</v>
      </c>
      <c r="C5432" s="34" t="s">
        <v>5854</v>
      </c>
    </row>
    <row r="5433" spans="1:3" ht="15.75" customHeight="1" x14ac:dyDescent="0.2">
      <c r="A5433" s="42">
        <v>5798</v>
      </c>
      <c r="B5433" s="42">
        <v>17417</v>
      </c>
      <c r="C5433" s="34" t="s">
        <v>5854</v>
      </c>
    </row>
    <row r="5434" spans="1:3" ht="15.75" customHeight="1" x14ac:dyDescent="0.2">
      <c r="A5434" s="42">
        <v>5799</v>
      </c>
      <c r="B5434" s="42">
        <v>17417</v>
      </c>
      <c r="C5434" s="34" t="s">
        <v>5854</v>
      </c>
    </row>
    <row r="5435" spans="1:3" ht="15.75" customHeight="1" x14ac:dyDescent="0.2">
      <c r="A5435" s="42">
        <v>5800</v>
      </c>
      <c r="B5435" s="42">
        <v>17417</v>
      </c>
      <c r="C5435" s="34" t="s">
        <v>5858</v>
      </c>
    </row>
    <row r="5436" spans="1:3" ht="15.75" customHeight="1" x14ac:dyDescent="0.2">
      <c r="A5436" s="42">
        <v>5801</v>
      </c>
      <c r="B5436" s="42">
        <v>17417</v>
      </c>
      <c r="C5436" s="34" t="s">
        <v>5854</v>
      </c>
    </row>
    <row r="5437" spans="1:3" ht="15.75" customHeight="1" x14ac:dyDescent="0.2">
      <c r="A5437" s="42">
        <v>5802</v>
      </c>
      <c r="B5437" s="42">
        <v>17417</v>
      </c>
      <c r="C5437" s="34" t="s">
        <v>5854</v>
      </c>
    </row>
    <row r="5438" spans="1:3" ht="15.75" customHeight="1" x14ac:dyDescent="0.2">
      <c r="A5438" s="42">
        <v>5803</v>
      </c>
      <c r="B5438" s="42">
        <v>17417</v>
      </c>
      <c r="C5438" s="34" t="s">
        <v>5854</v>
      </c>
    </row>
    <row r="5439" spans="1:3" ht="15.75" customHeight="1" x14ac:dyDescent="0.2">
      <c r="A5439" s="42">
        <v>5804</v>
      </c>
      <c r="B5439" s="42">
        <v>17417</v>
      </c>
      <c r="C5439" s="34" t="s">
        <v>5854</v>
      </c>
    </row>
    <row r="5440" spans="1:3" ht="15.75" customHeight="1" x14ac:dyDescent="0.2">
      <c r="A5440" s="42">
        <v>5805</v>
      </c>
      <c r="B5440" s="42">
        <v>17417</v>
      </c>
      <c r="C5440" s="34" t="s">
        <v>5856</v>
      </c>
    </row>
    <row r="5441" spans="1:3" ht="15.75" customHeight="1" x14ac:dyDescent="0.2">
      <c r="A5441" s="42">
        <v>5806</v>
      </c>
      <c r="B5441" s="42">
        <v>17417</v>
      </c>
      <c r="C5441" s="34" t="s">
        <v>5856</v>
      </c>
    </row>
    <row r="5442" spans="1:3" ht="15.75" customHeight="1" x14ac:dyDescent="0.2">
      <c r="A5442" s="42">
        <v>5807</v>
      </c>
      <c r="B5442" s="42">
        <v>17417</v>
      </c>
      <c r="C5442" s="34" t="s">
        <v>5854</v>
      </c>
    </row>
    <row r="5443" spans="1:3" ht="15.75" customHeight="1" x14ac:dyDescent="0.2">
      <c r="A5443" s="42">
        <v>5808</v>
      </c>
      <c r="B5443" s="42">
        <v>17417</v>
      </c>
      <c r="C5443" s="34" t="s">
        <v>5854</v>
      </c>
    </row>
    <row r="5444" spans="1:3" ht="15.75" customHeight="1" x14ac:dyDescent="0.2">
      <c r="A5444" s="42">
        <v>5809</v>
      </c>
      <c r="B5444" s="42">
        <v>17417</v>
      </c>
      <c r="C5444" s="34" t="s">
        <v>5854</v>
      </c>
    </row>
    <row r="5445" spans="1:3" ht="15.75" customHeight="1" x14ac:dyDescent="0.2">
      <c r="A5445" s="42">
        <v>5810</v>
      </c>
      <c r="B5445" s="42">
        <v>17417</v>
      </c>
      <c r="C5445" s="34" t="s">
        <v>5854</v>
      </c>
    </row>
    <row r="5446" spans="1:3" ht="15.75" customHeight="1" x14ac:dyDescent="0.2">
      <c r="A5446" s="42">
        <v>5811</v>
      </c>
      <c r="B5446" s="42">
        <v>17417</v>
      </c>
      <c r="C5446" s="34" t="s">
        <v>5856</v>
      </c>
    </row>
    <row r="5447" spans="1:3" ht="15.75" customHeight="1" x14ac:dyDescent="0.2">
      <c r="A5447" s="42">
        <v>5812</v>
      </c>
      <c r="B5447" s="42">
        <v>17417</v>
      </c>
      <c r="C5447" s="34" t="s">
        <v>5856</v>
      </c>
    </row>
    <row r="5448" spans="1:3" ht="15.75" customHeight="1" x14ac:dyDescent="0.2">
      <c r="A5448" s="42">
        <v>5813</v>
      </c>
      <c r="B5448" s="42">
        <v>17417</v>
      </c>
      <c r="C5448" s="34" t="s">
        <v>5856</v>
      </c>
    </row>
    <row r="5449" spans="1:3" ht="15.75" customHeight="1" x14ac:dyDescent="0.2">
      <c r="A5449" s="42">
        <v>5814</v>
      </c>
      <c r="B5449" s="42">
        <v>17417</v>
      </c>
      <c r="C5449" s="34" t="s">
        <v>5854</v>
      </c>
    </row>
    <row r="5450" spans="1:3" ht="15.75" customHeight="1" x14ac:dyDescent="0.2">
      <c r="A5450" s="42">
        <v>5815</v>
      </c>
      <c r="B5450" s="42">
        <v>17417</v>
      </c>
      <c r="C5450" s="34" t="s">
        <v>5854</v>
      </c>
    </row>
    <row r="5451" spans="1:3" ht="15.75" customHeight="1" x14ac:dyDescent="0.2">
      <c r="A5451" s="42">
        <v>5816</v>
      </c>
      <c r="B5451" s="42">
        <v>17417</v>
      </c>
      <c r="C5451" s="34" t="s">
        <v>5854</v>
      </c>
    </row>
    <row r="5452" spans="1:3" ht="15.75" customHeight="1" x14ac:dyDescent="0.2">
      <c r="A5452" s="42">
        <v>5817</v>
      </c>
      <c r="B5452" s="42">
        <v>17417</v>
      </c>
      <c r="C5452" s="34" t="s">
        <v>5856</v>
      </c>
    </row>
    <row r="5453" spans="1:3" ht="15.75" customHeight="1" x14ac:dyDescent="0.2">
      <c r="A5453" s="42">
        <v>5818</v>
      </c>
      <c r="B5453" s="42">
        <v>17417</v>
      </c>
      <c r="C5453" s="34" t="s">
        <v>5856</v>
      </c>
    </row>
    <row r="5454" spans="1:3" ht="15.75" customHeight="1" x14ac:dyDescent="0.2">
      <c r="A5454" s="42">
        <v>5819</v>
      </c>
      <c r="B5454" s="42">
        <v>17417</v>
      </c>
      <c r="C5454" s="34" t="s">
        <v>5856</v>
      </c>
    </row>
    <row r="5455" spans="1:3" ht="15.75" customHeight="1" x14ac:dyDescent="0.2">
      <c r="A5455" s="42">
        <v>5820</v>
      </c>
      <c r="B5455" s="42">
        <v>17417</v>
      </c>
      <c r="C5455" s="34" t="s">
        <v>5859</v>
      </c>
    </row>
    <row r="5456" spans="1:3" ht="15.75" customHeight="1" x14ac:dyDescent="0.2">
      <c r="A5456" s="42">
        <v>5821</v>
      </c>
      <c r="B5456" s="42">
        <v>17417</v>
      </c>
      <c r="C5456" s="34" t="s">
        <v>5856</v>
      </c>
    </row>
    <row r="5457" spans="1:3" ht="15.75" customHeight="1" x14ac:dyDescent="0.2">
      <c r="A5457" s="42">
        <v>5822</v>
      </c>
      <c r="B5457" s="42">
        <v>17417</v>
      </c>
      <c r="C5457" s="34" t="s">
        <v>5854</v>
      </c>
    </row>
    <row r="5458" spans="1:3" ht="15.75" customHeight="1" x14ac:dyDescent="0.2">
      <c r="A5458" s="42">
        <v>5823</v>
      </c>
      <c r="B5458" s="42">
        <v>17417</v>
      </c>
      <c r="C5458" s="34" t="s">
        <v>5854</v>
      </c>
    </row>
    <row r="5459" spans="1:3" ht="15.75" customHeight="1" x14ac:dyDescent="0.2">
      <c r="A5459" s="42">
        <v>5824</v>
      </c>
      <c r="B5459" s="42">
        <v>17417</v>
      </c>
      <c r="C5459" s="34" t="s">
        <v>5856</v>
      </c>
    </row>
    <row r="5460" spans="1:3" ht="15.75" customHeight="1" x14ac:dyDescent="0.2">
      <c r="A5460" s="42">
        <v>5825</v>
      </c>
      <c r="B5460" s="42">
        <v>17417</v>
      </c>
      <c r="C5460" s="34" t="s">
        <v>5854</v>
      </c>
    </row>
    <row r="5461" spans="1:3" ht="15.75" customHeight="1" x14ac:dyDescent="0.2">
      <c r="A5461" s="42">
        <v>5826</v>
      </c>
      <c r="B5461" s="42">
        <v>17417</v>
      </c>
      <c r="C5461" s="34" t="s">
        <v>5856</v>
      </c>
    </row>
    <row r="5462" spans="1:3" ht="15.75" customHeight="1" x14ac:dyDescent="0.2">
      <c r="A5462" s="42">
        <v>5827</v>
      </c>
      <c r="B5462" s="42">
        <v>17417</v>
      </c>
      <c r="C5462" s="34" t="s">
        <v>5854</v>
      </c>
    </row>
    <row r="5463" spans="1:3" ht="15.75" customHeight="1" x14ac:dyDescent="0.2">
      <c r="A5463" s="42">
        <v>5828</v>
      </c>
      <c r="B5463" s="42">
        <v>17417</v>
      </c>
      <c r="C5463" s="34" t="s">
        <v>5859</v>
      </c>
    </row>
    <row r="5464" spans="1:3" ht="15.75" customHeight="1" x14ac:dyDescent="0.2">
      <c r="A5464" s="42">
        <v>5829</v>
      </c>
      <c r="B5464" s="42">
        <v>17417</v>
      </c>
      <c r="C5464" s="34" t="s">
        <v>5857</v>
      </c>
    </row>
    <row r="5465" spans="1:3" ht="15.75" customHeight="1" x14ac:dyDescent="0.2">
      <c r="A5465" s="42">
        <v>5830</v>
      </c>
      <c r="B5465" s="42">
        <v>17417</v>
      </c>
      <c r="C5465" s="34" t="s">
        <v>5859</v>
      </c>
    </row>
    <row r="5466" spans="1:3" ht="15.75" customHeight="1" x14ac:dyDescent="0.2">
      <c r="A5466" s="42">
        <v>5831</v>
      </c>
      <c r="B5466" s="42">
        <v>17417</v>
      </c>
      <c r="C5466" s="34" t="s">
        <v>5856</v>
      </c>
    </row>
    <row r="5467" spans="1:3" ht="15.75" customHeight="1" x14ac:dyDescent="0.2">
      <c r="A5467" s="42">
        <v>5832</v>
      </c>
      <c r="B5467" s="42">
        <v>17417</v>
      </c>
      <c r="C5467" s="34" t="s">
        <v>5854</v>
      </c>
    </row>
    <row r="5468" spans="1:3" ht="15.75" customHeight="1" x14ac:dyDescent="0.2">
      <c r="A5468" s="42">
        <v>5833</v>
      </c>
      <c r="B5468" s="42">
        <v>17417</v>
      </c>
      <c r="C5468" s="34" t="s">
        <v>5854</v>
      </c>
    </row>
    <row r="5469" spans="1:3" ht="15.75" customHeight="1" x14ac:dyDescent="0.2">
      <c r="A5469" s="42">
        <v>5834</v>
      </c>
      <c r="B5469" s="42">
        <v>17417</v>
      </c>
      <c r="C5469" s="34" t="s">
        <v>5854</v>
      </c>
    </row>
    <row r="5470" spans="1:3" ht="15.75" customHeight="1" x14ac:dyDescent="0.2">
      <c r="A5470" s="42">
        <v>5835</v>
      </c>
      <c r="B5470" s="42">
        <v>17417</v>
      </c>
      <c r="C5470" s="34" t="s">
        <v>5854</v>
      </c>
    </row>
    <row r="5471" spans="1:3" ht="15.75" customHeight="1" x14ac:dyDescent="0.2">
      <c r="A5471" s="42">
        <v>5836</v>
      </c>
      <c r="B5471" s="42">
        <v>17417</v>
      </c>
      <c r="C5471" s="34" t="s">
        <v>5854</v>
      </c>
    </row>
    <row r="5472" spans="1:3" ht="15.75" customHeight="1" x14ac:dyDescent="0.2">
      <c r="A5472" s="42">
        <v>5837</v>
      </c>
      <c r="B5472" s="42">
        <v>17417</v>
      </c>
      <c r="C5472" s="34" t="s">
        <v>5854</v>
      </c>
    </row>
    <row r="5473" spans="1:3" ht="15.75" customHeight="1" x14ac:dyDescent="0.2">
      <c r="A5473" s="42">
        <v>5838</v>
      </c>
      <c r="B5473" s="42">
        <v>17417</v>
      </c>
      <c r="C5473" s="34" t="s">
        <v>5854</v>
      </c>
    </row>
    <row r="5474" spans="1:3" ht="15.75" customHeight="1" x14ac:dyDescent="0.2">
      <c r="A5474" s="42">
        <v>5839</v>
      </c>
      <c r="B5474" s="42">
        <v>17417</v>
      </c>
      <c r="C5474" s="34" t="s">
        <v>5854</v>
      </c>
    </row>
    <row r="5475" spans="1:3" ht="15.75" customHeight="1" x14ac:dyDescent="0.2">
      <c r="A5475" s="42">
        <v>5840</v>
      </c>
      <c r="B5475" s="42">
        <v>17417</v>
      </c>
      <c r="C5475" s="34" t="s">
        <v>5856</v>
      </c>
    </row>
    <row r="5476" spans="1:3" ht="15.75" customHeight="1" x14ac:dyDescent="0.2">
      <c r="A5476" s="42">
        <v>5841</v>
      </c>
      <c r="B5476" s="42">
        <v>17417</v>
      </c>
      <c r="C5476" s="34" t="s">
        <v>5854</v>
      </c>
    </row>
    <row r="5477" spans="1:3" ht="15.75" customHeight="1" x14ac:dyDescent="0.2">
      <c r="A5477" s="42">
        <v>5842</v>
      </c>
      <c r="B5477" s="42">
        <v>17417</v>
      </c>
      <c r="C5477" s="34" t="s">
        <v>5856</v>
      </c>
    </row>
    <row r="5478" spans="1:3" ht="15.75" customHeight="1" x14ac:dyDescent="0.2">
      <c r="A5478" s="42">
        <v>5843</v>
      </c>
      <c r="B5478" s="42">
        <v>17417</v>
      </c>
      <c r="C5478" s="34" t="s">
        <v>5854</v>
      </c>
    </row>
    <row r="5479" spans="1:3" ht="15.75" customHeight="1" x14ac:dyDescent="0.2">
      <c r="A5479" s="42">
        <v>5844</v>
      </c>
      <c r="B5479" s="42">
        <v>17417</v>
      </c>
      <c r="C5479" s="34" t="s">
        <v>5854</v>
      </c>
    </row>
    <row r="5480" spans="1:3" ht="15.75" customHeight="1" x14ac:dyDescent="0.2">
      <c r="A5480" s="42">
        <v>5845</v>
      </c>
      <c r="B5480" s="42">
        <v>17417</v>
      </c>
      <c r="C5480" s="34" t="s">
        <v>5860</v>
      </c>
    </row>
    <row r="5481" spans="1:3" ht="15.75" customHeight="1" x14ac:dyDescent="0.2">
      <c r="A5481" s="42">
        <v>5846</v>
      </c>
      <c r="B5481" s="42">
        <v>17417</v>
      </c>
      <c r="C5481" s="34" t="s">
        <v>5854</v>
      </c>
    </row>
    <row r="5482" spans="1:3" ht="15.75" customHeight="1" x14ac:dyDescent="0.2">
      <c r="A5482" s="42">
        <v>5847</v>
      </c>
      <c r="B5482" s="42">
        <v>17417</v>
      </c>
      <c r="C5482" s="34" t="s">
        <v>5854</v>
      </c>
    </row>
    <row r="5483" spans="1:3" ht="15.75" customHeight="1" x14ac:dyDescent="0.2">
      <c r="A5483" s="42">
        <v>5848</v>
      </c>
      <c r="B5483" s="42">
        <v>17417</v>
      </c>
      <c r="C5483" s="34" t="s">
        <v>5856</v>
      </c>
    </row>
    <row r="5484" spans="1:3" ht="15.75" customHeight="1" x14ac:dyDescent="0.2">
      <c r="A5484" s="42">
        <v>5849</v>
      </c>
      <c r="B5484" s="42">
        <v>17417</v>
      </c>
      <c r="C5484" s="34" t="s">
        <v>5854</v>
      </c>
    </row>
    <row r="5485" spans="1:3" ht="15.75" customHeight="1" x14ac:dyDescent="0.2">
      <c r="A5485" s="42">
        <v>5850</v>
      </c>
      <c r="B5485" s="42">
        <v>17417</v>
      </c>
      <c r="C5485" s="34" t="s">
        <v>5856</v>
      </c>
    </row>
    <row r="5486" spans="1:3" ht="15.75" customHeight="1" x14ac:dyDescent="0.2">
      <c r="A5486" s="42">
        <v>5851</v>
      </c>
      <c r="B5486" s="42">
        <v>17417</v>
      </c>
      <c r="C5486" s="34" t="s">
        <v>5854</v>
      </c>
    </row>
    <row r="5487" spans="1:3" ht="15.75" customHeight="1" x14ac:dyDescent="0.2">
      <c r="A5487" s="42">
        <v>5852</v>
      </c>
      <c r="B5487" s="42">
        <v>17417</v>
      </c>
      <c r="C5487" s="34" t="s">
        <v>5854</v>
      </c>
    </row>
    <row r="5488" spans="1:3" ht="15.75" customHeight="1" x14ac:dyDescent="0.2">
      <c r="A5488" s="42">
        <v>5853</v>
      </c>
      <c r="B5488" s="42">
        <v>17417</v>
      </c>
      <c r="C5488" s="34" t="s">
        <v>5854</v>
      </c>
    </row>
    <row r="5489" spans="1:3" ht="15.75" customHeight="1" x14ac:dyDescent="0.2">
      <c r="A5489" s="42">
        <v>5854</v>
      </c>
      <c r="B5489" s="42">
        <v>17417</v>
      </c>
      <c r="C5489" s="34" t="s">
        <v>5856</v>
      </c>
    </row>
    <row r="5490" spans="1:3" ht="15.75" customHeight="1" x14ac:dyDescent="0.2">
      <c r="A5490" s="42">
        <v>5855</v>
      </c>
      <c r="B5490" s="42">
        <v>17417</v>
      </c>
      <c r="C5490" s="34" t="s">
        <v>5856</v>
      </c>
    </row>
    <row r="5491" spans="1:3" ht="15.75" customHeight="1" x14ac:dyDescent="0.2">
      <c r="A5491" s="42">
        <v>5856</v>
      </c>
      <c r="B5491" s="42">
        <v>17417</v>
      </c>
      <c r="C5491" s="34" t="s">
        <v>5856</v>
      </c>
    </row>
    <row r="5492" spans="1:3" ht="15.75" customHeight="1" x14ac:dyDescent="0.2">
      <c r="A5492" s="42">
        <v>5857</v>
      </c>
      <c r="B5492" s="42">
        <v>17417</v>
      </c>
      <c r="C5492" s="34" t="s">
        <v>5854</v>
      </c>
    </row>
    <row r="5493" spans="1:3" ht="15.75" customHeight="1" x14ac:dyDescent="0.2">
      <c r="A5493" s="42">
        <v>5858</v>
      </c>
      <c r="B5493" s="42">
        <v>17417</v>
      </c>
      <c r="C5493" s="34" t="s">
        <v>5854</v>
      </c>
    </row>
    <row r="5494" spans="1:3" ht="15.75" customHeight="1" x14ac:dyDescent="0.2">
      <c r="A5494" s="42">
        <v>5859</v>
      </c>
      <c r="B5494" s="42">
        <v>17417</v>
      </c>
      <c r="C5494" s="34" t="s">
        <v>5856</v>
      </c>
    </row>
    <row r="5495" spans="1:3" ht="15.75" customHeight="1" x14ac:dyDescent="0.2">
      <c r="A5495" s="42">
        <v>5860</v>
      </c>
      <c r="B5495" s="42">
        <v>17418</v>
      </c>
      <c r="C5495" s="34" t="s">
        <v>5861</v>
      </c>
    </row>
    <row r="5496" spans="1:3" ht="15.75" customHeight="1" x14ac:dyDescent="0.2">
      <c r="A5496" s="42">
        <v>5861</v>
      </c>
      <c r="B5496" s="42">
        <v>17418</v>
      </c>
      <c r="C5496" s="34" t="s">
        <v>5862</v>
      </c>
    </row>
    <row r="5497" spans="1:3" ht="15.75" customHeight="1" x14ac:dyDescent="0.2">
      <c r="A5497" s="42">
        <v>5862</v>
      </c>
      <c r="B5497" s="42">
        <v>17418</v>
      </c>
      <c r="C5497" s="34" t="s">
        <v>5863</v>
      </c>
    </row>
    <row r="5498" spans="1:3" ht="15.75" customHeight="1" x14ac:dyDescent="0.2">
      <c r="A5498" s="42">
        <v>5863</v>
      </c>
      <c r="B5498" s="42">
        <v>17418</v>
      </c>
      <c r="C5498" s="34" t="s">
        <v>5864</v>
      </c>
    </row>
    <row r="5499" spans="1:3" ht="15.75" customHeight="1" x14ac:dyDescent="0.2">
      <c r="A5499" s="42">
        <v>5864</v>
      </c>
      <c r="B5499" s="42">
        <v>17418</v>
      </c>
      <c r="C5499" s="34" t="s">
        <v>5865</v>
      </c>
    </row>
    <row r="5500" spans="1:3" ht="15.75" customHeight="1" x14ac:dyDescent="0.2">
      <c r="A5500" s="42">
        <v>5865</v>
      </c>
      <c r="B5500" s="42">
        <v>17418</v>
      </c>
      <c r="C5500" s="34" t="s">
        <v>5866</v>
      </c>
    </row>
    <row r="5501" spans="1:3" ht="15.75" customHeight="1" x14ac:dyDescent="0.2">
      <c r="A5501" s="42">
        <v>5866</v>
      </c>
      <c r="B5501" s="42">
        <v>17418</v>
      </c>
      <c r="C5501" s="34" t="s">
        <v>5867</v>
      </c>
    </row>
    <row r="5502" spans="1:3" ht="15.75" customHeight="1" x14ac:dyDescent="0.2">
      <c r="A5502" s="42">
        <v>5867</v>
      </c>
      <c r="B5502" s="42">
        <v>17418</v>
      </c>
      <c r="C5502" s="34" t="s">
        <v>5868</v>
      </c>
    </row>
    <row r="5503" spans="1:3" ht="15.75" customHeight="1" x14ac:dyDescent="0.2">
      <c r="A5503" s="42">
        <v>5868</v>
      </c>
      <c r="B5503" s="42">
        <v>17418</v>
      </c>
      <c r="C5503" s="34" t="s">
        <v>5869</v>
      </c>
    </row>
    <row r="5504" spans="1:3" ht="15.75" customHeight="1" x14ac:dyDescent="0.2">
      <c r="A5504" s="42">
        <v>5869</v>
      </c>
      <c r="B5504" s="42">
        <v>17418</v>
      </c>
      <c r="C5504" s="34" t="s">
        <v>5862</v>
      </c>
    </row>
    <row r="5505" spans="1:3" ht="15.75" customHeight="1" x14ac:dyDescent="0.2">
      <c r="A5505" s="42">
        <v>5870</v>
      </c>
      <c r="B5505" s="42">
        <v>17418</v>
      </c>
      <c r="C5505" s="34" t="s">
        <v>5870</v>
      </c>
    </row>
    <row r="5506" spans="1:3" ht="15.75" customHeight="1" x14ac:dyDescent="0.2">
      <c r="A5506" s="42">
        <v>5871</v>
      </c>
      <c r="B5506" s="42">
        <v>17418</v>
      </c>
      <c r="C5506" s="34" t="s">
        <v>5871</v>
      </c>
    </row>
    <row r="5507" spans="1:3" ht="15.75" customHeight="1" x14ac:dyDescent="0.2">
      <c r="A5507" s="42">
        <v>5872</v>
      </c>
      <c r="B5507" s="42">
        <v>17418</v>
      </c>
      <c r="C5507" s="34" t="s">
        <v>5872</v>
      </c>
    </row>
    <row r="5508" spans="1:3" ht="15.75" customHeight="1" x14ac:dyDescent="0.2">
      <c r="A5508" s="42">
        <v>5873</v>
      </c>
      <c r="B5508" s="42">
        <v>17418</v>
      </c>
      <c r="C5508" s="34" t="s">
        <v>5873</v>
      </c>
    </row>
    <row r="5509" spans="1:3" ht="15.75" customHeight="1" x14ac:dyDescent="0.2">
      <c r="A5509" s="42">
        <v>5874</v>
      </c>
      <c r="B5509" s="42">
        <v>17418</v>
      </c>
      <c r="C5509" s="34" t="s">
        <v>5874</v>
      </c>
    </row>
    <row r="5510" spans="1:3" ht="15.75" customHeight="1" x14ac:dyDescent="0.2">
      <c r="A5510" s="42">
        <v>5875</v>
      </c>
      <c r="B5510" s="42">
        <v>17418</v>
      </c>
      <c r="C5510" s="34" t="s">
        <v>5875</v>
      </c>
    </row>
    <row r="5511" spans="1:3" ht="15.75" customHeight="1" x14ac:dyDescent="0.2">
      <c r="A5511" s="42">
        <v>5876</v>
      </c>
      <c r="B5511" s="42">
        <v>17418</v>
      </c>
      <c r="C5511" s="34" t="s">
        <v>5867</v>
      </c>
    </row>
    <row r="5512" spans="1:3" ht="15.75" customHeight="1" x14ac:dyDescent="0.2">
      <c r="A5512" s="42">
        <v>5877</v>
      </c>
      <c r="B5512" s="42">
        <v>17418</v>
      </c>
      <c r="C5512" s="34" t="s">
        <v>5876</v>
      </c>
    </row>
    <row r="5513" spans="1:3" ht="15.75" customHeight="1" x14ac:dyDescent="0.2">
      <c r="A5513" s="42">
        <v>5878</v>
      </c>
      <c r="B5513" s="42">
        <v>17418</v>
      </c>
      <c r="C5513" s="34" t="s">
        <v>5862</v>
      </c>
    </row>
    <row r="5514" spans="1:3" ht="15.75" customHeight="1" x14ac:dyDescent="0.2">
      <c r="A5514" s="42">
        <v>5879</v>
      </c>
      <c r="B5514" s="42">
        <v>17418</v>
      </c>
      <c r="C5514" s="34" t="s">
        <v>5877</v>
      </c>
    </row>
    <row r="5515" spans="1:3" ht="15.75" customHeight="1" x14ac:dyDescent="0.2">
      <c r="A5515" s="42">
        <v>5880</v>
      </c>
      <c r="B5515" s="42">
        <v>17418</v>
      </c>
      <c r="C5515" s="34" t="s">
        <v>5878</v>
      </c>
    </row>
    <row r="5516" spans="1:3" ht="15.75" customHeight="1" x14ac:dyDescent="0.2">
      <c r="A5516" s="42">
        <v>5881</v>
      </c>
      <c r="B5516" s="42">
        <v>17418</v>
      </c>
      <c r="C5516" s="34" t="s">
        <v>5879</v>
      </c>
    </row>
    <row r="5517" spans="1:3" ht="15.75" customHeight="1" x14ac:dyDescent="0.2">
      <c r="A5517" s="42">
        <v>5882</v>
      </c>
      <c r="B5517" s="42">
        <v>17418</v>
      </c>
      <c r="C5517" s="34" t="s">
        <v>5870</v>
      </c>
    </row>
    <row r="5518" spans="1:3" ht="15.75" customHeight="1" x14ac:dyDescent="0.2">
      <c r="A5518" s="42">
        <v>5883</v>
      </c>
      <c r="B5518" s="42">
        <v>17418</v>
      </c>
      <c r="C5518" s="34" t="s">
        <v>5880</v>
      </c>
    </row>
    <row r="5519" spans="1:3" ht="15.75" customHeight="1" x14ac:dyDescent="0.2">
      <c r="A5519" s="42">
        <v>5884</v>
      </c>
      <c r="B5519" s="42">
        <v>17418</v>
      </c>
      <c r="C5519" s="34" t="s">
        <v>5881</v>
      </c>
    </row>
    <row r="5520" spans="1:3" ht="15.75" customHeight="1" x14ac:dyDescent="0.2">
      <c r="A5520" s="42">
        <v>5885</v>
      </c>
      <c r="B5520" s="42">
        <v>17418</v>
      </c>
      <c r="C5520" s="34" t="s">
        <v>5882</v>
      </c>
    </row>
    <row r="5521" spans="1:3" ht="15.75" customHeight="1" x14ac:dyDescent="0.2">
      <c r="A5521" s="42">
        <v>5886</v>
      </c>
      <c r="B5521" s="42">
        <v>17418</v>
      </c>
      <c r="C5521" s="34" t="s">
        <v>5870</v>
      </c>
    </row>
    <row r="5522" spans="1:3" ht="15.75" customHeight="1" x14ac:dyDescent="0.2">
      <c r="A5522" s="42">
        <v>5887</v>
      </c>
      <c r="B5522" s="42">
        <v>17418</v>
      </c>
      <c r="C5522" s="34" t="s">
        <v>5883</v>
      </c>
    </row>
    <row r="5523" spans="1:3" ht="15.75" customHeight="1" x14ac:dyDescent="0.2">
      <c r="A5523" s="42">
        <v>5888</v>
      </c>
      <c r="B5523" s="42">
        <v>17418</v>
      </c>
      <c r="C5523" s="34" t="s">
        <v>5865</v>
      </c>
    </row>
    <row r="5524" spans="1:3" ht="15.75" customHeight="1" x14ac:dyDescent="0.2">
      <c r="A5524" s="42">
        <v>5889</v>
      </c>
      <c r="B5524" s="42">
        <v>17418</v>
      </c>
      <c r="C5524" s="34" t="s">
        <v>5884</v>
      </c>
    </row>
    <row r="5525" spans="1:3" ht="15.75" customHeight="1" x14ac:dyDescent="0.2">
      <c r="A5525" s="42">
        <v>5890</v>
      </c>
      <c r="B5525" s="42">
        <v>17418</v>
      </c>
      <c r="C5525" s="34" t="s">
        <v>5885</v>
      </c>
    </row>
    <row r="5526" spans="1:3" ht="15.75" customHeight="1" x14ac:dyDescent="0.2">
      <c r="A5526" s="42">
        <v>5891</v>
      </c>
      <c r="B5526" s="42">
        <v>17418</v>
      </c>
      <c r="C5526" s="34" t="s">
        <v>5886</v>
      </c>
    </row>
    <row r="5527" spans="1:3" ht="15.75" customHeight="1" x14ac:dyDescent="0.2">
      <c r="A5527" s="42">
        <v>5892</v>
      </c>
      <c r="B5527" s="42">
        <v>17418</v>
      </c>
      <c r="C5527" s="34" t="s">
        <v>5887</v>
      </c>
    </row>
    <row r="5528" spans="1:3" ht="15.75" customHeight="1" x14ac:dyDescent="0.2">
      <c r="A5528" s="42">
        <v>5893</v>
      </c>
      <c r="B5528" s="42">
        <v>17418</v>
      </c>
      <c r="C5528" s="34" t="s">
        <v>5888</v>
      </c>
    </row>
    <row r="5529" spans="1:3" ht="15.75" customHeight="1" x14ac:dyDescent="0.2">
      <c r="A5529" s="42">
        <v>5894</v>
      </c>
      <c r="B5529" s="42">
        <v>17418</v>
      </c>
      <c r="C5529" s="34" t="s">
        <v>5889</v>
      </c>
    </row>
    <row r="5530" spans="1:3" ht="15.75" customHeight="1" x14ac:dyDescent="0.2">
      <c r="A5530" s="42">
        <v>5895</v>
      </c>
      <c r="B5530" s="42">
        <v>17418</v>
      </c>
      <c r="C5530" s="34" t="s">
        <v>5890</v>
      </c>
    </row>
    <row r="5531" spans="1:3" ht="15.75" customHeight="1" x14ac:dyDescent="0.2">
      <c r="A5531" s="42">
        <v>5896</v>
      </c>
      <c r="B5531" s="42">
        <v>17418</v>
      </c>
      <c r="C5531" s="34" t="s">
        <v>5891</v>
      </c>
    </row>
    <row r="5532" spans="1:3" ht="15.75" customHeight="1" x14ac:dyDescent="0.2">
      <c r="A5532" s="42">
        <v>5897</v>
      </c>
      <c r="B5532" s="42">
        <v>17418</v>
      </c>
      <c r="C5532" s="34" t="s">
        <v>5892</v>
      </c>
    </row>
    <row r="5533" spans="1:3" ht="15.75" customHeight="1" x14ac:dyDescent="0.2">
      <c r="A5533" s="42">
        <v>5898</v>
      </c>
      <c r="B5533" s="42">
        <v>17418</v>
      </c>
      <c r="C5533" s="34" t="s">
        <v>5893</v>
      </c>
    </row>
    <row r="5534" spans="1:3" ht="15.75" customHeight="1" x14ac:dyDescent="0.2">
      <c r="A5534" s="42">
        <v>5899</v>
      </c>
      <c r="B5534" s="42">
        <v>17418</v>
      </c>
      <c r="C5534" s="34" t="s">
        <v>5894</v>
      </c>
    </row>
    <row r="5535" spans="1:3" ht="15.75" customHeight="1" x14ac:dyDescent="0.2">
      <c r="A5535" s="42">
        <v>5900</v>
      </c>
      <c r="B5535" s="42">
        <v>17418</v>
      </c>
      <c r="C5535" s="34" t="s">
        <v>5887</v>
      </c>
    </row>
    <row r="5536" spans="1:3" ht="15.75" customHeight="1" x14ac:dyDescent="0.2">
      <c r="A5536" s="42">
        <v>5901</v>
      </c>
      <c r="B5536" s="42">
        <v>17418</v>
      </c>
      <c r="C5536" s="34" t="s">
        <v>5865</v>
      </c>
    </row>
    <row r="5537" spans="1:3" ht="15.75" customHeight="1" x14ac:dyDescent="0.2">
      <c r="A5537" s="42">
        <v>5902</v>
      </c>
      <c r="B5537" s="42">
        <v>17418</v>
      </c>
      <c r="C5537" s="34" t="s">
        <v>5895</v>
      </c>
    </row>
    <row r="5538" spans="1:3" ht="15.75" customHeight="1" x14ac:dyDescent="0.2">
      <c r="A5538" s="42">
        <v>5903</v>
      </c>
      <c r="B5538" s="42">
        <v>17418</v>
      </c>
      <c r="C5538" s="34" t="s">
        <v>5896</v>
      </c>
    </row>
    <row r="5539" spans="1:3" ht="15.75" customHeight="1" x14ac:dyDescent="0.2">
      <c r="A5539" s="42">
        <v>5904</v>
      </c>
      <c r="B5539" s="42">
        <v>17418</v>
      </c>
      <c r="C5539" s="34" t="s">
        <v>5897</v>
      </c>
    </row>
    <row r="5540" spans="1:3" ht="15.75" customHeight="1" x14ac:dyDescent="0.2">
      <c r="A5540" s="42">
        <v>5905</v>
      </c>
      <c r="B5540" s="42">
        <v>17418</v>
      </c>
      <c r="C5540" s="34" t="s">
        <v>5898</v>
      </c>
    </row>
    <row r="5541" spans="1:3" ht="15.75" customHeight="1" x14ac:dyDescent="0.2">
      <c r="A5541" s="42">
        <v>5906</v>
      </c>
      <c r="B5541" s="42">
        <v>17418</v>
      </c>
      <c r="C5541" s="34" t="s">
        <v>5899</v>
      </c>
    </row>
    <row r="5542" spans="1:3" ht="15.75" customHeight="1" x14ac:dyDescent="0.2">
      <c r="A5542" s="42">
        <v>5907</v>
      </c>
      <c r="B5542" s="42">
        <v>17418</v>
      </c>
      <c r="C5542" s="34" t="s">
        <v>5887</v>
      </c>
    </row>
    <row r="5543" spans="1:3" ht="15.75" customHeight="1" x14ac:dyDescent="0.2">
      <c r="A5543" s="42">
        <v>5908</v>
      </c>
      <c r="B5543" s="42">
        <v>17418</v>
      </c>
      <c r="C5543" s="34" t="s">
        <v>5865</v>
      </c>
    </row>
    <row r="5544" spans="1:3" ht="15.75" customHeight="1" x14ac:dyDescent="0.2">
      <c r="A5544" s="42">
        <v>5909</v>
      </c>
      <c r="B5544" s="42">
        <v>17418</v>
      </c>
      <c r="C5544" s="34" t="s">
        <v>5900</v>
      </c>
    </row>
    <row r="5545" spans="1:3" ht="15.75" customHeight="1" x14ac:dyDescent="0.2">
      <c r="A5545" s="42">
        <v>5910</v>
      </c>
      <c r="B5545" s="42">
        <v>17418</v>
      </c>
      <c r="C5545" s="34" t="s">
        <v>5901</v>
      </c>
    </row>
    <row r="5546" spans="1:3" ht="15.75" customHeight="1" x14ac:dyDescent="0.2">
      <c r="A5546" s="42">
        <v>5911</v>
      </c>
      <c r="B5546" s="42">
        <v>17418</v>
      </c>
      <c r="C5546" s="34" t="s">
        <v>5902</v>
      </c>
    </row>
    <row r="5547" spans="1:3" ht="15.75" customHeight="1" x14ac:dyDescent="0.2">
      <c r="A5547" s="42">
        <v>5912</v>
      </c>
      <c r="B5547" s="42">
        <v>17418</v>
      </c>
      <c r="C5547" s="34" t="s">
        <v>5865</v>
      </c>
    </row>
    <row r="5548" spans="1:3" ht="15.75" customHeight="1" x14ac:dyDescent="0.2">
      <c r="A5548" s="42">
        <v>5913</v>
      </c>
      <c r="B5548" s="42">
        <v>17418</v>
      </c>
      <c r="C5548" s="34" t="s">
        <v>5903</v>
      </c>
    </row>
    <row r="5549" spans="1:3" ht="15.75" customHeight="1" x14ac:dyDescent="0.2">
      <c r="A5549" s="42">
        <v>5914</v>
      </c>
      <c r="B5549" s="42">
        <v>17418</v>
      </c>
      <c r="C5549" s="34" t="s">
        <v>5904</v>
      </c>
    </row>
    <row r="5550" spans="1:3" ht="15.75" customHeight="1" x14ac:dyDescent="0.2">
      <c r="A5550" s="42">
        <v>5915</v>
      </c>
      <c r="B5550" s="42">
        <v>17418</v>
      </c>
      <c r="C5550" s="34" t="s">
        <v>5887</v>
      </c>
    </row>
    <row r="5551" spans="1:3" ht="15.75" customHeight="1" x14ac:dyDescent="0.2">
      <c r="A5551" s="42">
        <v>5916</v>
      </c>
      <c r="B5551" s="42">
        <v>17418</v>
      </c>
      <c r="C5551" s="34" t="s">
        <v>5880</v>
      </c>
    </row>
    <row r="5552" spans="1:3" ht="15.75" customHeight="1" x14ac:dyDescent="0.2">
      <c r="A5552" s="42">
        <v>5917</v>
      </c>
      <c r="B5552" s="42">
        <v>17418</v>
      </c>
      <c r="C5552" s="34" t="s">
        <v>5905</v>
      </c>
    </row>
    <row r="5553" spans="1:3" ht="15.75" customHeight="1" x14ac:dyDescent="0.2">
      <c r="A5553" s="42">
        <v>5918</v>
      </c>
      <c r="B5553" s="42">
        <v>17418</v>
      </c>
      <c r="C5553" s="34" t="s">
        <v>5906</v>
      </c>
    </row>
    <row r="5554" spans="1:3" ht="15.75" customHeight="1" x14ac:dyDescent="0.2">
      <c r="A5554" s="42">
        <v>5919</v>
      </c>
      <c r="B5554" s="42">
        <v>17418</v>
      </c>
      <c r="C5554" s="34" t="s">
        <v>5907</v>
      </c>
    </row>
    <row r="5555" spans="1:3" ht="15.75" customHeight="1" x14ac:dyDescent="0.2">
      <c r="A5555" s="42">
        <v>5920</v>
      </c>
      <c r="B5555" s="42">
        <v>17418</v>
      </c>
      <c r="C5555" s="34" t="s">
        <v>5887</v>
      </c>
    </row>
    <row r="5556" spans="1:3" ht="15.75" customHeight="1" x14ac:dyDescent="0.2">
      <c r="A5556" s="42">
        <v>5921</v>
      </c>
      <c r="B5556" s="42">
        <v>17418</v>
      </c>
      <c r="C5556" s="34" t="s">
        <v>5887</v>
      </c>
    </row>
    <row r="5557" spans="1:3" ht="15.75" customHeight="1" x14ac:dyDescent="0.2">
      <c r="A5557" s="42">
        <v>5922</v>
      </c>
      <c r="B5557" s="42">
        <v>17418</v>
      </c>
      <c r="C5557" s="34" t="s">
        <v>5865</v>
      </c>
    </row>
    <row r="5558" spans="1:3" ht="15.75" customHeight="1" x14ac:dyDescent="0.2">
      <c r="A5558" s="42">
        <v>5923</v>
      </c>
      <c r="B5558" s="42">
        <v>17418</v>
      </c>
      <c r="C5558" s="34" t="s">
        <v>5867</v>
      </c>
    </row>
    <row r="5559" spans="1:3" ht="15.75" customHeight="1" x14ac:dyDescent="0.2">
      <c r="A5559" s="42">
        <v>5924</v>
      </c>
      <c r="B5559" s="42">
        <v>17418</v>
      </c>
      <c r="C5559" s="34" t="s">
        <v>5908</v>
      </c>
    </row>
    <row r="5560" spans="1:3" ht="15.75" customHeight="1" x14ac:dyDescent="0.2">
      <c r="A5560" s="42">
        <v>5925</v>
      </c>
      <c r="B5560" s="42">
        <v>17418</v>
      </c>
      <c r="C5560" s="34" t="s">
        <v>5909</v>
      </c>
    </row>
    <row r="5561" spans="1:3" ht="15.75" customHeight="1" x14ac:dyDescent="0.2">
      <c r="A5561" s="42">
        <v>5926</v>
      </c>
      <c r="B5561" s="42">
        <v>17418</v>
      </c>
      <c r="C5561" s="34" t="s">
        <v>5867</v>
      </c>
    </row>
    <row r="5562" spans="1:3" ht="15.75" customHeight="1" x14ac:dyDescent="0.2">
      <c r="A5562" s="42">
        <v>5927</v>
      </c>
      <c r="B5562" s="42">
        <v>17418</v>
      </c>
      <c r="C5562" s="34" t="s">
        <v>5865</v>
      </c>
    </row>
    <row r="5563" spans="1:3" ht="15.75" customHeight="1" x14ac:dyDescent="0.2">
      <c r="A5563" s="42">
        <v>5928</v>
      </c>
      <c r="B5563" s="42">
        <v>17418</v>
      </c>
      <c r="C5563" s="34" t="s">
        <v>5875</v>
      </c>
    </row>
    <row r="5564" spans="1:3" ht="15.75" customHeight="1" x14ac:dyDescent="0.2">
      <c r="A5564" s="42">
        <v>5929</v>
      </c>
      <c r="B5564" s="42">
        <v>17418</v>
      </c>
      <c r="C5564" s="34" t="s">
        <v>5861</v>
      </c>
    </row>
    <row r="5565" spans="1:3" ht="15.75" customHeight="1" x14ac:dyDescent="0.2">
      <c r="A5565" s="42">
        <v>5930</v>
      </c>
      <c r="B5565" s="42">
        <v>17418</v>
      </c>
      <c r="C5565" s="34" t="s">
        <v>5868</v>
      </c>
    </row>
    <row r="5566" spans="1:3" ht="15.75" customHeight="1" x14ac:dyDescent="0.2">
      <c r="A5566" s="42">
        <v>5931</v>
      </c>
      <c r="B5566" s="42">
        <v>17418</v>
      </c>
      <c r="C5566" s="34" t="s">
        <v>5873</v>
      </c>
    </row>
    <row r="5567" spans="1:3" ht="15.75" customHeight="1" x14ac:dyDescent="0.2">
      <c r="A5567" s="42">
        <v>5932</v>
      </c>
      <c r="B5567" s="42">
        <v>17418</v>
      </c>
      <c r="C5567" s="34" t="s">
        <v>5910</v>
      </c>
    </row>
    <row r="5568" spans="1:3" ht="15.75" customHeight="1" x14ac:dyDescent="0.2">
      <c r="A5568" s="42">
        <v>5933</v>
      </c>
      <c r="B5568" s="42">
        <v>17418</v>
      </c>
      <c r="C5568" s="34" t="s">
        <v>5911</v>
      </c>
    </row>
    <row r="5569" spans="1:3" ht="15.75" customHeight="1" x14ac:dyDescent="0.2">
      <c r="A5569" s="42">
        <v>5934</v>
      </c>
      <c r="B5569" s="42">
        <v>17419</v>
      </c>
      <c r="C5569" s="34" t="s">
        <v>5912</v>
      </c>
    </row>
    <row r="5570" spans="1:3" ht="15.75" customHeight="1" x14ac:dyDescent="0.2">
      <c r="A5570" s="42">
        <v>5935</v>
      </c>
      <c r="B5570" s="42">
        <v>17419</v>
      </c>
      <c r="C5570" s="34" t="s">
        <v>5913</v>
      </c>
    </row>
    <row r="5571" spans="1:3" ht="15.75" customHeight="1" x14ac:dyDescent="0.2">
      <c r="A5571" s="42">
        <v>5936</v>
      </c>
      <c r="B5571" s="42">
        <v>17419</v>
      </c>
      <c r="C5571" s="34" t="s">
        <v>5914</v>
      </c>
    </row>
    <row r="5572" spans="1:3" ht="15.75" customHeight="1" x14ac:dyDescent="0.2">
      <c r="A5572" s="42">
        <v>5937</v>
      </c>
      <c r="B5572" s="42">
        <v>17419</v>
      </c>
      <c r="C5572" s="34" t="s">
        <v>5915</v>
      </c>
    </row>
    <row r="5573" spans="1:3" ht="15.75" customHeight="1" x14ac:dyDescent="0.2">
      <c r="A5573" s="42">
        <v>5938</v>
      </c>
      <c r="B5573" s="42">
        <v>17419</v>
      </c>
      <c r="C5573" s="34" t="s">
        <v>5916</v>
      </c>
    </row>
    <row r="5574" spans="1:3" ht="15.75" customHeight="1" x14ac:dyDescent="0.2">
      <c r="A5574" s="42">
        <v>5939</v>
      </c>
      <c r="B5574" s="42">
        <v>17419</v>
      </c>
      <c r="C5574" s="34" t="s">
        <v>5917</v>
      </c>
    </row>
    <row r="5575" spans="1:3" ht="15.75" customHeight="1" x14ac:dyDescent="0.2">
      <c r="A5575" s="42">
        <v>5940</v>
      </c>
      <c r="B5575" s="42">
        <v>17419</v>
      </c>
      <c r="C5575" s="34" t="s">
        <v>5918</v>
      </c>
    </row>
    <row r="5576" spans="1:3" ht="15.75" customHeight="1" x14ac:dyDescent="0.2">
      <c r="A5576" s="42">
        <v>5941</v>
      </c>
      <c r="B5576" s="42">
        <v>17419</v>
      </c>
      <c r="C5576" s="34" t="s">
        <v>5919</v>
      </c>
    </row>
    <row r="5577" spans="1:3" ht="15.75" customHeight="1" x14ac:dyDescent="0.2">
      <c r="A5577" s="42">
        <v>5942</v>
      </c>
      <c r="B5577" s="42">
        <v>17419</v>
      </c>
      <c r="C5577" s="34" t="s">
        <v>5920</v>
      </c>
    </row>
    <row r="5578" spans="1:3" ht="15.75" customHeight="1" x14ac:dyDescent="0.2">
      <c r="A5578" s="42">
        <v>5943</v>
      </c>
      <c r="B5578" s="42">
        <v>17419</v>
      </c>
      <c r="C5578" s="34" t="s">
        <v>5921</v>
      </c>
    </row>
    <row r="5579" spans="1:3" ht="15.75" customHeight="1" x14ac:dyDescent="0.2">
      <c r="A5579" s="42">
        <v>5944</v>
      </c>
      <c r="B5579" s="42">
        <v>17419</v>
      </c>
      <c r="C5579" s="34" t="s">
        <v>5922</v>
      </c>
    </row>
    <row r="5580" spans="1:3" ht="15.75" customHeight="1" x14ac:dyDescent="0.2">
      <c r="A5580" s="42">
        <v>5945</v>
      </c>
      <c r="B5580" s="42">
        <v>17419</v>
      </c>
      <c r="C5580" s="34" t="s">
        <v>5923</v>
      </c>
    </row>
    <row r="5581" spans="1:3" ht="15.75" customHeight="1" x14ac:dyDescent="0.2">
      <c r="A5581" s="42">
        <v>5946</v>
      </c>
      <c r="B5581" s="42">
        <v>17419</v>
      </c>
      <c r="C5581" s="34" t="s">
        <v>5924</v>
      </c>
    </row>
    <row r="5582" spans="1:3" ht="15.75" customHeight="1" x14ac:dyDescent="0.2">
      <c r="A5582" s="42">
        <v>5947</v>
      </c>
      <c r="B5582" s="42">
        <v>17419</v>
      </c>
      <c r="C5582" s="34" t="s">
        <v>5925</v>
      </c>
    </row>
    <row r="5583" spans="1:3" ht="15.75" customHeight="1" x14ac:dyDescent="0.2">
      <c r="A5583" s="42">
        <v>5948</v>
      </c>
      <c r="B5583" s="42">
        <v>17419</v>
      </c>
      <c r="C5583" s="34" t="s">
        <v>5926</v>
      </c>
    </row>
    <row r="5584" spans="1:3" ht="15.75" customHeight="1" x14ac:dyDescent="0.2">
      <c r="A5584" s="42">
        <v>5949</v>
      </c>
      <c r="B5584" s="42">
        <v>17419</v>
      </c>
      <c r="C5584" s="34" t="s">
        <v>5927</v>
      </c>
    </row>
    <row r="5585" spans="1:3" ht="15.75" customHeight="1" x14ac:dyDescent="0.2">
      <c r="A5585" s="42">
        <v>5950</v>
      </c>
      <c r="B5585" s="42">
        <v>17419</v>
      </c>
      <c r="C5585" s="34" t="s">
        <v>5928</v>
      </c>
    </row>
    <row r="5586" spans="1:3" ht="15.75" customHeight="1" x14ac:dyDescent="0.2">
      <c r="A5586" s="42">
        <v>5951</v>
      </c>
      <c r="B5586" s="42">
        <v>17419</v>
      </c>
      <c r="C5586" s="34" t="s">
        <v>5920</v>
      </c>
    </row>
    <row r="5587" spans="1:3" ht="15.75" customHeight="1" x14ac:dyDescent="0.2">
      <c r="A5587" s="42">
        <v>5952</v>
      </c>
      <c r="B5587" s="42">
        <v>17419</v>
      </c>
      <c r="C5587" s="34" t="s">
        <v>5929</v>
      </c>
    </row>
    <row r="5588" spans="1:3" ht="15.75" customHeight="1" x14ac:dyDescent="0.2">
      <c r="A5588" s="42">
        <v>5953</v>
      </c>
      <c r="B5588" s="42">
        <v>17419</v>
      </c>
      <c r="C5588" s="34" t="s">
        <v>5930</v>
      </c>
    </row>
    <row r="5589" spans="1:3" ht="15.75" customHeight="1" x14ac:dyDescent="0.2">
      <c r="A5589" s="42">
        <v>5954</v>
      </c>
      <c r="B5589" s="42">
        <v>17419</v>
      </c>
      <c r="C5589" s="34" t="s">
        <v>5931</v>
      </c>
    </row>
    <row r="5590" spans="1:3" ht="15.75" customHeight="1" x14ac:dyDescent="0.2">
      <c r="A5590" s="42">
        <v>5955</v>
      </c>
      <c r="B5590" s="42">
        <v>17419</v>
      </c>
      <c r="C5590" s="34" t="s">
        <v>5932</v>
      </c>
    </row>
    <row r="5591" spans="1:3" ht="15.75" customHeight="1" x14ac:dyDescent="0.2">
      <c r="A5591" s="42">
        <v>5956</v>
      </c>
      <c r="B5591" s="42">
        <v>17419</v>
      </c>
      <c r="C5591" s="34" t="s">
        <v>5933</v>
      </c>
    </row>
    <row r="5592" spans="1:3" ht="15.75" customHeight="1" x14ac:dyDescent="0.2">
      <c r="A5592" s="42">
        <v>5957</v>
      </c>
      <c r="B5592" s="42">
        <v>17419</v>
      </c>
      <c r="C5592" s="34" t="s">
        <v>5934</v>
      </c>
    </row>
    <row r="5593" spans="1:3" ht="15.75" customHeight="1" x14ac:dyDescent="0.2">
      <c r="A5593" s="42">
        <v>5958</v>
      </c>
      <c r="B5593" s="42">
        <v>17419</v>
      </c>
      <c r="C5593" s="34" t="s">
        <v>5935</v>
      </c>
    </row>
    <row r="5594" spans="1:3" ht="15.75" customHeight="1" x14ac:dyDescent="0.2">
      <c r="A5594" s="42">
        <v>5959</v>
      </c>
      <c r="B5594" s="42">
        <v>17419</v>
      </c>
      <c r="C5594" s="34" t="s">
        <v>5936</v>
      </c>
    </row>
    <row r="5595" spans="1:3" ht="15.75" customHeight="1" x14ac:dyDescent="0.2">
      <c r="A5595" s="42">
        <v>5960</v>
      </c>
      <c r="B5595" s="42">
        <v>17419</v>
      </c>
      <c r="C5595" s="34" t="s">
        <v>5937</v>
      </c>
    </row>
    <row r="5596" spans="1:3" ht="15.75" customHeight="1" x14ac:dyDescent="0.2">
      <c r="A5596" s="42">
        <v>5961</v>
      </c>
      <c r="B5596" s="42">
        <v>17419</v>
      </c>
      <c r="C5596" s="34" t="s">
        <v>5938</v>
      </c>
    </row>
    <row r="5597" spans="1:3" ht="15.75" customHeight="1" x14ac:dyDescent="0.2">
      <c r="A5597" s="42">
        <v>5962</v>
      </c>
      <c r="B5597" s="42">
        <v>17419</v>
      </c>
      <c r="C5597" s="34" t="s">
        <v>5939</v>
      </c>
    </row>
    <row r="5598" spans="1:3" ht="15.75" customHeight="1" x14ac:dyDescent="0.2">
      <c r="A5598" s="42">
        <v>5963</v>
      </c>
      <c r="B5598" s="42">
        <v>17419</v>
      </c>
      <c r="C5598" s="34" t="s">
        <v>5940</v>
      </c>
    </row>
    <row r="5599" spans="1:3" ht="15.75" customHeight="1" x14ac:dyDescent="0.2">
      <c r="A5599" s="42">
        <v>5964</v>
      </c>
      <c r="B5599" s="42">
        <v>17419</v>
      </c>
      <c r="C5599" s="34" t="s">
        <v>5941</v>
      </c>
    </row>
    <row r="5600" spans="1:3" ht="15.75" customHeight="1" x14ac:dyDescent="0.2">
      <c r="A5600" s="42">
        <v>5965</v>
      </c>
      <c r="B5600" s="42">
        <v>17419</v>
      </c>
      <c r="C5600" s="34" t="s">
        <v>5942</v>
      </c>
    </row>
    <row r="5601" spans="1:3" ht="15.75" customHeight="1" x14ac:dyDescent="0.2">
      <c r="A5601" s="42">
        <v>5966</v>
      </c>
      <c r="B5601" s="42">
        <v>17419</v>
      </c>
      <c r="C5601" s="34" t="s">
        <v>5943</v>
      </c>
    </row>
    <row r="5602" spans="1:3" ht="15.75" customHeight="1" x14ac:dyDescent="0.2">
      <c r="A5602" s="42">
        <v>5967</v>
      </c>
      <c r="B5602" s="42">
        <v>17419</v>
      </c>
      <c r="C5602" s="34" t="s">
        <v>5944</v>
      </c>
    </row>
    <row r="5603" spans="1:3" ht="15.75" customHeight="1" x14ac:dyDescent="0.2">
      <c r="A5603" s="42">
        <v>5968</v>
      </c>
      <c r="B5603" s="42">
        <v>17419</v>
      </c>
      <c r="C5603" s="34" t="s">
        <v>5945</v>
      </c>
    </row>
    <row r="5604" spans="1:3" ht="15.75" customHeight="1" x14ac:dyDescent="0.2">
      <c r="A5604" s="42">
        <v>5969</v>
      </c>
      <c r="B5604" s="42">
        <v>17419</v>
      </c>
      <c r="C5604" s="34" t="s">
        <v>5946</v>
      </c>
    </row>
    <row r="5605" spans="1:3" ht="15.75" customHeight="1" x14ac:dyDescent="0.2">
      <c r="A5605" s="42">
        <v>5970</v>
      </c>
      <c r="B5605" s="42">
        <v>17419</v>
      </c>
      <c r="C5605" s="34" t="s">
        <v>5947</v>
      </c>
    </row>
    <row r="5606" spans="1:3" ht="15.75" customHeight="1" x14ac:dyDescent="0.2">
      <c r="A5606" s="42">
        <v>5971</v>
      </c>
      <c r="B5606" s="42">
        <v>17419</v>
      </c>
      <c r="C5606" s="34" t="s">
        <v>5948</v>
      </c>
    </row>
    <row r="5607" spans="1:3" ht="15.75" customHeight="1" x14ac:dyDescent="0.2">
      <c r="A5607" s="42">
        <v>5972</v>
      </c>
      <c r="B5607" s="42">
        <v>17419</v>
      </c>
      <c r="C5607" s="34" t="s">
        <v>5949</v>
      </c>
    </row>
    <row r="5608" spans="1:3" ht="15.75" customHeight="1" x14ac:dyDescent="0.2">
      <c r="A5608" s="42">
        <v>5973</v>
      </c>
      <c r="B5608" s="42">
        <v>17419</v>
      </c>
      <c r="C5608" s="34" t="s">
        <v>5950</v>
      </c>
    </row>
    <row r="5609" spans="1:3" ht="15.75" customHeight="1" x14ac:dyDescent="0.2">
      <c r="A5609" s="42">
        <v>5974</v>
      </c>
      <c r="B5609" s="42">
        <v>17419</v>
      </c>
      <c r="C5609" s="34" t="s">
        <v>5951</v>
      </c>
    </row>
    <row r="5610" spans="1:3" ht="15.75" customHeight="1" x14ac:dyDescent="0.2">
      <c r="A5610" s="42">
        <v>5975</v>
      </c>
      <c r="B5610" s="42">
        <v>17419</v>
      </c>
      <c r="C5610" s="34" t="s">
        <v>5952</v>
      </c>
    </row>
    <row r="5611" spans="1:3" ht="15.75" customHeight="1" x14ac:dyDescent="0.2">
      <c r="A5611" s="42">
        <v>5976</v>
      </c>
      <c r="B5611" s="42">
        <v>17419</v>
      </c>
      <c r="C5611" s="34" t="s">
        <v>5953</v>
      </c>
    </row>
    <row r="5612" spans="1:3" ht="15.75" customHeight="1" x14ac:dyDescent="0.2">
      <c r="A5612" s="42">
        <v>5977</v>
      </c>
      <c r="B5612" s="42">
        <v>17419</v>
      </c>
      <c r="C5612" s="34" t="s">
        <v>5954</v>
      </c>
    </row>
    <row r="5613" spans="1:3" ht="15.75" customHeight="1" x14ac:dyDescent="0.2">
      <c r="A5613" s="42">
        <v>5978</v>
      </c>
      <c r="B5613" s="42">
        <v>17419</v>
      </c>
      <c r="C5613" s="34" t="s">
        <v>5955</v>
      </c>
    </row>
    <row r="5614" spans="1:3" ht="15.75" customHeight="1" x14ac:dyDescent="0.2">
      <c r="A5614" s="42">
        <v>5979</v>
      </c>
      <c r="B5614" s="42">
        <v>17419</v>
      </c>
      <c r="C5614" s="34" t="s">
        <v>5956</v>
      </c>
    </row>
    <row r="5615" spans="1:3" ht="15.75" customHeight="1" x14ac:dyDescent="0.2">
      <c r="A5615" s="42">
        <v>5980</v>
      </c>
      <c r="B5615" s="42">
        <v>17419</v>
      </c>
      <c r="C5615" s="34" t="s">
        <v>5938</v>
      </c>
    </row>
    <row r="5616" spans="1:3" ht="15.75" customHeight="1" x14ac:dyDescent="0.2">
      <c r="A5616" s="42">
        <v>5981</v>
      </c>
      <c r="B5616" s="42">
        <v>17419</v>
      </c>
      <c r="C5616" s="34" t="s">
        <v>5957</v>
      </c>
    </row>
    <row r="5617" spans="1:3" ht="15.75" customHeight="1" x14ac:dyDescent="0.2">
      <c r="A5617" s="42">
        <v>5982</v>
      </c>
      <c r="B5617" s="42">
        <v>17419</v>
      </c>
      <c r="C5617" s="34" t="s">
        <v>5958</v>
      </c>
    </row>
    <row r="5618" spans="1:3" ht="15.75" customHeight="1" x14ac:dyDescent="0.2">
      <c r="A5618" s="42">
        <v>5983</v>
      </c>
      <c r="B5618" s="42">
        <v>17419</v>
      </c>
      <c r="C5618" s="34" t="s">
        <v>5959</v>
      </c>
    </row>
    <row r="5619" spans="1:3" ht="15.75" customHeight="1" x14ac:dyDescent="0.2">
      <c r="A5619" s="42">
        <v>5984</v>
      </c>
      <c r="B5619" s="42">
        <v>17419</v>
      </c>
      <c r="C5619" s="34" t="s">
        <v>5960</v>
      </c>
    </row>
    <row r="5620" spans="1:3" ht="15.75" customHeight="1" x14ac:dyDescent="0.2">
      <c r="A5620" s="42">
        <v>5985</v>
      </c>
      <c r="B5620" s="42">
        <v>17419</v>
      </c>
      <c r="C5620" s="34" t="s">
        <v>5961</v>
      </c>
    </row>
    <row r="5621" spans="1:3" ht="15.75" customHeight="1" x14ac:dyDescent="0.2">
      <c r="A5621" s="42">
        <v>5986</v>
      </c>
      <c r="B5621" s="42">
        <v>17419</v>
      </c>
      <c r="C5621" s="34" t="s">
        <v>5962</v>
      </c>
    </row>
    <row r="5622" spans="1:3" ht="15.75" customHeight="1" x14ac:dyDescent="0.2">
      <c r="A5622" s="42">
        <v>5987</v>
      </c>
      <c r="B5622" s="42">
        <v>17419</v>
      </c>
      <c r="C5622" s="34" t="s">
        <v>5963</v>
      </c>
    </row>
    <row r="5623" spans="1:3" ht="15.75" customHeight="1" x14ac:dyDescent="0.2">
      <c r="A5623" s="42">
        <v>5988</v>
      </c>
      <c r="B5623" s="42">
        <v>17419</v>
      </c>
      <c r="C5623" s="34" t="s">
        <v>5964</v>
      </c>
    </row>
    <row r="5624" spans="1:3" ht="15.75" customHeight="1" x14ac:dyDescent="0.2">
      <c r="A5624" s="42">
        <v>5989</v>
      </c>
      <c r="B5624" s="42">
        <v>17419</v>
      </c>
      <c r="C5624" s="34" t="s">
        <v>5965</v>
      </c>
    </row>
    <row r="5625" spans="1:3" ht="15.75" customHeight="1" x14ac:dyDescent="0.2">
      <c r="A5625" s="42">
        <v>5990</v>
      </c>
      <c r="B5625" s="42">
        <v>17419</v>
      </c>
      <c r="C5625" s="34" t="s">
        <v>5966</v>
      </c>
    </row>
    <row r="5626" spans="1:3" ht="15.75" customHeight="1" x14ac:dyDescent="0.2">
      <c r="A5626" s="42">
        <v>5991</v>
      </c>
      <c r="B5626" s="42">
        <v>17419</v>
      </c>
      <c r="C5626" s="34" t="s">
        <v>5967</v>
      </c>
    </row>
    <row r="5627" spans="1:3" ht="15.75" customHeight="1" x14ac:dyDescent="0.2">
      <c r="A5627" s="42">
        <v>5992</v>
      </c>
      <c r="B5627" s="42">
        <v>17419</v>
      </c>
      <c r="C5627" s="34" t="s">
        <v>5968</v>
      </c>
    </row>
    <row r="5628" spans="1:3" ht="15.75" customHeight="1" x14ac:dyDescent="0.2">
      <c r="A5628" s="42">
        <v>5993</v>
      </c>
      <c r="B5628" s="42">
        <v>17419</v>
      </c>
      <c r="C5628" s="34" t="s">
        <v>5969</v>
      </c>
    </row>
    <row r="5629" spans="1:3" ht="15.75" customHeight="1" x14ac:dyDescent="0.2">
      <c r="A5629" s="42">
        <v>5994</v>
      </c>
      <c r="B5629" s="42">
        <v>17419</v>
      </c>
      <c r="C5629" s="34" t="s">
        <v>5970</v>
      </c>
    </row>
    <row r="5630" spans="1:3" ht="15.75" customHeight="1" x14ac:dyDescent="0.2">
      <c r="A5630" s="42">
        <v>5995</v>
      </c>
      <c r="B5630" s="42">
        <v>17419</v>
      </c>
      <c r="C5630" s="34" t="s">
        <v>5971</v>
      </c>
    </row>
    <row r="5631" spans="1:3" ht="15.75" customHeight="1" x14ac:dyDescent="0.2">
      <c r="A5631" s="42">
        <v>5996</v>
      </c>
      <c r="B5631" s="42">
        <v>17419</v>
      </c>
      <c r="C5631" s="34" t="s">
        <v>5972</v>
      </c>
    </row>
    <row r="5632" spans="1:3" ht="15.75" customHeight="1" x14ac:dyDescent="0.2">
      <c r="A5632" s="42">
        <v>5997</v>
      </c>
      <c r="B5632" s="42">
        <v>17419</v>
      </c>
      <c r="C5632" s="34" t="s">
        <v>5973</v>
      </c>
    </row>
    <row r="5633" spans="1:3" ht="15.75" customHeight="1" x14ac:dyDescent="0.2">
      <c r="A5633" s="42">
        <v>5998</v>
      </c>
      <c r="B5633" s="42">
        <v>17419</v>
      </c>
      <c r="C5633" s="34" t="s">
        <v>5974</v>
      </c>
    </row>
    <row r="5634" spans="1:3" ht="15.75" customHeight="1" x14ac:dyDescent="0.2">
      <c r="A5634" s="42">
        <v>5999</v>
      </c>
      <c r="B5634" s="42">
        <v>17419</v>
      </c>
      <c r="C5634" s="34" t="s">
        <v>5975</v>
      </c>
    </row>
    <row r="5635" spans="1:3" ht="15.75" customHeight="1" x14ac:dyDescent="0.2">
      <c r="A5635" s="42">
        <v>6000</v>
      </c>
      <c r="B5635" s="42">
        <v>17419</v>
      </c>
      <c r="C5635" s="34" t="s">
        <v>5976</v>
      </c>
    </row>
    <row r="5636" spans="1:3" ht="15.75" customHeight="1" x14ac:dyDescent="0.2">
      <c r="A5636" s="42">
        <v>6001</v>
      </c>
      <c r="B5636" s="42">
        <v>17419</v>
      </c>
      <c r="C5636" s="34" t="s">
        <v>5977</v>
      </c>
    </row>
    <row r="5637" spans="1:3" ht="15.75" customHeight="1" x14ac:dyDescent="0.2">
      <c r="A5637" s="42">
        <v>6002</v>
      </c>
      <c r="B5637" s="42">
        <v>17419</v>
      </c>
      <c r="C5637" s="34" t="s">
        <v>5978</v>
      </c>
    </row>
    <row r="5638" spans="1:3" ht="15.75" customHeight="1" x14ac:dyDescent="0.2">
      <c r="A5638" s="42">
        <v>6003</v>
      </c>
      <c r="B5638" s="42">
        <v>17419</v>
      </c>
      <c r="C5638" s="34" t="s">
        <v>5918</v>
      </c>
    </row>
    <row r="5639" spans="1:3" ht="15.75" customHeight="1" x14ac:dyDescent="0.2">
      <c r="A5639" s="42">
        <v>6004</v>
      </c>
      <c r="B5639" s="42">
        <v>17419</v>
      </c>
      <c r="C5639" s="34" t="s">
        <v>5979</v>
      </c>
    </row>
    <row r="5640" spans="1:3" ht="15.75" customHeight="1" x14ac:dyDescent="0.2">
      <c r="A5640" s="42">
        <v>6005</v>
      </c>
      <c r="B5640" s="42">
        <v>17419</v>
      </c>
      <c r="C5640" s="34" t="s">
        <v>5980</v>
      </c>
    </row>
    <row r="5641" spans="1:3" ht="15.75" customHeight="1" x14ac:dyDescent="0.2">
      <c r="A5641" s="42">
        <v>6006</v>
      </c>
      <c r="B5641" s="42">
        <v>17419</v>
      </c>
      <c r="C5641" s="34" t="s">
        <v>5981</v>
      </c>
    </row>
    <row r="5642" spans="1:3" ht="15.75" customHeight="1" x14ac:dyDescent="0.2">
      <c r="A5642" s="42">
        <v>6007</v>
      </c>
      <c r="B5642" s="42">
        <v>17420</v>
      </c>
      <c r="C5642" s="34" t="s">
        <v>5982</v>
      </c>
    </row>
    <row r="5643" spans="1:3" ht="15.75" customHeight="1" x14ac:dyDescent="0.2">
      <c r="A5643" s="42">
        <v>6008</v>
      </c>
      <c r="B5643" s="42">
        <v>17420</v>
      </c>
      <c r="C5643" s="34" t="s">
        <v>5983</v>
      </c>
    </row>
    <row r="5644" spans="1:3" ht="15.75" customHeight="1" x14ac:dyDescent="0.2">
      <c r="A5644" s="42">
        <v>6009</v>
      </c>
      <c r="B5644" s="42">
        <v>17420</v>
      </c>
      <c r="C5644" s="34" t="s">
        <v>5984</v>
      </c>
    </row>
    <row r="5645" spans="1:3" ht="15.75" customHeight="1" x14ac:dyDescent="0.2">
      <c r="A5645" s="42">
        <v>6010</v>
      </c>
      <c r="B5645" s="42">
        <v>17420</v>
      </c>
      <c r="C5645" s="34" t="s">
        <v>5985</v>
      </c>
    </row>
    <row r="5646" spans="1:3" ht="15.75" customHeight="1" x14ac:dyDescent="0.2">
      <c r="A5646" s="42">
        <v>6011</v>
      </c>
      <c r="B5646" s="42">
        <v>17420</v>
      </c>
      <c r="C5646" s="34" t="s">
        <v>5986</v>
      </c>
    </row>
    <row r="5647" spans="1:3" ht="15.75" customHeight="1" x14ac:dyDescent="0.2">
      <c r="A5647" s="42">
        <v>6012</v>
      </c>
      <c r="B5647" s="42">
        <v>17420</v>
      </c>
      <c r="C5647" s="34" t="s">
        <v>5987</v>
      </c>
    </row>
    <row r="5648" spans="1:3" ht="15.75" customHeight="1" x14ac:dyDescent="0.2">
      <c r="A5648" s="42">
        <v>6013</v>
      </c>
      <c r="B5648" s="42">
        <v>17420</v>
      </c>
      <c r="C5648" s="34" t="s">
        <v>5988</v>
      </c>
    </row>
    <row r="5649" spans="1:3" ht="15.75" customHeight="1" x14ac:dyDescent="0.2">
      <c r="A5649" s="42">
        <v>6014</v>
      </c>
      <c r="B5649" s="42">
        <v>17420</v>
      </c>
      <c r="C5649" s="34" t="s">
        <v>5989</v>
      </c>
    </row>
    <row r="5650" spans="1:3" ht="15.75" customHeight="1" x14ac:dyDescent="0.2">
      <c r="A5650" s="42">
        <v>6015</v>
      </c>
      <c r="B5650" s="42">
        <v>17420</v>
      </c>
      <c r="C5650" s="34" t="s">
        <v>5990</v>
      </c>
    </row>
    <row r="5651" spans="1:3" ht="15.75" customHeight="1" x14ac:dyDescent="0.2">
      <c r="A5651" s="42">
        <v>6016</v>
      </c>
      <c r="B5651" s="42">
        <v>17420</v>
      </c>
      <c r="C5651" s="34" t="s">
        <v>5991</v>
      </c>
    </row>
    <row r="5652" spans="1:3" ht="15.75" customHeight="1" x14ac:dyDescent="0.2">
      <c r="A5652" s="42">
        <v>6017</v>
      </c>
      <c r="B5652" s="42">
        <v>17420</v>
      </c>
      <c r="C5652" s="34" t="s">
        <v>5992</v>
      </c>
    </row>
    <row r="5653" spans="1:3" ht="15.75" customHeight="1" x14ac:dyDescent="0.2">
      <c r="A5653" s="42">
        <v>6018</v>
      </c>
      <c r="B5653" s="42">
        <v>17420</v>
      </c>
      <c r="C5653" s="34" t="s">
        <v>5993</v>
      </c>
    </row>
    <row r="5654" spans="1:3" ht="15.75" customHeight="1" x14ac:dyDescent="0.2">
      <c r="A5654" s="42">
        <v>6019</v>
      </c>
      <c r="B5654" s="42">
        <v>17420</v>
      </c>
      <c r="C5654" s="34" t="s">
        <v>5994</v>
      </c>
    </row>
    <row r="5655" spans="1:3" ht="15.75" customHeight="1" x14ac:dyDescent="0.2">
      <c r="A5655" s="42">
        <v>6020</v>
      </c>
      <c r="B5655" s="42">
        <v>17420</v>
      </c>
      <c r="C5655" s="34" t="s">
        <v>5995</v>
      </c>
    </row>
    <row r="5656" spans="1:3" ht="15.75" customHeight="1" x14ac:dyDescent="0.2">
      <c r="A5656" s="42">
        <v>6021</v>
      </c>
      <c r="B5656" s="42">
        <v>17420</v>
      </c>
      <c r="C5656" s="34" t="s">
        <v>5996</v>
      </c>
    </row>
    <row r="5657" spans="1:3" ht="15.75" customHeight="1" x14ac:dyDescent="0.2">
      <c r="A5657" s="42">
        <v>6022</v>
      </c>
      <c r="B5657" s="42">
        <v>17420</v>
      </c>
      <c r="C5657" s="34" t="s">
        <v>5997</v>
      </c>
    </row>
    <row r="5658" spans="1:3" ht="15.75" customHeight="1" x14ac:dyDescent="0.2">
      <c r="A5658" s="42">
        <v>6023</v>
      </c>
      <c r="B5658" s="42">
        <v>17420</v>
      </c>
      <c r="C5658" s="34" t="s">
        <v>5998</v>
      </c>
    </row>
    <row r="5659" spans="1:3" ht="15.75" customHeight="1" x14ac:dyDescent="0.2">
      <c r="A5659" s="42">
        <v>6024</v>
      </c>
      <c r="B5659" s="42">
        <v>17420</v>
      </c>
      <c r="C5659" s="34" t="s">
        <v>5999</v>
      </c>
    </row>
    <row r="5660" spans="1:3" ht="15.75" customHeight="1" x14ac:dyDescent="0.2">
      <c r="A5660" s="42">
        <v>6025</v>
      </c>
      <c r="B5660" s="42">
        <v>17420</v>
      </c>
      <c r="C5660" s="34" t="s">
        <v>6000</v>
      </c>
    </row>
    <row r="5661" spans="1:3" ht="15.75" customHeight="1" x14ac:dyDescent="0.2">
      <c r="A5661" s="42">
        <v>6026</v>
      </c>
      <c r="B5661" s="42">
        <v>17420</v>
      </c>
      <c r="C5661" s="34" t="s">
        <v>6001</v>
      </c>
    </row>
    <row r="5662" spans="1:3" ht="15.75" customHeight="1" x14ac:dyDescent="0.2">
      <c r="A5662" s="42">
        <v>6027</v>
      </c>
      <c r="B5662" s="42">
        <v>17420</v>
      </c>
      <c r="C5662" s="34" t="s">
        <v>6002</v>
      </c>
    </row>
    <row r="5663" spans="1:3" ht="15.75" customHeight="1" x14ac:dyDescent="0.2">
      <c r="A5663" s="42">
        <v>6028</v>
      </c>
      <c r="B5663" s="42">
        <v>17420</v>
      </c>
      <c r="C5663" s="34" t="s">
        <v>6003</v>
      </c>
    </row>
    <row r="5664" spans="1:3" ht="15.75" customHeight="1" x14ac:dyDescent="0.2">
      <c r="A5664" s="42">
        <v>6029</v>
      </c>
      <c r="B5664" s="42">
        <v>17420</v>
      </c>
      <c r="C5664" s="34" t="s">
        <v>6004</v>
      </c>
    </row>
    <row r="5665" spans="1:3" ht="15.75" customHeight="1" x14ac:dyDescent="0.2">
      <c r="A5665" s="42">
        <v>6030</v>
      </c>
      <c r="B5665" s="42">
        <v>17420</v>
      </c>
      <c r="C5665" s="34" t="s">
        <v>6005</v>
      </c>
    </row>
    <row r="5666" spans="1:3" ht="15.75" customHeight="1" x14ac:dyDescent="0.2">
      <c r="A5666" s="42">
        <v>6031</v>
      </c>
      <c r="B5666" s="42">
        <v>17420</v>
      </c>
      <c r="C5666" s="34" t="s">
        <v>6006</v>
      </c>
    </row>
    <row r="5667" spans="1:3" ht="15.75" customHeight="1" x14ac:dyDescent="0.2">
      <c r="A5667" s="42">
        <v>6032</v>
      </c>
      <c r="B5667" s="42">
        <v>17420</v>
      </c>
      <c r="C5667" s="34" t="s">
        <v>6007</v>
      </c>
    </row>
    <row r="5668" spans="1:3" ht="15.75" customHeight="1" x14ac:dyDescent="0.2">
      <c r="A5668" s="42">
        <v>6033</v>
      </c>
      <c r="B5668" s="42">
        <v>17420</v>
      </c>
      <c r="C5668" s="34" t="s">
        <v>6008</v>
      </c>
    </row>
    <row r="5669" spans="1:3" ht="15.75" customHeight="1" x14ac:dyDescent="0.2">
      <c r="A5669" s="42">
        <v>6034</v>
      </c>
      <c r="B5669" s="42">
        <v>17420</v>
      </c>
      <c r="C5669" s="34" t="s">
        <v>6009</v>
      </c>
    </row>
    <row r="5670" spans="1:3" ht="15.75" customHeight="1" x14ac:dyDescent="0.2">
      <c r="A5670" s="42">
        <v>6035</v>
      </c>
      <c r="B5670" s="42">
        <v>17420</v>
      </c>
      <c r="C5670" s="34" t="s">
        <v>6010</v>
      </c>
    </row>
    <row r="5671" spans="1:3" ht="15.75" customHeight="1" x14ac:dyDescent="0.2">
      <c r="A5671" s="42">
        <v>6036</v>
      </c>
      <c r="B5671" s="42">
        <v>17420</v>
      </c>
      <c r="C5671" s="34" t="s">
        <v>6011</v>
      </c>
    </row>
    <row r="5672" spans="1:3" ht="15.75" customHeight="1" x14ac:dyDescent="0.2">
      <c r="A5672" s="42">
        <v>6037</v>
      </c>
      <c r="B5672" s="42">
        <v>17420</v>
      </c>
      <c r="C5672" s="34" t="s">
        <v>6012</v>
      </c>
    </row>
    <row r="5673" spans="1:3" ht="15.75" customHeight="1" x14ac:dyDescent="0.2">
      <c r="A5673" s="42">
        <v>6038</v>
      </c>
      <c r="B5673" s="42">
        <v>17420</v>
      </c>
      <c r="C5673" s="34" t="s">
        <v>6013</v>
      </c>
    </row>
    <row r="5674" spans="1:3" ht="15.75" customHeight="1" x14ac:dyDescent="0.2">
      <c r="A5674" s="42">
        <v>6039</v>
      </c>
      <c r="B5674" s="42">
        <v>17420</v>
      </c>
      <c r="C5674" s="34" t="s">
        <v>6014</v>
      </c>
    </row>
    <row r="5675" spans="1:3" ht="15.75" customHeight="1" x14ac:dyDescent="0.2">
      <c r="A5675" s="42">
        <v>6040</v>
      </c>
      <c r="B5675" s="42">
        <v>17420</v>
      </c>
      <c r="C5675" s="34" t="s">
        <v>6015</v>
      </c>
    </row>
    <row r="5676" spans="1:3" ht="15.75" customHeight="1" x14ac:dyDescent="0.2">
      <c r="A5676" s="42">
        <v>6041</v>
      </c>
      <c r="B5676" s="42">
        <v>17420</v>
      </c>
      <c r="C5676" s="34" t="s">
        <v>6016</v>
      </c>
    </row>
    <row r="5677" spans="1:3" ht="15.75" customHeight="1" x14ac:dyDescent="0.2">
      <c r="A5677" s="42">
        <v>6042</v>
      </c>
      <c r="B5677" s="42">
        <v>17420</v>
      </c>
      <c r="C5677" s="34" t="s">
        <v>6017</v>
      </c>
    </row>
    <row r="5678" spans="1:3" ht="15.75" customHeight="1" x14ac:dyDescent="0.2">
      <c r="A5678" s="42">
        <v>6043</v>
      </c>
      <c r="B5678" s="42">
        <v>17420</v>
      </c>
      <c r="C5678" s="34" t="s">
        <v>6018</v>
      </c>
    </row>
    <row r="5679" spans="1:3" ht="15.75" customHeight="1" x14ac:dyDescent="0.2">
      <c r="A5679" s="42">
        <v>6044</v>
      </c>
      <c r="B5679" s="42">
        <v>17420</v>
      </c>
      <c r="C5679" s="34" t="s">
        <v>6019</v>
      </c>
    </row>
    <row r="5680" spans="1:3" ht="15.75" customHeight="1" x14ac:dyDescent="0.2">
      <c r="A5680" s="42">
        <v>6045</v>
      </c>
      <c r="B5680" s="42">
        <v>17420</v>
      </c>
      <c r="C5680" s="34" t="s">
        <v>6020</v>
      </c>
    </row>
    <row r="5681" spans="1:3" ht="15.75" customHeight="1" x14ac:dyDescent="0.2">
      <c r="A5681" s="42">
        <v>6046</v>
      </c>
      <c r="B5681" s="42">
        <v>17420</v>
      </c>
      <c r="C5681" s="34" t="s">
        <v>6021</v>
      </c>
    </row>
    <row r="5682" spans="1:3" ht="15.75" customHeight="1" x14ac:dyDescent="0.2">
      <c r="A5682" s="42">
        <v>6047</v>
      </c>
      <c r="B5682" s="42">
        <v>17420</v>
      </c>
      <c r="C5682" s="34" t="s">
        <v>6022</v>
      </c>
    </row>
    <row r="5683" spans="1:3" ht="15.75" customHeight="1" x14ac:dyDescent="0.2">
      <c r="A5683" s="42">
        <v>6048</v>
      </c>
      <c r="B5683" s="42">
        <v>17420</v>
      </c>
      <c r="C5683" s="34" t="s">
        <v>6008</v>
      </c>
    </row>
    <row r="5684" spans="1:3" ht="15.75" customHeight="1" x14ac:dyDescent="0.2">
      <c r="A5684" s="42">
        <v>6049</v>
      </c>
      <c r="B5684" s="42">
        <v>17420</v>
      </c>
      <c r="C5684" s="34" t="s">
        <v>6023</v>
      </c>
    </row>
    <row r="5685" spans="1:3" ht="15.75" customHeight="1" x14ac:dyDescent="0.2">
      <c r="A5685" s="42">
        <v>6050</v>
      </c>
      <c r="B5685" s="42">
        <v>17420</v>
      </c>
      <c r="C5685" s="34" t="s">
        <v>6024</v>
      </c>
    </row>
    <row r="5686" spans="1:3" ht="15.75" customHeight="1" x14ac:dyDescent="0.2">
      <c r="A5686" s="42">
        <v>6051</v>
      </c>
      <c r="B5686" s="42">
        <v>17420</v>
      </c>
      <c r="C5686" s="34" t="s">
        <v>6025</v>
      </c>
    </row>
    <row r="5687" spans="1:3" ht="15.75" customHeight="1" x14ac:dyDescent="0.2">
      <c r="A5687" s="42">
        <v>6052</v>
      </c>
      <c r="B5687" s="42">
        <v>17420</v>
      </c>
      <c r="C5687" s="34" t="s">
        <v>6026</v>
      </c>
    </row>
    <row r="5688" spans="1:3" ht="15.75" customHeight="1" x14ac:dyDescent="0.2">
      <c r="A5688" s="42">
        <v>6053</v>
      </c>
      <c r="B5688" s="42">
        <v>17420</v>
      </c>
      <c r="C5688" s="34" t="s">
        <v>6027</v>
      </c>
    </row>
    <row r="5689" spans="1:3" ht="15.75" customHeight="1" x14ac:dyDescent="0.2">
      <c r="A5689" s="42">
        <v>6054</v>
      </c>
      <c r="B5689" s="42">
        <v>17420</v>
      </c>
      <c r="C5689" s="34" t="s">
        <v>6028</v>
      </c>
    </row>
    <row r="5690" spans="1:3" ht="15.75" customHeight="1" x14ac:dyDescent="0.2">
      <c r="A5690" s="42">
        <v>6055</v>
      </c>
      <c r="B5690" s="42">
        <v>17420</v>
      </c>
      <c r="C5690" s="34" t="s">
        <v>6029</v>
      </c>
    </row>
    <row r="5691" spans="1:3" ht="15.75" customHeight="1" x14ac:dyDescent="0.2">
      <c r="A5691" s="42">
        <v>6056</v>
      </c>
      <c r="B5691" s="42">
        <v>17420</v>
      </c>
      <c r="C5691" s="34" t="s">
        <v>6030</v>
      </c>
    </row>
    <row r="5692" spans="1:3" ht="15.75" customHeight="1" x14ac:dyDescent="0.2">
      <c r="A5692" s="42">
        <v>6057</v>
      </c>
      <c r="B5692" s="42">
        <v>17420</v>
      </c>
      <c r="C5692" s="34" t="s">
        <v>6031</v>
      </c>
    </row>
    <row r="5693" spans="1:3" ht="15.75" customHeight="1" x14ac:dyDescent="0.2">
      <c r="A5693" s="42">
        <v>6058</v>
      </c>
      <c r="B5693" s="42">
        <v>17420</v>
      </c>
      <c r="C5693" s="34" t="s">
        <v>6032</v>
      </c>
    </row>
    <row r="5694" spans="1:3" ht="15.75" customHeight="1" x14ac:dyDescent="0.2">
      <c r="A5694" s="42">
        <v>6059</v>
      </c>
      <c r="B5694" s="42">
        <v>17420</v>
      </c>
      <c r="C5694" s="34" t="s">
        <v>6033</v>
      </c>
    </row>
    <row r="5695" spans="1:3" ht="15.75" customHeight="1" x14ac:dyDescent="0.2">
      <c r="A5695" s="42">
        <v>6060</v>
      </c>
      <c r="B5695" s="42">
        <v>17420</v>
      </c>
      <c r="C5695" s="34" t="s">
        <v>6034</v>
      </c>
    </row>
    <row r="5696" spans="1:3" ht="15.75" customHeight="1" x14ac:dyDescent="0.2">
      <c r="A5696" s="42">
        <v>6061</v>
      </c>
      <c r="B5696" s="42">
        <v>17420</v>
      </c>
      <c r="C5696" s="34" t="s">
        <v>6035</v>
      </c>
    </row>
    <row r="5697" spans="1:3" ht="15.75" customHeight="1" x14ac:dyDescent="0.2">
      <c r="A5697" s="42">
        <v>6062</v>
      </c>
      <c r="B5697" s="42">
        <v>17420</v>
      </c>
      <c r="C5697" s="34" t="s">
        <v>6036</v>
      </c>
    </row>
    <row r="5698" spans="1:3" ht="15.75" customHeight="1" x14ac:dyDescent="0.2">
      <c r="A5698" s="42">
        <v>6063</v>
      </c>
      <c r="B5698" s="42">
        <v>17420</v>
      </c>
      <c r="C5698" s="34" t="s">
        <v>6037</v>
      </c>
    </row>
    <row r="5699" spans="1:3" ht="15.75" customHeight="1" x14ac:dyDescent="0.2">
      <c r="A5699" s="42">
        <v>6064</v>
      </c>
      <c r="B5699" s="42">
        <v>17420</v>
      </c>
      <c r="C5699" s="34" t="s">
        <v>6038</v>
      </c>
    </row>
    <row r="5700" spans="1:3" ht="15.75" customHeight="1" x14ac:dyDescent="0.2">
      <c r="A5700" s="42">
        <v>6065</v>
      </c>
      <c r="B5700" s="42">
        <v>17420</v>
      </c>
      <c r="C5700" s="34" t="s">
        <v>6039</v>
      </c>
    </row>
    <row r="5701" spans="1:3" ht="15.75" customHeight="1" x14ac:dyDescent="0.2">
      <c r="A5701" s="42">
        <v>6066</v>
      </c>
      <c r="B5701" s="42">
        <v>17420</v>
      </c>
      <c r="C5701" s="34" t="s">
        <v>6040</v>
      </c>
    </row>
    <row r="5702" spans="1:3" ht="15.75" customHeight="1" x14ac:dyDescent="0.2">
      <c r="A5702" s="42">
        <v>6067</v>
      </c>
      <c r="B5702" s="42">
        <v>17420</v>
      </c>
      <c r="C5702" s="34" t="s">
        <v>6041</v>
      </c>
    </row>
    <row r="5703" spans="1:3" ht="15.75" customHeight="1" x14ac:dyDescent="0.2">
      <c r="A5703" s="42">
        <v>6068</v>
      </c>
      <c r="B5703" s="42">
        <v>17420</v>
      </c>
      <c r="C5703" s="34" t="s">
        <v>6042</v>
      </c>
    </row>
    <row r="5704" spans="1:3" ht="15.75" customHeight="1" x14ac:dyDescent="0.2">
      <c r="A5704" s="42">
        <v>6069</v>
      </c>
      <c r="B5704" s="42">
        <v>17420</v>
      </c>
      <c r="C5704" s="34" t="s">
        <v>6043</v>
      </c>
    </row>
    <row r="5705" spans="1:3" ht="15.75" customHeight="1" x14ac:dyDescent="0.2">
      <c r="A5705" s="42">
        <v>6070</v>
      </c>
      <c r="B5705" s="42">
        <v>17420</v>
      </c>
      <c r="C5705" s="34" t="s">
        <v>6044</v>
      </c>
    </row>
    <row r="5706" spans="1:3" ht="15.75" customHeight="1" x14ac:dyDescent="0.2">
      <c r="A5706" s="42">
        <v>6071</v>
      </c>
      <c r="B5706" s="42">
        <v>17420</v>
      </c>
      <c r="C5706" s="34" t="s">
        <v>6045</v>
      </c>
    </row>
    <row r="5707" spans="1:3" ht="15.75" customHeight="1" x14ac:dyDescent="0.2">
      <c r="A5707" s="42">
        <v>6072</v>
      </c>
      <c r="B5707" s="42">
        <v>17420</v>
      </c>
      <c r="C5707" s="34" t="s">
        <v>6046</v>
      </c>
    </row>
    <row r="5708" spans="1:3" ht="15.75" customHeight="1" x14ac:dyDescent="0.2">
      <c r="A5708" s="42">
        <v>6073</v>
      </c>
      <c r="B5708" s="42">
        <v>17420</v>
      </c>
      <c r="C5708" s="34" t="s">
        <v>6047</v>
      </c>
    </row>
    <row r="5709" spans="1:3" ht="15.75" customHeight="1" x14ac:dyDescent="0.2">
      <c r="A5709" s="42">
        <v>6074</v>
      </c>
      <c r="B5709" s="42">
        <v>17420</v>
      </c>
      <c r="C5709" s="34" t="s">
        <v>6048</v>
      </c>
    </row>
    <row r="5710" spans="1:3" ht="15.75" customHeight="1" x14ac:dyDescent="0.2">
      <c r="A5710" s="42">
        <v>6075</v>
      </c>
      <c r="B5710" s="42">
        <v>17420</v>
      </c>
      <c r="C5710" s="34" t="s">
        <v>6049</v>
      </c>
    </row>
    <row r="5711" spans="1:3" ht="15.75" customHeight="1" x14ac:dyDescent="0.2">
      <c r="A5711" s="42">
        <v>6076</v>
      </c>
      <c r="B5711" s="42">
        <v>17420</v>
      </c>
      <c r="C5711" s="34" t="s">
        <v>5989</v>
      </c>
    </row>
    <row r="5712" spans="1:3" ht="15.75" customHeight="1" x14ac:dyDescent="0.2">
      <c r="A5712" s="42">
        <v>6077</v>
      </c>
      <c r="B5712" s="42">
        <v>17420</v>
      </c>
      <c r="C5712" s="34" t="s">
        <v>6050</v>
      </c>
    </row>
    <row r="5713" spans="1:3" ht="15.75" customHeight="1" x14ac:dyDescent="0.2">
      <c r="A5713" s="42">
        <v>6078</v>
      </c>
      <c r="B5713" s="42">
        <v>17420</v>
      </c>
      <c r="C5713" s="34" t="s">
        <v>6038</v>
      </c>
    </row>
    <row r="5714" spans="1:3" ht="15.75" customHeight="1" x14ac:dyDescent="0.2">
      <c r="A5714" s="42">
        <v>6079</v>
      </c>
      <c r="B5714" s="42">
        <v>17420</v>
      </c>
      <c r="C5714" s="34" t="s">
        <v>6051</v>
      </c>
    </row>
    <row r="5715" spans="1:3" ht="15.75" customHeight="1" x14ac:dyDescent="0.2">
      <c r="A5715" s="42">
        <v>6080</v>
      </c>
      <c r="B5715" s="42">
        <v>17421</v>
      </c>
      <c r="C5715" s="34" t="s">
        <v>6052</v>
      </c>
    </row>
    <row r="5716" spans="1:3" ht="15.75" customHeight="1" x14ac:dyDescent="0.2">
      <c r="A5716" s="42">
        <v>6081</v>
      </c>
      <c r="B5716" s="42">
        <v>17421</v>
      </c>
      <c r="C5716" s="34" t="s">
        <v>6053</v>
      </c>
    </row>
    <row r="5717" spans="1:3" ht="15.75" customHeight="1" x14ac:dyDescent="0.2">
      <c r="A5717" s="42">
        <v>6082</v>
      </c>
      <c r="B5717" s="42">
        <v>17421</v>
      </c>
      <c r="C5717" s="34" t="s">
        <v>6054</v>
      </c>
    </row>
    <row r="5718" spans="1:3" ht="15.75" customHeight="1" x14ac:dyDescent="0.2">
      <c r="A5718" s="42">
        <v>6083</v>
      </c>
      <c r="B5718" s="42">
        <v>17421</v>
      </c>
      <c r="C5718" s="34" t="s">
        <v>6055</v>
      </c>
    </row>
    <row r="5719" spans="1:3" ht="15.75" customHeight="1" x14ac:dyDescent="0.2">
      <c r="A5719" s="42">
        <v>6084</v>
      </c>
      <c r="B5719" s="42">
        <v>17421</v>
      </c>
      <c r="C5719" s="34" t="s">
        <v>6056</v>
      </c>
    </row>
    <row r="5720" spans="1:3" ht="15.75" customHeight="1" x14ac:dyDescent="0.2">
      <c r="A5720" s="42">
        <v>6085</v>
      </c>
      <c r="B5720" s="42">
        <v>17421</v>
      </c>
      <c r="C5720" s="34" t="s">
        <v>6057</v>
      </c>
    </row>
    <row r="5721" spans="1:3" ht="15.75" customHeight="1" x14ac:dyDescent="0.2">
      <c r="A5721" s="42">
        <v>6086</v>
      </c>
      <c r="B5721" s="42">
        <v>17421</v>
      </c>
      <c r="C5721" s="34" t="s">
        <v>6058</v>
      </c>
    </row>
    <row r="5722" spans="1:3" ht="15.75" customHeight="1" x14ac:dyDescent="0.2">
      <c r="A5722" s="42">
        <v>6087</v>
      </c>
      <c r="B5722" s="42">
        <v>17421</v>
      </c>
      <c r="C5722" s="34" t="s">
        <v>6059</v>
      </c>
    </row>
    <row r="5723" spans="1:3" ht="15.75" customHeight="1" x14ac:dyDescent="0.2">
      <c r="A5723" s="42">
        <v>6088</v>
      </c>
      <c r="B5723" s="42">
        <v>17421</v>
      </c>
      <c r="C5723" s="34" t="s">
        <v>6060</v>
      </c>
    </row>
    <row r="5724" spans="1:3" ht="15.75" customHeight="1" x14ac:dyDescent="0.2">
      <c r="A5724" s="42">
        <v>6089</v>
      </c>
      <c r="B5724" s="42">
        <v>17421</v>
      </c>
      <c r="C5724" s="34" t="s">
        <v>6061</v>
      </c>
    </row>
    <row r="5725" spans="1:3" ht="15.75" customHeight="1" x14ac:dyDescent="0.2">
      <c r="A5725" s="42">
        <v>6090</v>
      </c>
      <c r="B5725" s="42">
        <v>17421</v>
      </c>
      <c r="C5725" s="34" t="s">
        <v>6062</v>
      </c>
    </row>
    <row r="5726" spans="1:3" ht="15.75" customHeight="1" x14ac:dyDescent="0.2">
      <c r="A5726" s="42">
        <v>6091</v>
      </c>
      <c r="B5726" s="42">
        <v>17421</v>
      </c>
      <c r="C5726" s="34" t="s">
        <v>6063</v>
      </c>
    </row>
    <row r="5727" spans="1:3" ht="15.75" customHeight="1" x14ac:dyDescent="0.2">
      <c r="A5727" s="42">
        <v>6092</v>
      </c>
      <c r="B5727" s="42">
        <v>17421</v>
      </c>
      <c r="C5727" s="34" t="s">
        <v>6064</v>
      </c>
    </row>
    <row r="5728" spans="1:3" ht="15.75" customHeight="1" x14ac:dyDescent="0.2">
      <c r="A5728" s="42">
        <v>6093</v>
      </c>
      <c r="B5728" s="42">
        <v>17421</v>
      </c>
      <c r="C5728" s="34" t="s">
        <v>6065</v>
      </c>
    </row>
    <row r="5729" spans="1:3" ht="15.75" customHeight="1" x14ac:dyDescent="0.2">
      <c r="A5729" s="42">
        <v>6094</v>
      </c>
      <c r="B5729" s="42">
        <v>17421</v>
      </c>
      <c r="C5729" s="34" t="s">
        <v>6066</v>
      </c>
    </row>
    <row r="5730" spans="1:3" ht="15.75" customHeight="1" x14ac:dyDescent="0.2">
      <c r="A5730" s="42">
        <v>6095</v>
      </c>
      <c r="B5730" s="42">
        <v>17421</v>
      </c>
      <c r="C5730" s="34" t="s">
        <v>6067</v>
      </c>
    </row>
    <row r="5731" spans="1:3" ht="15.75" customHeight="1" x14ac:dyDescent="0.2">
      <c r="A5731" s="42">
        <v>6096</v>
      </c>
      <c r="B5731" s="42">
        <v>17421</v>
      </c>
      <c r="C5731" s="34" t="s">
        <v>6061</v>
      </c>
    </row>
    <row r="5732" spans="1:3" ht="15.75" customHeight="1" x14ac:dyDescent="0.2">
      <c r="A5732" s="42">
        <v>6097</v>
      </c>
      <c r="B5732" s="42">
        <v>17421</v>
      </c>
      <c r="C5732" s="34" t="s">
        <v>6068</v>
      </c>
    </row>
    <row r="5733" spans="1:3" ht="15.75" customHeight="1" x14ac:dyDescent="0.2">
      <c r="A5733" s="42">
        <v>6098</v>
      </c>
      <c r="B5733" s="42">
        <v>17421</v>
      </c>
      <c r="C5733" s="34" t="s">
        <v>6069</v>
      </c>
    </row>
    <row r="5734" spans="1:3" ht="15.75" customHeight="1" x14ac:dyDescent="0.2">
      <c r="A5734" s="42">
        <v>6099</v>
      </c>
      <c r="B5734" s="42">
        <v>17421</v>
      </c>
      <c r="C5734" s="34" t="s">
        <v>6070</v>
      </c>
    </row>
    <row r="5735" spans="1:3" ht="15.75" customHeight="1" x14ac:dyDescent="0.2">
      <c r="A5735" s="42">
        <v>6100</v>
      </c>
      <c r="B5735" s="42">
        <v>17421</v>
      </c>
      <c r="C5735" s="34" t="s">
        <v>6071</v>
      </c>
    </row>
    <row r="5736" spans="1:3" ht="15.75" customHeight="1" x14ac:dyDescent="0.2">
      <c r="A5736" s="42">
        <v>6101</v>
      </c>
      <c r="B5736" s="42">
        <v>17421</v>
      </c>
      <c r="C5736" s="34" t="s">
        <v>6072</v>
      </c>
    </row>
    <row r="5737" spans="1:3" ht="15.75" customHeight="1" x14ac:dyDescent="0.2">
      <c r="A5737" s="42">
        <v>6102</v>
      </c>
      <c r="B5737" s="42">
        <v>17421</v>
      </c>
      <c r="C5737" s="34" t="s">
        <v>6073</v>
      </c>
    </row>
    <row r="5738" spans="1:3" ht="15.75" customHeight="1" x14ac:dyDescent="0.2">
      <c r="A5738" s="42">
        <v>6103</v>
      </c>
      <c r="B5738" s="42">
        <v>17421</v>
      </c>
      <c r="C5738" s="34" t="s">
        <v>6074</v>
      </c>
    </row>
    <row r="5739" spans="1:3" ht="15.75" customHeight="1" x14ac:dyDescent="0.2">
      <c r="A5739" s="42">
        <v>6104</v>
      </c>
      <c r="B5739" s="42">
        <v>17421</v>
      </c>
      <c r="C5739" s="34" t="s">
        <v>6075</v>
      </c>
    </row>
    <row r="5740" spans="1:3" ht="15.75" customHeight="1" x14ac:dyDescent="0.2">
      <c r="A5740" s="42">
        <v>6105</v>
      </c>
      <c r="B5740" s="42">
        <v>17421</v>
      </c>
      <c r="C5740" s="34" t="s">
        <v>6076</v>
      </c>
    </row>
    <row r="5741" spans="1:3" ht="15.75" customHeight="1" x14ac:dyDescent="0.2">
      <c r="A5741" s="42">
        <v>6106</v>
      </c>
      <c r="B5741" s="42">
        <v>17421</v>
      </c>
      <c r="C5741" s="34" t="s">
        <v>6077</v>
      </c>
    </row>
    <row r="5742" spans="1:3" ht="15.75" customHeight="1" x14ac:dyDescent="0.2">
      <c r="A5742" s="42">
        <v>6107</v>
      </c>
      <c r="B5742" s="42">
        <v>17421</v>
      </c>
      <c r="C5742" s="34" t="s">
        <v>6078</v>
      </c>
    </row>
    <row r="5743" spans="1:3" ht="15.75" customHeight="1" x14ac:dyDescent="0.2">
      <c r="A5743" s="42">
        <v>6108</v>
      </c>
      <c r="B5743" s="42">
        <v>17421</v>
      </c>
      <c r="C5743" s="34" t="s">
        <v>6079</v>
      </c>
    </row>
    <row r="5744" spans="1:3" ht="15.75" customHeight="1" x14ac:dyDescent="0.2">
      <c r="A5744" s="42">
        <v>6109</v>
      </c>
      <c r="B5744" s="42">
        <v>17421</v>
      </c>
      <c r="C5744" s="34" t="s">
        <v>6080</v>
      </c>
    </row>
    <row r="5745" spans="1:3" ht="15.75" customHeight="1" x14ac:dyDescent="0.2">
      <c r="A5745" s="42">
        <v>6110</v>
      </c>
      <c r="B5745" s="42">
        <v>17421</v>
      </c>
      <c r="C5745" s="34" t="s">
        <v>6081</v>
      </c>
    </row>
    <row r="5746" spans="1:3" ht="15.75" customHeight="1" x14ac:dyDescent="0.2">
      <c r="A5746" s="42">
        <v>6111</v>
      </c>
      <c r="B5746" s="42">
        <v>17421</v>
      </c>
      <c r="C5746" s="34" t="s">
        <v>6082</v>
      </c>
    </row>
    <row r="5747" spans="1:3" ht="15.75" customHeight="1" x14ac:dyDescent="0.2">
      <c r="A5747" s="42">
        <v>6112</v>
      </c>
      <c r="B5747" s="42">
        <v>17421</v>
      </c>
      <c r="C5747" s="34" t="s">
        <v>6083</v>
      </c>
    </row>
    <row r="5748" spans="1:3" ht="15.75" customHeight="1" x14ac:dyDescent="0.2">
      <c r="A5748" s="42">
        <v>6113</v>
      </c>
      <c r="B5748" s="42">
        <v>17421</v>
      </c>
      <c r="C5748" s="34" t="s">
        <v>6084</v>
      </c>
    </row>
    <row r="5749" spans="1:3" ht="15.75" customHeight="1" x14ac:dyDescent="0.2">
      <c r="A5749" s="42">
        <v>6114</v>
      </c>
      <c r="B5749" s="42">
        <v>17421</v>
      </c>
      <c r="C5749" s="34" t="s">
        <v>6085</v>
      </c>
    </row>
    <row r="5750" spans="1:3" ht="15.75" customHeight="1" x14ac:dyDescent="0.2">
      <c r="A5750" s="42">
        <v>6115</v>
      </c>
      <c r="B5750" s="42">
        <v>17421</v>
      </c>
      <c r="C5750" s="34" t="s">
        <v>6086</v>
      </c>
    </row>
    <row r="5751" spans="1:3" ht="15.75" customHeight="1" x14ac:dyDescent="0.2">
      <c r="A5751" s="42">
        <v>6116</v>
      </c>
      <c r="B5751" s="42">
        <v>17421</v>
      </c>
      <c r="C5751" s="34" t="s">
        <v>6087</v>
      </c>
    </row>
    <row r="5752" spans="1:3" ht="15.75" customHeight="1" x14ac:dyDescent="0.2">
      <c r="A5752" s="42">
        <v>6117</v>
      </c>
      <c r="B5752" s="42">
        <v>17421</v>
      </c>
      <c r="C5752" s="34" t="s">
        <v>6088</v>
      </c>
    </row>
    <row r="5753" spans="1:3" ht="15.75" customHeight="1" x14ac:dyDescent="0.2">
      <c r="A5753" s="42">
        <v>6118</v>
      </c>
      <c r="B5753" s="42">
        <v>17421</v>
      </c>
      <c r="C5753" s="34" t="s">
        <v>6089</v>
      </c>
    </row>
    <row r="5754" spans="1:3" ht="15.75" customHeight="1" x14ac:dyDescent="0.2">
      <c r="A5754" s="42">
        <v>6119</v>
      </c>
      <c r="B5754" s="42">
        <v>17421</v>
      </c>
      <c r="C5754" s="34" t="s">
        <v>6090</v>
      </c>
    </row>
    <row r="5755" spans="1:3" ht="15.75" customHeight="1" x14ac:dyDescent="0.2">
      <c r="A5755" s="42">
        <v>6120</v>
      </c>
      <c r="B5755" s="42">
        <v>17421</v>
      </c>
      <c r="C5755" s="34" t="s">
        <v>6052</v>
      </c>
    </row>
    <row r="5756" spans="1:3" ht="15.75" customHeight="1" x14ac:dyDescent="0.2">
      <c r="A5756" s="42">
        <v>6121</v>
      </c>
      <c r="B5756" s="42">
        <v>17421</v>
      </c>
      <c r="C5756" s="34" t="s">
        <v>6091</v>
      </c>
    </row>
    <row r="5757" spans="1:3" ht="15.75" customHeight="1" x14ac:dyDescent="0.2">
      <c r="A5757" s="42">
        <v>6122</v>
      </c>
      <c r="B5757" s="42">
        <v>17421</v>
      </c>
      <c r="C5757" s="34" t="s">
        <v>6092</v>
      </c>
    </row>
    <row r="5758" spans="1:3" ht="15.75" customHeight="1" x14ac:dyDescent="0.2">
      <c r="A5758" s="42">
        <v>6123</v>
      </c>
      <c r="B5758" s="42">
        <v>17421</v>
      </c>
      <c r="C5758" s="34" t="s">
        <v>6093</v>
      </c>
    </row>
    <row r="5759" spans="1:3" ht="15.75" customHeight="1" x14ac:dyDescent="0.2">
      <c r="A5759" s="42">
        <v>6124</v>
      </c>
      <c r="B5759" s="42">
        <v>17421</v>
      </c>
      <c r="C5759" s="34" t="s">
        <v>6094</v>
      </c>
    </row>
    <row r="5760" spans="1:3" ht="15.75" customHeight="1" x14ac:dyDescent="0.2">
      <c r="A5760" s="42">
        <v>6125</v>
      </c>
      <c r="B5760" s="42">
        <v>17421</v>
      </c>
      <c r="C5760" s="34" t="s">
        <v>6095</v>
      </c>
    </row>
    <row r="5761" spans="1:3" ht="15.75" customHeight="1" x14ac:dyDescent="0.2">
      <c r="A5761" s="42">
        <v>6126</v>
      </c>
      <c r="B5761" s="42">
        <v>17421</v>
      </c>
      <c r="C5761" s="34" t="s">
        <v>6096</v>
      </c>
    </row>
    <row r="5762" spans="1:3" ht="15.75" customHeight="1" x14ac:dyDescent="0.2">
      <c r="A5762" s="42">
        <v>6127</v>
      </c>
      <c r="B5762" s="42">
        <v>17421</v>
      </c>
      <c r="C5762" s="34" t="s">
        <v>6097</v>
      </c>
    </row>
    <row r="5763" spans="1:3" ht="15.75" customHeight="1" x14ac:dyDescent="0.2">
      <c r="A5763" s="42">
        <v>6128</v>
      </c>
      <c r="B5763" s="42">
        <v>17421</v>
      </c>
      <c r="C5763" s="34" t="s">
        <v>6098</v>
      </c>
    </row>
    <row r="5764" spans="1:3" ht="15.75" customHeight="1" x14ac:dyDescent="0.2">
      <c r="A5764" s="42">
        <v>6129</v>
      </c>
      <c r="B5764" s="42">
        <v>17421</v>
      </c>
      <c r="C5764" s="34" t="s">
        <v>6099</v>
      </c>
    </row>
    <row r="5765" spans="1:3" ht="15.75" customHeight="1" x14ac:dyDescent="0.2">
      <c r="A5765" s="42">
        <v>6130</v>
      </c>
      <c r="B5765" s="42">
        <v>17421</v>
      </c>
      <c r="C5765" s="34" t="s">
        <v>6100</v>
      </c>
    </row>
    <row r="5766" spans="1:3" ht="15.75" customHeight="1" x14ac:dyDescent="0.2">
      <c r="A5766" s="42">
        <v>6131</v>
      </c>
      <c r="B5766" s="42">
        <v>17421</v>
      </c>
      <c r="C5766" s="34" t="s">
        <v>6101</v>
      </c>
    </row>
    <row r="5767" spans="1:3" ht="15.75" customHeight="1" x14ac:dyDescent="0.2">
      <c r="A5767" s="42">
        <v>6132</v>
      </c>
      <c r="B5767" s="42">
        <v>17421</v>
      </c>
      <c r="C5767" s="34" t="s">
        <v>6102</v>
      </c>
    </row>
    <row r="5768" spans="1:3" ht="15.75" customHeight="1" x14ac:dyDescent="0.2">
      <c r="A5768" s="42">
        <v>6133</v>
      </c>
      <c r="B5768" s="42">
        <v>17421</v>
      </c>
      <c r="C5768" s="34" t="s">
        <v>6103</v>
      </c>
    </row>
    <row r="5769" spans="1:3" ht="15.75" customHeight="1" x14ac:dyDescent="0.2">
      <c r="A5769" s="42">
        <v>6134</v>
      </c>
      <c r="B5769" s="42">
        <v>17421</v>
      </c>
      <c r="C5769" s="34" t="s">
        <v>6104</v>
      </c>
    </row>
    <row r="5770" spans="1:3" ht="15.75" customHeight="1" x14ac:dyDescent="0.2">
      <c r="A5770" s="42">
        <v>6135</v>
      </c>
      <c r="B5770" s="42">
        <v>17421</v>
      </c>
      <c r="C5770" s="34" t="s">
        <v>6105</v>
      </c>
    </row>
    <row r="5771" spans="1:3" ht="15.75" customHeight="1" x14ac:dyDescent="0.2">
      <c r="A5771" s="42">
        <v>6136</v>
      </c>
      <c r="B5771" s="42">
        <v>17421</v>
      </c>
      <c r="C5771" s="34" t="s">
        <v>6106</v>
      </c>
    </row>
    <row r="5772" spans="1:3" ht="15.75" customHeight="1" x14ac:dyDescent="0.2">
      <c r="A5772" s="42">
        <v>6137</v>
      </c>
      <c r="B5772" s="42">
        <v>17421</v>
      </c>
      <c r="C5772" s="34" t="s">
        <v>6107</v>
      </c>
    </row>
    <row r="5773" spans="1:3" ht="15.75" customHeight="1" x14ac:dyDescent="0.2">
      <c r="A5773" s="42">
        <v>6138</v>
      </c>
      <c r="B5773" s="42">
        <v>17421</v>
      </c>
      <c r="C5773" s="34" t="s">
        <v>6108</v>
      </c>
    </row>
    <row r="5774" spans="1:3" ht="15.75" customHeight="1" x14ac:dyDescent="0.2">
      <c r="A5774" s="42">
        <v>6139</v>
      </c>
      <c r="B5774" s="42">
        <v>17421</v>
      </c>
      <c r="C5774" s="34" t="s">
        <v>6109</v>
      </c>
    </row>
    <row r="5775" spans="1:3" ht="15.75" customHeight="1" x14ac:dyDescent="0.2">
      <c r="A5775" s="42">
        <v>6140</v>
      </c>
      <c r="B5775" s="42">
        <v>17421</v>
      </c>
      <c r="C5775" s="34" t="s">
        <v>6110</v>
      </c>
    </row>
    <row r="5776" spans="1:3" ht="15.75" customHeight="1" x14ac:dyDescent="0.2">
      <c r="A5776" s="42">
        <v>6141</v>
      </c>
      <c r="B5776" s="42">
        <v>17421</v>
      </c>
      <c r="C5776" s="34" t="s">
        <v>6111</v>
      </c>
    </row>
    <row r="5777" spans="1:3" ht="15.75" customHeight="1" x14ac:dyDescent="0.2">
      <c r="A5777" s="42">
        <v>6142</v>
      </c>
      <c r="B5777" s="42">
        <v>17421</v>
      </c>
      <c r="C5777" s="34" t="s">
        <v>6112</v>
      </c>
    </row>
    <row r="5778" spans="1:3" ht="15.75" customHeight="1" x14ac:dyDescent="0.2">
      <c r="A5778" s="42">
        <v>6143</v>
      </c>
      <c r="B5778" s="42">
        <v>17421</v>
      </c>
      <c r="C5778" s="34" t="s">
        <v>6113</v>
      </c>
    </row>
    <row r="5779" spans="1:3" ht="15.75" customHeight="1" x14ac:dyDescent="0.2">
      <c r="A5779" s="42">
        <v>6144</v>
      </c>
      <c r="B5779" s="42">
        <v>17421</v>
      </c>
      <c r="C5779" s="34" t="s">
        <v>6052</v>
      </c>
    </row>
    <row r="5780" spans="1:3" ht="15.75" customHeight="1" x14ac:dyDescent="0.2">
      <c r="A5780" s="42">
        <v>6145</v>
      </c>
      <c r="B5780" s="42">
        <v>17421</v>
      </c>
      <c r="C5780" s="34" t="s">
        <v>6114</v>
      </c>
    </row>
    <row r="5781" spans="1:3" ht="15.75" customHeight="1" x14ac:dyDescent="0.2">
      <c r="A5781" s="42">
        <v>6146</v>
      </c>
      <c r="B5781" s="42">
        <v>17421</v>
      </c>
      <c r="C5781" s="34" t="s">
        <v>6115</v>
      </c>
    </row>
    <row r="5782" spans="1:3" ht="15.75" customHeight="1" x14ac:dyDescent="0.2">
      <c r="A5782" s="42">
        <v>6147</v>
      </c>
      <c r="B5782" s="42">
        <v>17421</v>
      </c>
      <c r="C5782" s="34" t="s">
        <v>6116</v>
      </c>
    </row>
    <row r="5783" spans="1:3" ht="15.75" customHeight="1" x14ac:dyDescent="0.2">
      <c r="A5783" s="42">
        <v>6148</v>
      </c>
      <c r="B5783" s="42">
        <v>17421</v>
      </c>
      <c r="C5783" s="34" t="s">
        <v>6117</v>
      </c>
    </row>
    <row r="5784" spans="1:3" ht="15.75" customHeight="1" x14ac:dyDescent="0.2">
      <c r="A5784" s="42">
        <v>6149</v>
      </c>
      <c r="B5784" s="42">
        <v>17421</v>
      </c>
      <c r="C5784" s="34" t="s">
        <v>6118</v>
      </c>
    </row>
    <row r="5785" spans="1:3" ht="15.75" customHeight="1" x14ac:dyDescent="0.2">
      <c r="A5785" s="42">
        <v>6150</v>
      </c>
      <c r="B5785" s="42">
        <v>17421</v>
      </c>
      <c r="C5785" s="34" t="s">
        <v>6119</v>
      </c>
    </row>
    <row r="5786" spans="1:3" ht="15.75" customHeight="1" x14ac:dyDescent="0.2">
      <c r="A5786" s="42">
        <v>6151</v>
      </c>
      <c r="B5786" s="42">
        <v>17422</v>
      </c>
      <c r="C5786" s="34" t="s">
        <v>6120</v>
      </c>
    </row>
    <row r="5787" spans="1:3" ht="15.75" customHeight="1" x14ac:dyDescent="0.2">
      <c r="A5787" s="42">
        <v>6152</v>
      </c>
      <c r="B5787" s="42">
        <v>17422</v>
      </c>
      <c r="C5787" s="34" t="s">
        <v>6121</v>
      </c>
    </row>
    <row r="5788" spans="1:3" ht="15.75" customHeight="1" x14ac:dyDescent="0.2">
      <c r="A5788" s="42">
        <v>6153</v>
      </c>
      <c r="B5788" s="42">
        <v>17422</v>
      </c>
      <c r="C5788" s="34" t="s">
        <v>6122</v>
      </c>
    </row>
    <row r="5789" spans="1:3" ht="15.75" customHeight="1" x14ac:dyDescent="0.2">
      <c r="A5789" s="42">
        <v>6154</v>
      </c>
      <c r="B5789" s="42">
        <v>17422</v>
      </c>
      <c r="C5789" s="34" t="s">
        <v>6123</v>
      </c>
    </row>
    <row r="5790" spans="1:3" ht="15.75" customHeight="1" x14ac:dyDescent="0.2">
      <c r="A5790" s="42">
        <v>6155</v>
      </c>
      <c r="B5790" s="42">
        <v>17422</v>
      </c>
      <c r="C5790" s="34" t="s">
        <v>6124</v>
      </c>
    </row>
    <row r="5791" spans="1:3" ht="15.75" customHeight="1" x14ac:dyDescent="0.2">
      <c r="A5791" s="42">
        <v>6156</v>
      </c>
      <c r="B5791" s="42">
        <v>17422</v>
      </c>
      <c r="C5791" s="34" t="s">
        <v>6125</v>
      </c>
    </row>
    <row r="5792" spans="1:3" ht="15.75" customHeight="1" x14ac:dyDescent="0.2">
      <c r="A5792" s="42">
        <v>6157</v>
      </c>
      <c r="B5792" s="42">
        <v>17422</v>
      </c>
      <c r="C5792" s="34" t="s">
        <v>6126</v>
      </c>
    </row>
    <row r="5793" spans="1:3" ht="15.75" customHeight="1" x14ac:dyDescent="0.2">
      <c r="A5793" s="42">
        <v>6158</v>
      </c>
      <c r="B5793" s="42">
        <v>17422</v>
      </c>
      <c r="C5793" s="34" t="s">
        <v>6127</v>
      </c>
    </row>
    <row r="5794" spans="1:3" ht="15.75" customHeight="1" x14ac:dyDescent="0.2">
      <c r="A5794" s="42">
        <v>6159</v>
      </c>
      <c r="B5794" s="42">
        <v>17422</v>
      </c>
      <c r="C5794" s="34" t="s">
        <v>6128</v>
      </c>
    </row>
    <row r="5795" spans="1:3" ht="15.75" customHeight="1" x14ac:dyDescent="0.2">
      <c r="A5795" s="42">
        <v>6160</v>
      </c>
      <c r="B5795" s="42">
        <v>17422</v>
      </c>
      <c r="C5795" s="34" t="s">
        <v>6129</v>
      </c>
    </row>
    <row r="5796" spans="1:3" ht="15.75" customHeight="1" x14ac:dyDescent="0.2">
      <c r="A5796" s="42">
        <v>6161</v>
      </c>
      <c r="B5796" s="42">
        <v>17422</v>
      </c>
      <c r="C5796" s="34" t="s">
        <v>6130</v>
      </c>
    </row>
    <row r="5797" spans="1:3" ht="15.75" customHeight="1" x14ac:dyDescent="0.2">
      <c r="A5797" s="42">
        <v>6162</v>
      </c>
      <c r="B5797" s="42">
        <v>17422</v>
      </c>
      <c r="C5797" s="34" t="s">
        <v>6131</v>
      </c>
    </row>
    <row r="5798" spans="1:3" ht="15.75" customHeight="1" x14ac:dyDescent="0.2">
      <c r="A5798" s="42">
        <v>6163</v>
      </c>
      <c r="B5798" s="42">
        <v>17422</v>
      </c>
      <c r="C5798" s="34" t="s">
        <v>6132</v>
      </c>
    </row>
    <row r="5799" spans="1:3" ht="15.75" customHeight="1" x14ac:dyDescent="0.2">
      <c r="A5799" s="42">
        <v>6164</v>
      </c>
      <c r="B5799" s="42">
        <v>17422</v>
      </c>
      <c r="C5799" s="34" t="s">
        <v>6133</v>
      </c>
    </row>
    <row r="5800" spans="1:3" ht="15.75" customHeight="1" x14ac:dyDescent="0.2">
      <c r="A5800" s="42">
        <v>6165</v>
      </c>
      <c r="B5800" s="42">
        <v>17422</v>
      </c>
      <c r="C5800" s="34" t="s">
        <v>6134</v>
      </c>
    </row>
    <row r="5801" spans="1:3" ht="15.75" customHeight="1" x14ac:dyDescent="0.2">
      <c r="A5801" s="42">
        <v>6166</v>
      </c>
      <c r="B5801" s="42">
        <v>17422</v>
      </c>
      <c r="C5801" s="34" t="s">
        <v>6135</v>
      </c>
    </row>
    <row r="5802" spans="1:3" ht="15.75" customHeight="1" x14ac:dyDescent="0.2">
      <c r="A5802" s="42">
        <v>6167</v>
      </c>
      <c r="B5802" s="42">
        <v>17422</v>
      </c>
      <c r="C5802" s="34" t="s">
        <v>6129</v>
      </c>
    </row>
    <row r="5803" spans="1:3" ht="15.75" customHeight="1" x14ac:dyDescent="0.2">
      <c r="A5803" s="42">
        <v>6168</v>
      </c>
      <c r="B5803" s="42">
        <v>17422</v>
      </c>
      <c r="C5803" s="34" t="s">
        <v>6122</v>
      </c>
    </row>
    <row r="5804" spans="1:3" ht="15.75" customHeight="1" x14ac:dyDescent="0.2">
      <c r="A5804" s="42">
        <v>6169</v>
      </c>
      <c r="B5804" s="42">
        <v>17422</v>
      </c>
      <c r="C5804" s="34" t="s">
        <v>6136</v>
      </c>
    </row>
    <row r="5805" spans="1:3" ht="15.75" customHeight="1" x14ac:dyDescent="0.2">
      <c r="A5805" s="42">
        <v>6170</v>
      </c>
      <c r="B5805" s="42">
        <v>17422</v>
      </c>
      <c r="C5805" s="34" t="s">
        <v>6137</v>
      </c>
    </row>
    <row r="5806" spans="1:3" ht="15.75" customHeight="1" x14ac:dyDescent="0.2">
      <c r="A5806" s="42">
        <v>6171</v>
      </c>
      <c r="B5806" s="42">
        <v>17422</v>
      </c>
      <c r="C5806" s="34" t="s">
        <v>6138</v>
      </c>
    </row>
    <row r="5807" spans="1:3" ht="15.75" customHeight="1" x14ac:dyDescent="0.2">
      <c r="A5807" s="42">
        <v>6172</v>
      </c>
      <c r="B5807" s="42">
        <v>17422</v>
      </c>
      <c r="C5807" s="34" t="s">
        <v>6139</v>
      </c>
    </row>
    <row r="5808" spans="1:3" ht="15.75" customHeight="1" x14ac:dyDescent="0.2">
      <c r="A5808" s="42">
        <v>6173</v>
      </c>
      <c r="B5808" s="42">
        <v>17422</v>
      </c>
      <c r="C5808" s="34" t="s">
        <v>6140</v>
      </c>
    </row>
    <row r="5809" spans="1:3" ht="15.75" customHeight="1" x14ac:dyDescent="0.2">
      <c r="A5809" s="42">
        <v>6174</v>
      </c>
      <c r="B5809" s="42">
        <v>17422</v>
      </c>
      <c r="C5809" s="34" t="s">
        <v>6141</v>
      </c>
    </row>
    <row r="5810" spans="1:3" ht="15.75" customHeight="1" x14ac:dyDescent="0.2">
      <c r="A5810" s="42">
        <v>6175</v>
      </c>
      <c r="B5810" s="42">
        <v>17422</v>
      </c>
      <c r="C5810" s="34" t="s">
        <v>6142</v>
      </c>
    </row>
    <row r="5811" spans="1:3" ht="15.75" customHeight="1" x14ac:dyDescent="0.2">
      <c r="A5811" s="42">
        <v>6176</v>
      </c>
      <c r="B5811" s="42">
        <v>17422</v>
      </c>
      <c r="C5811" s="34" t="s">
        <v>6143</v>
      </c>
    </row>
    <row r="5812" spans="1:3" ht="15.75" customHeight="1" x14ac:dyDescent="0.2">
      <c r="A5812" s="42">
        <v>6177</v>
      </c>
      <c r="B5812" s="42">
        <v>17422</v>
      </c>
      <c r="C5812" s="34" t="s">
        <v>6144</v>
      </c>
    </row>
    <row r="5813" spans="1:3" ht="15.75" customHeight="1" x14ac:dyDescent="0.2">
      <c r="A5813" s="42">
        <v>6178</v>
      </c>
      <c r="B5813" s="42">
        <v>17422</v>
      </c>
      <c r="C5813" s="34" t="s">
        <v>6145</v>
      </c>
    </row>
    <row r="5814" spans="1:3" ht="15.75" customHeight="1" x14ac:dyDescent="0.2">
      <c r="A5814" s="42">
        <v>6179</v>
      </c>
      <c r="B5814" s="42">
        <v>17422</v>
      </c>
      <c r="C5814" s="34" t="s">
        <v>6146</v>
      </c>
    </row>
    <row r="5815" spans="1:3" ht="15.75" customHeight="1" x14ac:dyDescent="0.2">
      <c r="A5815" s="42">
        <v>6180</v>
      </c>
      <c r="B5815" s="42">
        <v>17422</v>
      </c>
      <c r="C5815" s="34" t="s">
        <v>6147</v>
      </c>
    </row>
    <row r="5816" spans="1:3" ht="15.75" customHeight="1" x14ac:dyDescent="0.2">
      <c r="A5816" s="42">
        <v>6181</v>
      </c>
      <c r="B5816" s="42">
        <v>17422</v>
      </c>
      <c r="C5816" s="34" t="s">
        <v>6148</v>
      </c>
    </row>
    <row r="5817" spans="1:3" ht="15.75" customHeight="1" x14ac:dyDescent="0.2">
      <c r="A5817" s="42">
        <v>6182</v>
      </c>
      <c r="B5817" s="42">
        <v>17422</v>
      </c>
      <c r="C5817" s="34" t="s">
        <v>6149</v>
      </c>
    </row>
    <row r="5818" spans="1:3" ht="15.75" customHeight="1" x14ac:dyDescent="0.2">
      <c r="A5818" s="42">
        <v>6183</v>
      </c>
      <c r="B5818" s="42">
        <v>17422</v>
      </c>
      <c r="C5818" s="34" t="s">
        <v>6150</v>
      </c>
    </row>
    <row r="5819" spans="1:3" ht="15.75" customHeight="1" x14ac:dyDescent="0.2">
      <c r="A5819" s="42">
        <v>6184</v>
      </c>
      <c r="B5819" s="42">
        <v>17422</v>
      </c>
      <c r="C5819" s="34" t="s">
        <v>6151</v>
      </c>
    </row>
    <row r="5820" spans="1:3" ht="15.75" customHeight="1" x14ac:dyDescent="0.2">
      <c r="A5820" s="42">
        <v>6185</v>
      </c>
      <c r="B5820" s="42">
        <v>17422</v>
      </c>
      <c r="C5820" s="34" t="s">
        <v>6152</v>
      </c>
    </row>
    <row r="5821" spans="1:3" ht="15.75" customHeight="1" x14ac:dyDescent="0.2">
      <c r="A5821" s="42">
        <v>6186</v>
      </c>
      <c r="B5821" s="42">
        <v>17422</v>
      </c>
      <c r="C5821" s="34" t="s">
        <v>6153</v>
      </c>
    </row>
    <row r="5822" spans="1:3" ht="15.75" customHeight="1" x14ac:dyDescent="0.2">
      <c r="A5822" s="42">
        <v>6187</v>
      </c>
      <c r="B5822" s="42">
        <v>17422</v>
      </c>
      <c r="C5822" s="34" t="s">
        <v>6154</v>
      </c>
    </row>
    <row r="5823" spans="1:3" ht="15.75" customHeight="1" x14ac:dyDescent="0.2">
      <c r="A5823" s="42">
        <v>6188</v>
      </c>
      <c r="B5823" s="42">
        <v>17422</v>
      </c>
      <c r="C5823" s="34" t="s">
        <v>6155</v>
      </c>
    </row>
    <row r="5824" spans="1:3" ht="15.75" customHeight="1" x14ac:dyDescent="0.2">
      <c r="A5824" s="42">
        <v>6189</v>
      </c>
      <c r="B5824" s="42">
        <v>17422</v>
      </c>
      <c r="C5824" s="34" t="s">
        <v>6156</v>
      </c>
    </row>
    <row r="5825" spans="1:3" ht="15.75" customHeight="1" x14ac:dyDescent="0.2">
      <c r="A5825" s="42">
        <v>6190</v>
      </c>
      <c r="B5825" s="42">
        <v>17422</v>
      </c>
      <c r="C5825" s="34" t="s">
        <v>6157</v>
      </c>
    </row>
    <row r="5826" spans="1:3" ht="15.75" customHeight="1" x14ac:dyDescent="0.2">
      <c r="A5826" s="42">
        <v>6191</v>
      </c>
      <c r="B5826" s="42">
        <v>17422</v>
      </c>
      <c r="C5826" s="34" t="s">
        <v>6158</v>
      </c>
    </row>
    <row r="5827" spans="1:3" ht="15.75" customHeight="1" x14ac:dyDescent="0.2">
      <c r="A5827" s="42">
        <v>6192</v>
      </c>
      <c r="B5827" s="42">
        <v>17422</v>
      </c>
      <c r="C5827" s="34" t="s">
        <v>6159</v>
      </c>
    </row>
    <row r="5828" spans="1:3" ht="15.75" customHeight="1" x14ac:dyDescent="0.2">
      <c r="A5828" s="42">
        <v>6193</v>
      </c>
      <c r="B5828" s="42">
        <v>17422</v>
      </c>
      <c r="C5828" s="34" t="s">
        <v>6160</v>
      </c>
    </row>
    <row r="5829" spans="1:3" ht="15.75" customHeight="1" x14ac:dyDescent="0.2">
      <c r="A5829" s="42">
        <v>6194</v>
      </c>
      <c r="B5829" s="42">
        <v>17422</v>
      </c>
      <c r="C5829" s="34" t="s">
        <v>6132</v>
      </c>
    </row>
    <row r="5830" spans="1:3" ht="15.75" customHeight="1" x14ac:dyDescent="0.2">
      <c r="A5830" s="42">
        <v>6195</v>
      </c>
      <c r="B5830" s="42">
        <v>17422</v>
      </c>
      <c r="C5830" s="34" t="s">
        <v>6161</v>
      </c>
    </row>
    <row r="5831" spans="1:3" ht="15.75" customHeight="1" x14ac:dyDescent="0.2">
      <c r="A5831" s="42">
        <v>6196</v>
      </c>
      <c r="B5831" s="42">
        <v>17422</v>
      </c>
      <c r="C5831" s="34" t="s">
        <v>6162</v>
      </c>
    </row>
    <row r="5832" spans="1:3" ht="15.75" customHeight="1" x14ac:dyDescent="0.2">
      <c r="A5832" s="42">
        <v>6197</v>
      </c>
      <c r="B5832" s="42">
        <v>17422</v>
      </c>
      <c r="C5832" s="34" t="s">
        <v>6144</v>
      </c>
    </row>
    <row r="5833" spans="1:3" ht="15.75" customHeight="1" x14ac:dyDescent="0.2">
      <c r="A5833" s="42">
        <v>6198</v>
      </c>
      <c r="B5833" s="42">
        <v>17422</v>
      </c>
      <c r="C5833" s="34" t="s">
        <v>6163</v>
      </c>
    </row>
    <row r="5834" spans="1:3" ht="15.75" customHeight="1" x14ac:dyDescent="0.2">
      <c r="A5834" s="42">
        <v>6199</v>
      </c>
      <c r="B5834" s="42">
        <v>17422</v>
      </c>
      <c r="C5834" s="34" t="s">
        <v>6164</v>
      </c>
    </row>
    <row r="5835" spans="1:3" ht="15.75" customHeight="1" x14ac:dyDescent="0.2">
      <c r="A5835" s="42">
        <v>6200</v>
      </c>
      <c r="B5835" s="42">
        <v>17422</v>
      </c>
      <c r="C5835" s="34" t="s">
        <v>6165</v>
      </c>
    </row>
    <row r="5836" spans="1:3" ht="15.75" customHeight="1" x14ac:dyDescent="0.2">
      <c r="A5836" s="42">
        <v>6201</v>
      </c>
      <c r="B5836" s="42">
        <v>17422</v>
      </c>
      <c r="C5836" s="34" t="s">
        <v>6166</v>
      </c>
    </row>
    <row r="5837" spans="1:3" ht="15.75" customHeight="1" x14ac:dyDescent="0.2">
      <c r="A5837" s="42">
        <v>6202</v>
      </c>
      <c r="B5837" s="42">
        <v>17422</v>
      </c>
      <c r="C5837" s="34" t="s">
        <v>6167</v>
      </c>
    </row>
    <row r="5838" spans="1:3" ht="15.75" customHeight="1" x14ac:dyDescent="0.2">
      <c r="A5838" s="42">
        <v>6203</v>
      </c>
      <c r="B5838" s="42">
        <v>17422</v>
      </c>
      <c r="C5838" s="34" t="s">
        <v>6168</v>
      </c>
    </row>
    <row r="5839" spans="1:3" ht="15.75" customHeight="1" x14ac:dyDescent="0.2">
      <c r="A5839" s="42">
        <v>6204</v>
      </c>
      <c r="B5839" s="42">
        <v>17422</v>
      </c>
      <c r="C5839" s="34" t="s">
        <v>6169</v>
      </c>
    </row>
    <row r="5840" spans="1:3" ht="15.75" customHeight="1" x14ac:dyDescent="0.2">
      <c r="A5840" s="42">
        <v>6205</v>
      </c>
      <c r="B5840" s="42">
        <v>17422</v>
      </c>
      <c r="C5840" s="34" t="s">
        <v>6170</v>
      </c>
    </row>
    <row r="5841" spans="1:3" ht="15.75" customHeight="1" x14ac:dyDescent="0.2">
      <c r="A5841" s="42">
        <v>6206</v>
      </c>
      <c r="B5841" s="42">
        <v>17422</v>
      </c>
      <c r="C5841" s="34" t="s">
        <v>6171</v>
      </c>
    </row>
    <row r="5842" spans="1:3" ht="15.75" customHeight="1" x14ac:dyDescent="0.2">
      <c r="A5842" s="42">
        <v>6207</v>
      </c>
      <c r="B5842" s="42">
        <v>17422</v>
      </c>
      <c r="C5842" s="34" t="s">
        <v>6172</v>
      </c>
    </row>
    <row r="5843" spans="1:3" ht="15.75" customHeight="1" x14ac:dyDescent="0.2">
      <c r="A5843" s="42">
        <v>6208</v>
      </c>
      <c r="B5843" s="42">
        <v>17422</v>
      </c>
      <c r="C5843" s="34" t="s">
        <v>6173</v>
      </c>
    </row>
    <row r="5844" spans="1:3" ht="15.75" customHeight="1" x14ac:dyDescent="0.2">
      <c r="A5844" s="42">
        <v>6209</v>
      </c>
      <c r="B5844" s="42">
        <v>17422</v>
      </c>
      <c r="C5844" s="34" t="s">
        <v>6174</v>
      </c>
    </row>
    <row r="5845" spans="1:3" ht="15.75" customHeight="1" x14ac:dyDescent="0.2">
      <c r="A5845" s="42">
        <v>6210</v>
      </c>
      <c r="B5845" s="42">
        <v>17422</v>
      </c>
      <c r="C5845" s="34" t="s">
        <v>6175</v>
      </c>
    </row>
    <row r="5846" spans="1:3" ht="15.75" customHeight="1" x14ac:dyDescent="0.2">
      <c r="A5846" s="42">
        <v>6211</v>
      </c>
      <c r="B5846" s="42">
        <v>17422</v>
      </c>
      <c r="C5846" s="34" t="s">
        <v>6176</v>
      </c>
    </row>
    <row r="5847" spans="1:3" ht="15.75" customHeight="1" x14ac:dyDescent="0.2">
      <c r="A5847" s="42">
        <v>6212</v>
      </c>
      <c r="B5847" s="42">
        <v>17422</v>
      </c>
      <c r="C5847" s="34" t="s">
        <v>6177</v>
      </c>
    </row>
    <row r="5848" spans="1:3" ht="15.75" customHeight="1" x14ac:dyDescent="0.2">
      <c r="A5848" s="42">
        <v>6213</v>
      </c>
      <c r="B5848" s="42">
        <v>17422</v>
      </c>
      <c r="C5848" s="34" t="s">
        <v>6169</v>
      </c>
    </row>
    <row r="5849" spans="1:3" ht="15.75" customHeight="1" x14ac:dyDescent="0.2">
      <c r="A5849" s="42">
        <v>6214</v>
      </c>
      <c r="B5849" s="42">
        <v>17422</v>
      </c>
      <c r="C5849" s="34" t="s">
        <v>6132</v>
      </c>
    </row>
    <row r="5850" spans="1:3" ht="15.75" customHeight="1" x14ac:dyDescent="0.2">
      <c r="A5850" s="42">
        <v>6215</v>
      </c>
      <c r="B5850" s="42">
        <v>17422</v>
      </c>
      <c r="C5850" s="34" t="s">
        <v>6120</v>
      </c>
    </row>
    <row r="5851" spans="1:3" ht="15.75" customHeight="1" x14ac:dyDescent="0.2">
      <c r="A5851" s="42">
        <v>6216</v>
      </c>
      <c r="B5851" s="42">
        <v>17422</v>
      </c>
      <c r="C5851" s="34" t="s">
        <v>6178</v>
      </c>
    </row>
    <row r="5852" spans="1:3" ht="15.75" customHeight="1" x14ac:dyDescent="0.2">
      <c r="A5852" s="42">
        <v>6217</v>
      </c>
      <c r="B5852" s="42">
        <v>17422</v>
      </c>
      <c r="C5852" s="34" t="s">
        <v>6179</v>
      </c>
    </row>
    <row r="5853" spans="1:3" ht="15.75" customHeight="1" x14ac:dyDescent="0.2">
      <c r="A5853" s="42">
        <v>6218</v>
      </c>
      <c r="B5853" s="42">
        <v>17422</v>
      </c>
      <c r="C5853" s="34" t="s">
        <v>6125</v>
      </c>
    </row>
    <row r="5854" spans="1:3" ht="15.75" customHeight="1" x14ac:dyDescent="0.2">
      <c r="A5854" s="42">
        <v>6219</v>
      </c>
      <c r="B5854" s="42">
        <v>17422</v>
      </c>
      <c r="C5854" s="34" t="s">
        <v>6180</v>
      </c>
    </row>
    <row r="5855" spans="1:3" ht="15.75" customHeight="1" x14ac:dyDescent="0.2">
      <c r="A5855" s="42">
        <v>6220</v>
      </c>
      <c r="B5855" s="42">
        <v>17422</v>
      </c>
      <c r="C5855" s="34" t="s">
        <v>6181</v>
      </c>
    </row>
    <row r="5856" spans="1:3" ht="15.75" customHeight="1" x14ac:dyDescent="0.2">
      <c r="A5856" s="42">
        <v>6221</v>
      </c>
      <c r="B5856" s="42">
        <v>17422</v>
      </c>
      <c r="C5856" s="34" t="s">
        <v>6182</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00"/>
  <sheetViews>
    <sheetView tabSelected="1" workbookViewId="0">
      <pane ySplit="1" topLeftCell="A2" activePane="bottomLeft" state="frozen"/>
      <selection pane="bottomLeft" activeCell="F183" sqref="F183"/>
    </sheetView>
  </sheetViews>
  <sheetFormatPr baseColWidth="10" defaultColWidth="11.1640625" defaultRowHeight="15" customHeight="1" x14ac:dyDescent="0.2"/>
  <cols>
    <col min="1" max="2" width="10.83203125" customWidth="1"/>
    <col min="3" max="4" width="30.83203125" customWidth="1"/>
    <col min="5" max="5" width="234" customWidth="1"/>
    <col min="6" max="6" width="10.5" customWidth="1"/>
    <col min="7" max="12" width="10.83203125" customWidth="1"/>
    <col min="13" max="13" width="8.83203125" customWidth="1"/>
    <col min="14" max="26" width="10.5" customWidth="1"/>
  </cols>
  <sheetData>
    <row r="1" spans="1:26" ht="15.75" customHeight="1" x14ac:dyDescent="0.2">
      <c r="A1" s="44" t="s">
        <v>22</v>
      </c>
      <c r="B1" s="44" t="s">
        <v>592</v>
      </c>
      <c r="C1" s="44" t="s">
        <v>6183</v>
      </c>
      <c r="D1" s="44" t="s">
        <v>6184</v>
      </c>
      <c r="E1" s="44" t="s">
        <v>6185</v>
      </c>
      <c r="F1" s="44" t="s">
        <v>6186</v>
      </c>
      <c r="G1" s="44" t="s">
        <v>6187</v>
      </c>
      <c r="H1" s="44" t="s">
        <v>6188</v>
      </c>
      <c r="I1" s="44" t="s">
        <v>6189</v>
      </c>
      <c r="J1" s="44" t="s">
        <v>6190</v>
      </c>
      <c r="K1" s="44" t="s">
        <v>6191</v>
      </c>
      <c r="L1" s="44" t="s">
        <v>6192</v>
      </c>
      <c r="M1" s="53" t="s">
        <v>6193</v>
      </c>
      <c r="N1" s="45"/>
      <c r="O1" s="45"/>
      <c r="P1" s="45"/>
      <c r="Q1" s="45"/>
      <c r="R1" s="45"/>
      <c r="S1" s="45"/>
      <c r="T1" s="45"/>
      <c r="U1" s="45"/>
      <c r="V1" s="45"/>
      <c r="W1" s="45"/>
      <c r="X1" s="45"/>
      <c r="Y1" s="45"/>
      <c r="Z1" s="45"/>
    </row>
    <row r="2" spans="1:26" ht="15.75" customHeight="1" x14ac:dyDescent="0.2">
      <c r="A2" s="46">
        <v>17311</v>
      </c>
      <c r="B2" s="46">
        <v>1</v>
      </c>
      <c r="C2" s="39" t="s">
        <v>596</v>
      </c>
      <c r="D2" s="34" t="s">
        <v>6194</v>
      </c>
      <c r="E2" s="34" t="s">
        <v>6195</v>
      </c>
      <c r="F2" s="34">
        <v>1</v>
      </c>
      <c r="G2" s="34" t="b">
        <v>1</v>
      </c>
      <c r="H2" s="46">
        <v>1</v>
      </c>
      <c r="I2" s="46">
        <v>1</v>
      </c>
      <c r="J2" s="46"/>
      <c r="K2" s="46"/>
      <c r="L2" s="46"/>
      <c r="M2" s="52"/>
    </row>
    <row r="3" spans="1:26" ht="15.75" customHeight="1" x14ac:dyDescent="0.2">
      <c r="A3" s="46">
        <v>17312</v>
      </c>
      <c r="B3" s="46">
        <v>2</v>
      </c>
      <c r="C3" s="39" t="s">
        <v>598</v>
      </c>
      <c r="D3" s="34" t="s">
        <v>6196</v>
      </c>
      <c r="E3" s="34" t="s">
        <v>6197</v>
      </c>
      <c r="F3" s="34">
        <v>1</v>
      </c>
      <c r="G3" s="34" t="b">
        <v>1</v>
      </c>
      <c r="H3" s="46">
        <v>1</v>
      </c>
      <c r="I3" s="46">
        <v>1</v>
      </c>
      <c r="J3" s="46"/>
      <c r="K3" s="46"/>
      <c r="L3" s="46"/>
      <c r="M3" s="52"/>
    </row>
    <row r="4" spans="1:26" ht="15.75" customHeight="1" x14ac:dyDescent="0.2">
      <c r="A4" s="46">
        <v>17312</v>
      </c>
      <c r="B4" s="46">
        <v>3</v>
      </c>
      <c r="C4" s="39" t="s">
        <v>600</v>
      </c>
      <c r="D4" s="34" t="s">
        <v>6198</v>
      </c>
      <c r="E4" s="34" t="s">
        <v>6199</v>
      </c>
      <c r="F4" s="34">
        <v>1</v>
      </c>
      <c r="G4" s="34" t="b">
        <v>1</v>
      </c>
      <c r="H4" s="46">
        <v>3</v>
      </c>
      <c r="I4" s="46">
        <v>3</v>
      </c>
      <c r="J4" s="46"/>
      <c r="K4" s="46"/>
      <c r="L4" s="46"/>
      <c r="M4" s="52"/>
    </row>
    <row r="5" spans="1:26" ht="15.75" customHeight="1" x14ac:dyDescent="0.2">
      <c r="A5" s="46">
        <v>17312</v>
      </c>
      <c r="B5" s="46">
        <v>4</v>
      </c>
      <c r="C5" s="39" t="s">
        <v>601</v>
      </c>
      <c r="D5" s="34" t="s">
        <v>6200</v>
      </c>
      <c r="E5" s="34" t="s">
        <v>6201</v>
      </c>
      <c r="F5" s="34">
        <v>1</v>
      </c>
      <c r="G5" s="34" t="b">
        <v>1</v>
      </c>
      <c r="H5" s="46">
        <v>2</v>
      </c>
      <c r="I5" s="46">
        <v>2</v>
      </c>
      <c r="J5" s="46"/>
      <c r="K5" s="46"/>
      <c r="L5" s="46"/>
      <c r="M5" s="52"/>
    </row>
    <row r="6" spans="1:26" ht="15.75" customHeight="1" x14ac:dyDescent="0.2">
      <c r="A6" s="46">
        <v>17312</v>
      </c>
      <c r="B6" s="46">
        <v>5</v>
      </c>
      <c r="C6" s="39" t="s">
        <v>604</v>
      </c>
      <c r="D6" s="34" t="s">
        <v>6202</v>
      </c>
      <c r="E6" s="34" t="s">
        <v>6203</v>
      </c>
      <c r="F6" s="34">
        <v>1</v>
      </c>
      <c r="G6" s="34" t="b">
        <v>1</v>
      </c>
      <c r="H6" s="46">
        <v>1</v>
      </c>
      <c r="I6" s="46">
        <v>1</v>
      </c>
      <c r="J6" s="46"/>
      <c r="K6" s="46"/>
      <c r="L6" s="46"/>
      <c r="M6" s="52"/>
    </row>
    <row r="7" spans="1:26" ht="15.75" customHeight="1" x14ac:dyDescent="0.2">
      <c r="A7" s="46">
        <v>17312</v>
      </c>
      <c r="B7" s="46">
        <v>6</v>
      </c>
      <c r="C7" s="39" t="s">
        <v>605</v>
      </c>
      <c r="D7" s="34" t="s">
        <v>6204</v>
      </c>
      <c r="E7" s="34" t="s">
        <v>6205</v>
      </c>
      <c r="F7" s="34">
        <v>1</v>
      </c>
      <c r="G7" s="34" t="b">
        <v>1</v>
      </c>
      <c r="H7" s="46">
        <v>1</v>
      </c>
      <c r="I7" s="46">
        <v>1</v>
      </c>
      <c r="J7" s="46"/>
      <c r="K7" s="46"/>
      <c r="L7" s="46"/>
      <c r="M7" s="52"/>
    </row>
    <row r="8" spans="1:26" ht="15.75" customHeight="1" x14ac:dyDescent="0.2">
      <c r="A8" s="46">
        <v>17312</v>
      </c>
      <c r="B8" s="46">
        <v>7</v>
      </c>
      <c r="C8" s="39" t="s">
        <v>606</v>
      </c>
      <c r="D8" s="34" t="s">
        <v>6206</v>
      </c>
      <c r="E8" s="34" t="s">
        <v>6207</v>
      </c>
      <c r="F8" s="34">
        <v>1</v>
      </c>
      <c r="G8" s="34" t="b">
        <v>1</v>
      </c>
      <c r="H8" s="46">
        <v>2</v>
      </c>
      <c r="I8" s="46">
        <v>2</v>
      </c>
      <c r="J8" s="46"/>
      <c r="K8" s="46"/>
      <c r="L8" s="46"/>
      <c r="M8" s="52">
        <v>1</v>
      </c>
    </row>
    <row r="9" spans="1:26" ht="15.75" customHeight="1" x14ac:dyDescent="0.2">
      <c r="A9" s="46">
        <v>17312</v>
      </c>
      <c r="B9" s="46">
        <v>8</v>
      </c>
      <c r="C9" s="39" t="s">
        <v>607</v>
      </c>
      <c r="D9" s="34" t="s">
        <v>6208</v>
      </c>
      <c r="E9" s="34" t="s">
        <v>6209</v>
      </c>
      <c r="F9" s="34">
        <v>1</v>
      </c>
      <c r="G9" s="34" t="b">
        <v>0</v>
      </c>
      <c r="H9" s="46">
        <v>2</v>
      </c>
      <c r="I9" s="46"/>
      <c r="J9" s="46">
        <v>2</v>
      </c>
      <c r="K9" s="46"/>
      <c r="L9" s="46"/>
      <c r="M9" s="52">
        <v>1</v>
      </c>
    </row>
    <row r="10" spans="1:26" ht="15.75" customHeight="1" x14ac:dyDescent="0.2">
      <c r="A10" s="46">
        <v>17313</v>
      </c>
      <c r="B10" s="46">
        <v>9</v>
      </c>
      <c r="C10" s="39" t="s">
        <v>608</v>
      </c>
      <c r="D10" s="34" t="s">
        <v>6210</v>
      </c>
      <c r="E10" s="34" t="s">
        <v>6211</v>
      </c>
      <c r="F10" s="34">
        <v>1</v>
      </c>
      <c r="G10" s="34" t="b">
        <v>1</v>
      </c>
      <c r="H10" s="46">
        <v>4</v>
      </c>
      <c r="I10" s="46">
        <v>4</v>
      </c>
      <c r="J10" s="46"/>
      <c r="K10" s="46"/>
      <c r="L10" s="46"/>
      <c r="M10" s="52"/>
    </row>
    <row r="11" spans="1:26" ht="15.75" customHeight="1" x14ac:dyDescent="0.2">
      <c r="A11" s="46">
        <v>17314</v>
      </c>
      <c r="B11" s="46">
        <v>10</v>
      </c>
      <c r="C11" s="39" t="s">
        <v>611</v>
      </c>
      <c r="D11" s="34" t="s">
        <v>6212</v>
      </c>
      <c r="E11" s="34" t="s">
        <v>6213</v>
      </c>
      <c r="F11" s="34">
        <v>1</v>
      </c>
      <c r="G11" s="34" t="b">
        <v>0</v>
      </c>
      <c r="H11" s="46">
        <v>1</v>
      </c>
      <c r="I11" s="46"/>
      <c r="J11" s="46"/>
      <c r="K11" s="46">
        <v>1</v>
      </c>
      <c r="L11" s="46"/>
      <c r="M11" s="52">
        <v>1</v>
      </c>
    </row>
    <row r="12" spans="1:26" ht="15.75" customHeight="1" x14ac:dyDescent="0.2">
      <c r="A12" s="46">
        <v>17314</v>
      </c>
      <c r="B12" s="46">
        <v>11</v>
      </c>
      <c r="C12" s="39" t="s">
        <v>614</v>
      </c>
      <c r="D12" s="34" t="s">
        <v>6214</v>
      </c>
      <c r="E12" s="34" t="s">
        <v>6215</v>
      </c>
      <c r="F12" s="34">
        <v>1</v>
      </c>
      <c r="G12" s="34" t="b">
        <v>0</v>
      </c>
      <c r="H12" s="46">
        <v>1</v>
      </c>
      <c r="I12" s="46">
        <v>1</v>
      </c>
      <c r="J12" s="46"/>
      <c r="K12" s="46"/>
      <c r="L12" s="46"/>
      <c r="M12" s="52">
        <v>1</v>
      </c>
    </row>
    <row r="13" spans="1:26" ht="15.75" customHeight="1" x14ac:dyDescent="0.2">
      <c r="A13" s="46">
        <v>17314</v>
      </c>
      <c r="B13" s="46">
        <v>12</v>
      </c>
      <c r="C13" s="39" t="s">
        <v>617</v>
      </c>
      <c r="D13" s="34" t="s">
        <v>6216</v>
      </c>
      <c r="E13" s="34" t="s">
        <v>6217</v>
      </c>
      <c r="F13" s="34">
        <v>1</v>
      </c>
      <c r="G13" s="34" t="b">
        <v>1</v>
      </c>
      <c r="H13" s="46">
        <v>7</v>
      </c>
      <c r="I13" s="46">
        <v>2</v>
      </c>
      <c r="J13" s="46">
        <v>5</v>
      </c>
      <c r="K13" s="46"/>
      <c r="L13" s="46"/>
      <c r="M13" s="52"/>
    </row>
    <row r="14" spans="1:26" ht="15.75" customHeight="1" x14ac:dyDescent="0.2">
      <c r="A14" s="46">
        <v>17314</v>
      </c>
      <c r="B14" s="46">
        <v>13</v>
      </c>
      <c r="C14" s="39" t="s">
        <v>620</v>
      </c>
      <c r="D14" s="34" t="s">
        <v>6218</v>
      </c>
      <c r="E14" s="34" t="s">
        <v>6219</v>
      </c>
      <c r="F14" s="34">
        <v>1</v>
      </c>
      <c r="G14" s="34" t="b">
        <v>1</v>
      </c>
      <c r="H14" s="46">
        <v>5</v>
      </c>
      <c r="I14" s="46">
        <v>5</v>
      </c>
      <c r="J14" s="46"/>
      <c r="K14" s="46"/>
      <c r="L14" s="46"/>
      <c r="M14" s="52"/>
    </row>
    <row r="15" spans="1:26" ht="15.75" customHeight="1" x14ac:dyDescent="0.2">
      <c r="A15" s="46">
        <v>17314</v>
      </c>
      <c r="B15" s="46">
        <v>14</v>
      </c>
      <c r="C15" s="39" t="s">
        <v>623</v>
      </c>
      <c r="D15" s="34" t="s">
        <v>6220</v>
      </c>
      <c r="E15" s="34" t="s">
        <v>6221</v>
      </c>
      <c r="F15" s="34">
        <v>1</v>
      </c>
      <c r="G15" s="34" t="b">
        <v>1</v>
      </c>
      <c r="H15" s="46">
        <v>4</v>
      </c>
      <c r="I15" s="46">
        <v>3</v>
      </c>
      <c r="J15" s="46"/>
      <c r="K15" s="46"/>
      <c r="L15" s="46">
        <v>1</v>
      </c>
      <c r="M15" s="52"/>
    </row>
    <row r="16" spans="1:26" ht="15.75" customHeight="1" x14ac:dyDescent="0.2">
      <c r="A16" s="46">
        <v>17314</v>
      </c>
      <c r="B16" s="46">
        <v>15</v>
      </c>
      <c r="C16" s="39" t="s">
        <v>625</v>
      </c>
      <c r="D16" s="34" t="s">
        <v>6222</v>
      </c>
      <c r="E16" s="34" t="s">
        <v>6223</v>
      </c>
      <c r="F16" s="34">
        <v>1</v>
      </c>
      <c r="G16" s="34" t="b">
        <v>0</v>
      </c>
      <c r="H16" s="46">
        <v>1</v>
      </c>
      <c r="I16" s="46"/>
      <c r="J16" s="46"/>
      <c r="K16" s="46">
        <v>1</v>
      </c>
      <c r="L16" s="46"/>
      <c r="M16" s="52">
        <v>1</v>
      </c>
    </row>
    <row r="17" spans="1:13" ht="15.75" customHeight="1" x14ac:dyDescent="0.2">
      <c r="A17" s="46">
        <v>17314</v>
      </c>
      <c r="B17" s="46">
        <v>16</v>
      </c>
      <c r="C17" s="39" t="s">
        <v>626</v>
      </c>
      <c r="D17" s="34" t="s">
        <v>6224</v>
      </c>
      <c r="E17" s="34" t="s">
        <v>6225</v>
      </c>
      <c r="F17" s="34">
        <v>1</v>
      </c>
      <c r="G17" s="34" t="b">
        <v>0</v>
      </c>
      <c r="H17" s="46">
        <v>4</v>
      </c>
      <c r="I17" s="46"/>
      <c r="J17" s="46">
        <v>4</v>
      </c>
      <c r="K17" s="46"/>
      <c r="L17" s="46"/>
      <c r="M17" s="52">
        <v>1</v>
      </c>
    </row>
    <row r="18" spans="1:13" ht="15.75" customHeight="1" x14ac:dyDescent="0.2">
      <c r="A18" s="46">
        <v>17315</v>
      </c>
      <c r="B18" s="46">
        <v>17</v>
      </c>
      <c r="C18" s="39" t="s">
        <v>627</v>
      </c>
      <c r="D18" s="34" t="s">
        <v>6226</v>
      </c>
      <c r="E18" s="34" t="s">
        <v>6227</v>
      </c>
      <c r="F18" s="34">
        <v>1</v>
      </c>
      <c r="G18" s="34" t="b">
        <v>1</v>
      </c>
      <c r="H18" s="46">
        <v>3</v>
      </c>
      <c r="I18" s="46">
        <v>3</v>
      </c>
      <c r="J18" s="46"/>
      <c r="K18" s="46"/>
      <c r="L18" s="46"/>
      <c r="M18" s="52"/>
    </row>
    <row r="19" spans="1:13" ht="15.75" customHeight="1" x14ac:dyDescent="0.2">
      <c r="A19" s="46">
        <v>17315</v>
      </c>
      <c r="B19" s="46">
        <v>18</v>
      </c>
      <c r="C19" s="39" t="s">
        <v>629</v>
      </c>
      <c r="D19" s="34" t="s">
        <v>6228</v>
      </c>
      <c r="E19" s="34" t="s">
        <v>6229</v>
      </c>
      <c r="F19" s="34">
        <v>1</v>
      </c>
      <c r="G19" s="34" t="b">
        <v>1</v>
      </c>
      <c r="H19" s="46">
        <v>2</v>
      </c>
      <c r="I19" s="46">
        <v>2</v>
      </c>
      <c r="J19" s="46"/>
      <c r="K19" s="46"/>
      <c r="L19" s="46"/>
      <c r="M19" s="52"/>
    </row>
    <row r="20" spans="1:13" ht="15.75" customHeight="1" x14ac:dyDescent="0.2">
      <c r="A20" s="46">
        <v>17315</v>
      </c>
      <c r="B20" s="46">
        <v>19</v>
      </c>
      <c r="C20" s="39" t="s">
        <v>632</v>
      </c>
      <c r="D20" s="34" t="s">
        <v>6230</v>
      </c>
      <c r="E20" s="34" t="s">
        <v>6231</v>
      </c>
      <c r="F20" s="34">
        <v>1</v>
      </c>
      <c r="G20" s="34" t="b">
        <v>1</v>
      </c>
      <c r="H20" s="46">
        <v>5</v>
      </c>
      <c r="I20" s="46">
        <v>5</v>
      </c>
      <c r="J20" s="46"/>
      <c r="K20" s="46"/>
      <c r="L20" s="46"/>
      <c r="M20" s="52"/>
    </row>
    <row r="21" spans="1:13" ht="15.75" customHeight="1" x14ac:dyDescent="0.2">
      <c r="A21" s="46">
        <v>17315</v>
      </c>
      <c r="B21" s="46">
        <v>20</v>
      </c>
      <c r="C21" s="39" t="s">
        <v>633</v>
      </c>
      <c r="D21" s="34" t="s">
        <v>6232</v>
      </c>
      <c r="E21" s="34" t="s">
        <v>6233</v>
      </c>
      <c r="F21" s="34">
        <v>1</v>
      </c>
      <c r="G21" s="34" t="b">
        <v>1</v>
      </c>
      <c r="H21" s="46">
        <v>1</v>
      </c>
      <c r="I21" s="46">
        <v>1</v>
      </c>
      <c r="J21" s="46"/>
      <c r="K21" s="46"/>
      <c r="L21" s="46"/>
      <c r="M21" s="52"/>
    </row>
    <row r="22" spans="1:13" ht="15.75" customHeight="1" x14ac:dyDescent="0.2">
      <c r="A22" s="46">
        <v>17315</v>
      </c>
      <c r="B22" s="46">
        <v>21</v>
      </c>
      <c r="C22" s="39" t="s">
        <v>634</v>
      </c>
      <c r="D22" s="34" t="s">
        <v>6234</v>
      </c>
      <c r="E22" s="34" t="s">
        <v>6235</v>
      </c>
      <c r="F22" s="34">
        <v>1</v>
      </c>
      <c r="G22" s="34" t="b">
        <v>1</v>
      </c>
      <c r="H22" s="46">
        <v>4</v>
      </c>
      <c r="I22" s="46">
        <v>3</v>
      </c>
      <c r="J22" s="46"/>
      <c r="K22" s="46"/>
      <c r="L22" s="46">
        <v>1</v>
      </c>
      <c r="M22" s="52"/>
    </row>
    <row r="23" spans="1:13" ht="15.75" customHeight="1" x14ac:dyDescent="0.2">
      <c r="A23" s="46">
        <v>17316</v>
      </c>
      <c r="B23" s="46">
        <v>22</v>
      </c>
      <c r="C23" s="39" t="s">
        <v>637</v>
      </c>
      <c r="D23" s="34" t="s">
        <v>6236</v>
      </c>
      <c r="E23" s="34" t="s">
        <v>6237</v>
      </c>
      <c r="F23" s="34">
        <v>1</v>
      </c>
      <c r="G23" s="34" t="b">
        <v>1</v>
      </c>
      <c r="H23" s="46">
        <v>3</v>
      </c>
      <c r="I23" s="46">
        <v>2</v>
      </c>
      <c r="J23" s="46">
        <v>1</v>
      </c>
      <c r="K23" s="46"/>
      <c r="L23" s="46"/>
      <c r="M23" s="52"/>
    </row>
    <row r="24" spans="1:13" ht="15.75" customHeight="1" x14ac:dyDescent="0.2">
      <c r="A24" s="46">
        <v>17316</v>
      </c>
      <c r="B24" s="46">
        <v>23</v>
      </c>
      <c r="C24" s="39" t="s">
        <v>640</v>
      </c>
      <c r="D24" s="34" t="s">
        <v>6238</v>
      </c>
      <c r="E24" s="34" t="s">
        <v>6239</v>
      </c>
      <c r="F24" s="34">
        <v>1</v>
      </c>
      <c r="G24" s="34" t="b">
        <v>1</v>
      </c>
      <c r="H24" s="46">
        <v>8</v>
      </c>
      <c r="I24" s="46">
        <v>8</v>
      </c>
      <c r="J24" s="46"/>
      <c r="K24" s="46"/>
      <c r="L24" s="46"/>
      <c r="M24" s="52"/>
    </row>
    <row r="25" spans="1:13" ht="15.75" customHeight="1" x14ac:dyDescent="0.2">
      <c r="A25" s="46">
        <v>17316</v>
      </c>
      <c r="B25" s="46">
        <v>24</v>
      </c>
      <c r="C25" s="39" t="s">
        <v>642</v>
      </c>
      <c r="D25" s="34" t="s">
        <v>6240</v>
      </c>
      <c r="E25" s="34" t="s">
        <v>6241</v>
      </c>
      <c r="F25" s="34">
        <v>1</v>
      </c>
      <c r="G25" s="34" t="b">
        <v>1</v>
      </c>
      <c r="H25" s="46">
        <v>3</v>
      </c>
      <c r="I25" s="46">
        <v>2</v>
      </c>
      <c r="J25" s="46">
        <v>1</v>
      </c>
      <c r="K25" s="46"/>
      <c r="L25" s="46"/>
      <c r="M25" s="52"/>
    </row>
    <row r="26" spans="1:13" ht="15.75" customHeight="1" x14ac:dyDescent="0.2">
      <c r="A26" s="46">
        <v>17316</v>
      </c>
      <c r="B26" s="46">
        <v>25</v>
      </c>
      <c r="C26" s="39" t="s">
        <v>643</v>
      </c>
      <c r="D26" s="34" t="s">
        <v>6242</v>
      </c>
      <c r="E26" s="34" t="s">
        <v>6243</v>
      </c>
      <c r="F26" s="34">
        <v>1</v>
      </c>
      <c r="G26" s="34" t="b">
        <v>0</v>
      </c>
      <c r="H26" s="46">
        <v>3</v>
      </c>
      <c r="I26" s="46">
        <v>3</v>
      </c>
      <c r="J26" s="46"/>
      <c r="K26" s="46"/>
      <c r="L26" s="46"/>
      <c r="M26" s="52">
        <v>1</v>
      </c>
    </row>
    <row r="27" spans="1:13" ht="15.75" customHeight="1" x14ac:dyDescent="0.2">
      <c r="A27" s="46">
        <v>17317</v>
      </c>
      <c r="B27" s="46">
        <v>26</v>
      </c>
      <c r="C27" s="39" t="s">
        <v>644</v>
      </c>
      <c r="D27" s="34" t="s">
        <v>6244</v>
      </c>
      <c r="E27" s="34" t="s">
        <v>6245</v>
      </c>
      <c r="F27" s="34">
        <v>1</v>
      </c>
      <c r="G27" s="34" t="b">
        <v>1</v>
      </c>
      <c r="H27" s="46">
        <v>1</v>
      </c>
      <c r="I27" s="46">
        <v>1</v>
      </c>
      <c r="J27" s="46"/>
      <c r="K27" s="46"/>
      <c r="L27" s="46"/>
      <c r="M27" s="52"/>
    </row>
    <row r="28" spans="1:13" ht="15.75" customHeight="1" x14ac:dyDescent="0.2">
      <c r="A28" s="46">
        <v>17318</v>
      </c>
      <c r="B28" s="46">
        <v>27</v>
      </c>
      <c r="C28" s="39" t="s">
        <v>647</v>
      </c>
      <c r="D28" s="34" t="s">
        <v>1808</v>
      </c>
      <c r="E28" s="34" t="s">
        <v>6246</v>
      </c>
      <c r="F28" s="34">
        <v>1</v>
      </c>
      <c r="G28" s="34" t="b">
        <v>1</v>
      </c>
      <c r="H28" s="46">
        <v>2</v>
      </c>
      <c r="I28" s="46">
        <v>2</v>
      </c>
      <c r="J28" s="46"/>
      <c r="K28" s="46"/>
      <c r="L28" s="46"/>
      <c r="M28" s="52"/>
    </row>
    <row r="29" spans="1:13" ht="15.75" customHeight="1" x14ac:dyDescent="0.2">
      <c r="A29" s="46">
        <v>17318</v>
      </c>
      <c r="B29" s="46">
        <v>28</v>
      </c>
      <c r="C29" s="39" t="s">
        <v>649</v>
      </c>
      <c r="D29" s="34" t="s">
        <v>6247</v>
      </c>
      <c r="E29" s="34" t="s">
        <v>6248</v>
      </c>
      <c r="F29" s="34">
        <v>1</v>
      </c>
      <c r="G29" s="34" t="b">
        <v>1</v>
      </c>
      <c r="H29" s="46">
        <v>2</v>
      </c>
      <c r="I29" s="46">
        <v>1</v>
      </c>
      <c r="J29" s="46">
        <v>1</v>
      </c>
      <c r="K29" s="46"/>
      <c r="L29" s="46"/>
      <c r="M29" s="52"/>
    </row>
    <row r="30" spans="1:13" ht="15.75" customHeight="1" x14ac:dyDescent="0.2">
      <c r="A30" s="46">
        <v>17318</v>
      </c>
      <c r="B30" s="46">
        <v>29</v>
      </c>
      <c r="C30" s="39" t="s">
        <v>650</v>
      </c>
      <c r="D30" s="34" t="s">
        <v>6249</v>
      </c>
      <c r="E30" s="34" t="s">
        <v>6250</v>
      </c>
      <c r="F30" s="34">
        <v>1</v>
      </c>
      <c r="G30" s="34" t="b">
        <v>1</v>
      </c>
      <c r="H30" s="46">
        <v>2</v>
      </c>
      <c r="I30" s="46">
        <v>2</v>
      </c>
      <c r="J30" s="46"/>
      <c r="K30" s="46"/>
      <c r="L30" s="46"/>
      <c r="M30" s="52"/>
    </row>
    <row r="31" spans="1:13" ht="15.75" customHeight="1" x14ac:dyDescent="0.2">
      <c r="A31" s="46">
        <v>17318</v>
      </c>
      <c r="B31" s="46">
        <v>30</v>
      </c>
      <c r="C31" s="39" t="s">
        <v>651</v>
      </c>
      <c r="D31" s="34" t="s">
        <v>1808</v>
      </c>
      <c r="E31" s="34" t="s">
        <v>6251</v>
      </c>
      <c r="F31" s="34">
        <v>1</v>
      </c>
      <c r="G31" s="34" t="b">
        <v>1</v>
      </c>
      <c r="H31" s="46">
        <v>1</v>
      </c>
      <c r="I31" s="46">
        <v>1</v>
      </c>
      <c r="J31" s="46"/>
      <c r="K31" s="46"/>
      <c r="L31" s="46"/>
      <c r="M31" s="52"/>
    </row>
    <row r="32" spans="1:13" ht="15.75" customHeight="1" x14ac:dyDescent="0.2">
      <c r="A32" s="46">
        <v>17319</v>
      </c>
      <c r="B32" s="46">
        <v>31</v>
      </c>
      <c r="C32" s="39" t="s">
        <v>654</v>
      </c>
      <c r="D32" s="34" t="s">
        <v>6252</v>
      </c>
      <c r="E32" s="34" t="s">
        <v>6253</v>
      </c>
      <c r="F32" s="34">
        <v>1</v>
      </c>
      <c r="G32" s="34" t="b">
        <v>1</v>
      </c>
      <c r="H32" s="46">
        <v>5</v>
      </c>
      <c r="I32" s="46">
        <v>5</v>
      </c>
      <c r="J32" s="46"/>
      <c r="K32" s="46"/>
      <c r="L32" s="46"/>
      <c r="M32" s="52"/>
    </row>
    <row r="33" spans="1:13" ht="15.75" customHeight="1" x14ac:dyDescent="0.2">
      <c r="A33" s="46">
        <v>17320</v>
      </c>
      <c r="B33" s="46">
        <v>32</v>
      </c>
      <c r="C33" s="39" t="s">
        <v>656</v>
      </c>
      <c r="D33" s="34" t="s">
        <v>6254</v>
      </c>
      <c r="E33" s="34" t="s">
        <v>6255</v>
      </c>
      <c r="F33" s="34">
        <v>1</v>
      </c>
      <c r="G33" s="34" t="b">
        <v>1</v>
      </c>
      <c r="H33" s="46">
        <v>1</v>
      </c>
      <c r="I33" s="46">
        <v>1</v>
      </c>
      <c r="J33" s="46"/>
      <c r="K33" s="46"/>
      <c r="L33" s="46"/>
      <c r="M33" s="52"/>
    </row>
    <row r="34" spans="1:13" ht="15.75" customHeight="1" x14ac:dyDescent="0.2">
      <c r="A34" s="46">
        <v>17320</v>
      </c>
      <c r="B34" s="46">
        <v>33</v>
      </c>
      <c r="C34" s="39" t="s">
        <v>658</v>
      </c>
      <c r="D34" s="34" t="s">
        <v>6256</v>
      </c>
      <c r="E34" s="34" t="s">
        <v>6257</v>
      </c>
      <c r="F34" s="34">
        <v>1</v>
      </c>
      <c r="G34" s="34" t="b">
        <v>1</v>
      </c>
      <c r="H34" s="46">
        <v>1</v>
      </c>
      <c r="I34" s="46">
        <v>1</v>
      </c>
      <c r="J34" s="46"/>
      <c r="K34" s="46"/>
      <c r="L34" s="46"/>
      <c r="M34" s="52"/>
    </row>
    <row r="35" spans="1:13" ht="15.75" customHeight="1" x14ac:dyDescent="0.2">
      <c r="A35" s="46">
        <v>17322</v>
      </c>
      <c r="B35" s="46">
        <v>34</v>
      </c>
      <c r="C35" s="39" t="s">
        <v>659</v>
      </c>
      <c r="D35" s="34" t="s">
        <v>6258</v>
      </c>
      <c r="E35" s="34" t="s">
        <v>6259</v>
      </c>
      <c r="F35" s="34">
        <v>1</v>
      </c>
      <c r="G35" s="34" t="b">
        <v>1</v>
      </c>
      <c r="H35" s="46">
        <v>4</v>
      </c>
      <c r="I35" s="46">
        <v>4</v>
      </c>
      <c r="J35" s="46"/>
      <c r="K35" s="46"/>
      <c r="L35" s="46"/>
      <c r="M35" s="52"/>
    </row>
    <row r="36" spans="1:13" ht="15.75" customHeight="1" x14ac:dyDescent="0.2">
      <c r="A36" s="46">
        <v>17323</v>
      </c>
      <c r="B36" s="46">
        <v>35</v>
      </c>
      <c r="C36" s="39" t="s">
        <v>661</v>
      </c>
      <c r="D36" s="34" t="s">
        <v>2050</v>
      </c>
      <c r="E36" s="34" t="s">
        <v>6260</v>
      </c>
      <c r="F36" s="34">
        <v>1</v>
      </c>
      <c r="G36" s="34" t="b">
        <v>1</v>
      </c>
      <c r="H36" s="46">
        <v>1</v>
      </c>
      <c r="I36" s="46">
        <v>1</v>
      </c>
      <c r="J36" s="46"/>
      <c r="K36" s="46"/>
      <c r="L36" s="46"/>
      <c r="M36" s="52"/>
    </row>
    <row r="37" spans="1:13" ht="15.75" customHeight="1" x14ac:dyDescent="0.2">
      <c r="A37" s="46">
        <v>17323</v>
      </c>
      <c r="B37" s="46">
        <v>36</v>
      </c>
      <c r="C37" s="39" t="s">
        <v>664</v>
      </c>
      <c r="D37" s="34" t="s">
        <v>6261</v>
      </c>
      <c r="E37" s="34" t="s">
        <v>6262</v>
      </c>
      <c r="F37" s="34">
        <v>1</v>
      </c>
      <c r="G37" s="34" t="b">
        <v>1</v>
      </c>
      <c r="H37" s="46">
        <v>3</v>
      </c>
      <c r="I37" s="46">
        <v>3</v>
      </c>
      <c r="J37" s="46"/>
      <c r="K37" s="46"/>
      <c r="L37" s="46"/>
      <c r="M37" s="52">
        <v>1</v>
      </c>
    </row>
    <row r="38" spans="1:13" ht="15.75" customHeight="1" x14ac:dyDescent="0.2">
      <c r="A38" s="46">
        <v>17324</v>
      </c>
      <c r="B38" s="46">
        <v>37</v>
      </c>
      <c r="C38" s="39" t="s">
        <v>666</v>
      </c>
      <c r="D38" s="34" t="s">
        <v>6263</v>
      </c>
      <c r="E38" s="34" t="s">
        <v>6264</v>
      </c>
      <c r="F38" s="34">
        <v>1</v>
      </c>
      <c r="G38" s="34" t="b">
        <v>1</v>
      </c>
      <c r="H38" s="46">
        <v>1</v>
      </c>
      <c r="I38" s="46">
        <v>1</v>
      </c>
      <c r="J38" s="46"/>
      <c r="K38" s="46"/>
      <c r="L38" s="46"/>
      <c r="M38" s="52"/>
    </row>
    <row r="39" spans="1:13" ht="15.75" customHeight="1" x14ac:dyDescent="0.2">
      <c r="A39" s="46">
        <v>17324</v>
      </c>
      <c r="B39" s="46">
        <v>38</v>
      </c>
      <c r="C39" s="39" t="s">
        <v>669</v>
      </c>
      <c r="D39" s="34" t="s">
        <v>6265</v>
      </c>
      <c r="E39" s="34" t="s">
        <v>6266</v>
      </c>
      <c r="F39" s="34">
        <v>1</v>
      </c>
      <c r="G39" s="34" t="b">
        <v>1</v>
      </c>
      <c r="H39" s="46">
        <v>3</v>
      </c>
      <c r="I39" s="46">
        <v>3</v>
      </c>
      <c r="J39" s="46"/>
      <c r="K39" s="46"/>
      <c r="L39" s="46"/>
      <c r="M39" s="52"/>
    </row>
    <row r="40" spans="1:13" ht="15.75" customHeight="1" x14ac:dyDescent="0.2">
      <c r="A40" s="46">
        <v>17325</v>
      </c>
      <c r="B40" s="46">
        <v>39</v>
      </c>
      <c r="C40" s="39" t="s">
        <v>671</v>
      </c>
      <c r="D40" s="34" t="s">
        <v>6267</v>
      </c>
      <c r="E40" s="34" t="s">
        <v>6268</v>
      </c>
      <c r="F40" s="34">
        <v>1</v>
      </c>
      <c r="G40" s="34" t="b">
        <v>1</v>
      </c>
      <c r="H40" s="46">
        <v>2</v>
      </c>
      <c r="I40" s="46">
        <v>2</v>
      </c>
      <c r="J40" s="46"/>
      <c r="K40" s="46"/>
      <c r="L40" s="46"/>
      <c r="M40" s="52"/>
    </row>
    <row r="41" spans="1:13" ht="15.75" customHeight="1" x14ac:dyDescent="0.2">
      <c r="A41" s="46">
        <v>17326</v>
      </c>
      <c r="B41" s="46">
        <v>40</v>
      </c>
      <c r="C41" s="39" t="s">
        <v>674</v>
      </c>
      <c r="D41" s="34" t="s">
        <v>6269</v>
      </c>
      <c r="E41" s="34" t="s">
        <v>6270</v>
      </c>
      <c r="F41" s="34">
        <v>1</v>
      </c>
      <c r="G41" s="34" t="b">
        <v>1</v>
      </c>
      <c r="H41" s="46">
        <v>2</v>
      </c>
      <c r="I41" s="46">
        <v>2</v>
      </c>
      <c r="J41" s="46"/>
      <c r="K41" s="46"/>
      <c r="L41" s="46"/>
      <c r="M41" s="52"/>
    </row>
    <row r="42" spans="1:13" ht="15.75" customHeight="1" x14ac:dyDescent="0.2">
      <c r="A42" s="46">
        <v>17327</v>
      </c>
      <c r="B42" s="46">
        <v>41</v>
      </c>
      <c r="C42" s="39" t="s">
        <v>676</v>
      </c>
      <c r="D42" s="34" t="s">
        <v>6271</v>
      </c>
      <c r="E42" s="34" t="s">
        <v>6272</v>
      </c>
      <c r="F42" s="34">
        <v>1</v>
      </c>
      <c r="G42" s="34" t="b">
        <v>1</v>
      </c>
      <c r="H42" s="46">
        <v>2</v>
      </c>
      <c r="I42" s="46">
        <v>2</v>
      </c>
      <c r="J42" s="46"/>
      <c r="K42" s="46"/>
      <c r="L42" s="46"/>
      <c r="M42" s="52"/>
    </row>
    <row r="43" spans="1:13" ht="15.75" customHeight="1" x14ac:dyDescent="0.2">
      <c r="A43" s="46">
        <v>17329</v>
      </c>
      <c r="B43" s="46">
        <v>42</v>
      </c>
      <c r="C43" s="39" t="s">
        <v>678</v>
      </c>
      <c r="D43" s="34" t="s">
        <v>6273</v>
      </c>
      <c r="E43" s="34" t="s">
        <v>6274</v>
      </c>
      <c r="F43" s="34">
        <v>1</v>
      </c>
      <c r="G43" s="34" t="b">
        <v>1</v>
      </c>
      <c r="H43" s="46">
        <v>3</v>
      </c>
      <c r="I43" s="46">
        <v>1</v>
      </c>
      <c r="J43" s="46"/>
      <c r="K43" s="46">
        <v>1</v>
      </c>
      <c r="L43" s="46">
        <v>1</v>
      </c>
      <c r="M43" s="52"/>
    </row>
    <row r="44" spans="1:13" ht="15.75" customHeight="1" x14ac:dyDescent="0.2">
      <c r="A44" s="46">
        <v>17329</v>
      </c>
      <c r="B44" s="46">
        <v>43</v>
      </c>
      <c r="C44" s="39" t="s">
        <v>680</v>
      </c>
      <c r="D44" s="34" t="s">
        <v>6275</v>
      </c>
      <c r="E44" s="34" t="s">
        <v>6276</v>
      </c>
      <c r="F44" s="34">
        <v>1</v>
      </c>
      <c r="G44" s="34" t="b">
        <v>0</v>
      </c>
      <c r="H44" s="46">
        <v>1</v>
      </c>
      <c r="I44" s="46">
        <v>1</v>
      </c>
      <c r="J44" s="46"/>
      <c r="K44" s="46"/>
      <c r="L44" s="46"/>
      <c r="M44" s="52">
        <v>1</v>
      </c>
    </row>
    <row r="45" spans="1:13" ht="15.75" customHeight="1" x14ac:dyDescent="0.2">
      <c r="A45" s="46">
        <v>17329</v>
      </c>
      <c r="B45" s="46">
        <v>44</v>
      </c>
      <c r="C45" s="39" t="s">
        <v>683</v>
      </c>
      <c r="D45" s="34" t="s">
        <v>6277</v>
      </c>
      <c r="E45" s="34" t="s">
        <v>6278</v>
      </c>
      <c r="F45" s="34">
        <v>1</v>
      </c>
      <c r="G45" s="34" t="b">
        <v>1</v>
      </c>
      <c r="H45" s="46">
        <v>4</v>
      </c>
      <c r="I45" s="46">
        <v>3</v>
      </c>
      <c r="J45" s="46">
        <v>1</v>
      </c>
      <c r="K45" s="46"/>
      <c r="L45" s="46"/>
      <c r="M45" s="52"/>
    </row>
    <row r="46" spans="1:13" ht="15.75" customHeight="1" x14ac:dyDescent="0.2">
      <c r="A46" s="46">
        <v>17329</v>
      </c>
      <c r="B46" s="46">
        <v>45</v>
      </c>
      <c r="C46" s="39" t="s">
        <v>684</v>
      </c>
      <c r="D46" s="34" t="s">
        <v>6279</v>
      </c>
      <c r="E46" s="34" t="s">
        <v>6280</v>
      </c>
      <c r="F46" s="34">
        <v>1</v>
      </c>
      <c r="G46" s="34" t="b">
        <v>1</v>
      </c>
      <c r="H46" s="46">
        <v>6</v>
      </c>
      <c r="I46" s="46">
        <v>2</v>
      </c>
      <c r="J46" s="46">
        <v>2</v>
      </c>
      <c r="K46" s="46">
        <v>1</v>
      </c>
      <c r="L46" s="46">
        <v>1</v>
      </c>
      <c r="M46" s="52"/>
    </row>
    <row r="47" spans="1:13" ht="15.75" customHeight="1" x14ac:dyDescent="0.2">
      <c r="A47" s="46">
        <v>17329</v>
      </c>
      <c r="B47" s="46">
        <v>46</v>
      </c>
      <c r="C47" s="39" t="s">
        <v>687</v>
      </c>
      <c r="D47" s="34" t="s">
        <v>6281</v>
      </c>
      <c r="E47" s="34" t="s">
        <v>6282</v>
      </c>
      <c r="F47" s="34">
        <v>1</v>
      </c>
      <c r="G47" s="34" t="b">
        <v>1</v>
      </c>
      <c r="H47" s="46">
        <v>1</v>
      </c>
      <c r="I47" s="46">
        <v>1</v>
      </c>
      <c r="J47" s="46"/>
      <c r="K47" s="46"/>
      <c r="L47" s="46"/>
      <c r="M47" s="52"/>
    </row>
    <row r="48" spans="1:13" ht="15.75" customHeight="1" x14ac:dyDescent="0.2">
      <c r="A48" s="46">
        <v>17330</v>
      </c>
      <c r="B48" s="46">
        <v>47</v>
      </c>
      <c r="C48" s="39" t="s">
        <v>688</v>
      </c>
      <c r="D48" s="34" t="s">
        <v>6283</v>
      </c>
      <c r="E48" s="34" t="s">
        <v>6284</v>
      </c>
      <c r="F48" s="34">
        <v>1</v>
      </c>
      <c r="G48" s="34" t="b">
        <v>1</v>
      </c>
      <c r="H48" s="46">
        <v>3</v>
      </c>
      <c r="I48" s="46">
        <v>3</v>
      </c>
      <c r="J48" s="46"/>
      <c r="K48" s="46"/>
      <c r="L48" s="46"/>
      <c r="M48" s="52"/>
    </row>
    <row r="49" spans="1:13" ht="15.75" customHeight="1" x14ac:dyDescent="0.2">
      <c r="A49" s="46">
        <v>17330</v>
      </c>
      <c r="B49" s="46">
        <v>48</v>
      </c>
      <c r="C49" s="39" t="s">
        <v>691</v>
      </c>
      <c r="D49" s="34" t="s">
        <v>6285</v>
      </c>
      <c r="E49" s="34" t="s">
        <v>6286</v>
      </c>
      <c r="F49" s="34">
        <v>1</v>
      </c>
      <c r="G49" s="34" t="b">
        <v>1</v>
      </c>
      <c r="H49" s="46">
        <v>3</v>
      </c>
      <c r="I49" s="46">
        <v>2</v>
      </c>
      <c r="J49" s="46"/>
      <c r="K49" s="46"/>
      <c r="L49" s="46">
        <v>1</v>
      </c>
      <c r="M49" s="52"/>
    </row>
    <row r="50" spans="1:13" ht="15.75" customHeight="1" x14ac:dyDescent="0.2">
      <c r="A50" s="46">
        <v>17330</v>
      </c>
      <c r="B50" s="46">
        <v>49</v>
      </c>
      <c r="C50" s="39" t="s">
        <v>693</v>
      </c>
      <c r="D50" s="34" t="s">
        <v>6287</v>
      </c>
      <c r="E50" s="34" t="s">
        <v>6288</v>
      </c>
      <c r="F50" s="34">
        <v>1</v>
      </c>
      <c r="G50" s="34" t="b">
        <v>1</v>
      </c>
      <c r="H50" s="46">
        <v>2</v>
      </c>
      <c r="I50" s="46">
        <v>2</v>
      </c>
      <c r="J50" s="46"/>
      <c r="K50" s="46"/>
      <c r="L50" s="46"/>
      <c r="M50" s="52"/>
    </row>
    <row r="51" spans="1:13" ht="15.75" customHeight="1" x14ac:dyDescent="0.2">
      <c r="A51" s="46">
        <v>17330</v>
      </c>
      <c r="B51" s="46">
        <v>50</v>
      </c>
      <c r="C51" s="39" t="s">
        <v>696</v>
      </c>
      <c r="D51" s="34" t="s">
        <v>6289</v>
      </c>
      <c r="E51" s="34" t="s">
        <v>6290</v>
      </c>
      <c r="F51" s="34">
        <v>1</v>
      </c>
      <c r="G51" s="34" t="b">
        <v>1</v>
      </c>
      <c r="H51" s="46">
        <v>3</v>
      </c>
      <c r="I51" s="46">
        <v>2</v>
      </c>
      <c r="J51" s="46">
        <v>1</v>
      </c>
      <c r="K51" s="46"/>
      <c r="L51" s="46"/>
      <c r="M51" s="52"/>
    </row>
    <row r="52" spans="1:13" ht="15.75" customHeight="1" x14ac:dyDescent="0.2">
      <c r="A52" s="46">
        <v>17330</v>
      </c>
      <c r="B52" s="46">
        <v>51</v>
      </c>
      <c r="C52" s="39" t="s">
        <v>699</v>
      </c>
      <c r="D52" s="34" t="s">
        <v>6291</v>
      </c>
      <c r="E52" s="34" t="s">
        <v>6292</v>
      </c>
      <c r="F52" s="34">
        <v>1</v>
      </c>
      <c r="G52" s="34" t="b">
        <v>0</v>
      </c>
      <c r="H52" s="46">
        <v>1</v>
      </c>
      <c r="I52" s="46">
        <v>1</v>
      </c>
      <c r="J52" s="46"/>
      <c r="K52" s="46"/>
      <c r="L52" s="46"/>
      <c r="M52" s="52">
        <v>1</v>
      </c>
    </row>
    <row r="53" spans="1:13" ht="15.75" customHeight="1" x14ac:dyDescent="0.2">
      <c r="A53" s="46">
        <v>17330</v>
      </c>
      <c r="B53" s="46">
        <v>52</v>
      </c>
      <c r="C53" s="39" t="s">
        <v>700</v>
      </c>
      <c r="D53" s="34" t="s">
        <v>6293</v>
      </c>
      <c r="E53" s="34" t="s">
        <v>6294</v>
      </c>
      <c r="F53" s="34">
        <v>1</v>
      </c>
      <c r="G53" s="34" t="b">
        <v>1</v>
      </c>
      <c r="H53" s="46">
        <v>1</v>
      </c>
      <c r="I53" s="46">
        <v>1</v>
      </c>
      <c r="J53" s="46"/>
      <c r="K53" s="46"/>
      <c r="L53" s="46"/>
      <c r="M53" s="52"/>
    </row>
    <row r="54" spans="1:13" ht="15.75" customHeight="1" x14ac:dyDescent="0.2">
      <c r="A54" s="46">
        <v>17330</v>
      </c>
      <c r="B54" s="46">
        <v>53</v>
      </c>
      <c r="C54" s="39" t="s">
        <v>703</v>
      </c>
      <c r="D54" s="34" t="s">
        <v>6295</v>
      </c>
      <c r="E54" s="34" t="s">
        <v>6296</v>
      </c>
      <c r="F54" s="34">
        <v>1</v>
      </c>
      <c r="G54" s="34" t="b">
        <v>1</v>
      </c>
      <c r="H54" s="46">
        <v>1</v>
      </c>
      <c r="I54" s="46">
        <v>1</v>
      </c>
      <c r="J54" s="46"/>
      <c r="K54" s="46"/>
      <c r="L54" s="46"/>
      <c r="M54" s="52"/>
    </row>
    <row r="55" spans="1:13" ht="15.75" customHeight="1" x14ac:dyDescent="0.2">
      <c r="A55" s="46">
        <v>17330</v>
      </c>
      <c r="B55" s="46">
        <v>54</v>
      </c>
      <c r="C55" s="39" t="s">
        <v>704</v>
      </c>
      <c r="D55" s="34" t="s">
        <v>6291</v>
      </c>
      <c r="E55" s="34" t="s">
        <v>6297</v>
      </c>
      <c r="F55" s="34">
        <v>1</v>
      </c>
      <c r="G55" s="34" t="b">
        <v>0</v>
      </c>
      <c r="H55" s="46">
        <v>1</v>
      </c>
      <c r="I55" s="46"/>
      <c r="J55" s="46"/>
      <c r="K55" s="46">
        <v>1</v>
      </c>
      <c r="L55" s="46"/>
      <c r="M55" s="52">
        <v>1</v>
      </c>
    </row>
    <row r="56" spans="1:13" ht="15.75" customHeight="1" x14ac:dyDescent="0.2">
      <c r="A56" s="46">
        <v>17330</v>
      </c>
      <c r="B56" s="46">
        <v>55</v>
      </c>
      <c r="C56" s="39" t="s">
        <v>707</v>
      </c>
      <c r="D56" s="34" t="s">
        <v>6298</v>
      </c>
      <c r="E56" s="34" t="s">
        <v>6299</v>
      </c>
      <c r="F56" s="34">
        <v>1</v>
      </c>
      <c r="G56" s="34" t="b">
        <v>1</v>
      </c>
      <c r="H56" s="46">
        <v>4</v>
      </c>
      <c r="I56" s="46">
        <v>4</v>
      </c>
      <c r="J56" s="46"/>
      <c r="K56" s="46"/>
      <c r="L56" s="46"/>
      <c r="M56" s="52"/>
    </row>
    <row r="57" spans="1:13" ht="15.75" customHeight="1" x14ac:dyDescent="0.2">
      <c r="A57" s="46">
        <v>17330</v>
      </c>
      <c r="B57" s="46">
        <v>56</v>
      </c>
      <c r="C57" s="39" t="s">
        <v>708</v>
      </c>
      <c r="D57" s="34" t="s">
        <v>6300</v>
      </c>
      <c r="E57" s="34" t="s">
        <v>6301</v>
      </c>
      <c r="F57" s="34">
        <v>1</v>
      </c>
      <c r="G57" s="34" t="b">
        <v>0</v>
      </c>
      <c r="H57" s="46">
        <v>2</v>
      </c>
      <c r="I57" s="46">
        <v>1</v>
      </c>
      <c r="J57" s="46">
        <v>1</v>
      </c>
      <c r="K57" s="46"/>
      <c r="L57" s="46"/>
      <c r="M57" s="52">
        <v>1</v>
      </c>
    </row>
    <row r="58" spans="1:13" ht="15.75" customHeight="1" x14ac:dyDescent="0.2">
      <c r="A58" s="46">
        <v>17330</v>
      </c>
      <c r="B58" s="46">
        <v>57</v>
      </c>
      <c r="C58" s="39" t="s">
        <v>709</v>
      </c>
      <c r="D58" s="34" t="s">
        <v>6302</v>
      </c>
      <c r="E58" s="34" t="s">
        <v>6303</v>
      </c>
      <c r="F58" s="34">
        <v>1</v>
      </c>
      <c r="G58" s="34" t="b">
        <v>1</v>
      </c>
      <c r="H58" s="46">
        <v>1</v>
      </c>
      <c r="I58" s="46">
        <v>1</v>
      </c>
      <c r="J58" s="46"/>
      <c r="K58" s="46"/>
      <c r="L58" s="46"/>
      <c r="M58" s="52"/>
    </row>
    <row r="59" spans="1:13" ht="15.75" customHeight="1" x14ac:dyDescent="0.2">
      <c r="A59" s="46">
        <v>17330</v>
      </c>
      <c r="B59" s="46">
        <v>58</v>
      </c>
      <c r="C59" s="39" t="s">
        <v>710</v>
      </c>
      <c r="D59" s="34" t="s">
        <v>6304</v>
      </c>
      <c r="E59" s="34" t="s">
        <v>6305</v>
      </c>
      <c r="F59" s="34">
        <v>1</v>
      </c>
      <c r="G59" s="34" t="b">
        <v>1</v>
      </c>
      <c r="H59" s="46">
        <v>3</v>
      </c>
      <c r="I59" s="46">
        <v>1</v>
      </c>
      <c r="J59" s="46">
        <v>2</v>
      </c>
      <c r="K59" s="46"/>
      <c r="L59" s="46"/>
      <c r="M59" s="52"/>
    </row>
    <row r="60" spans="1:13" ht="15.75" customHeight="1" x14ac:dyDescent="0.2">
      <c r="A60" s="46">
        <v>17330</v>
      </c>
      <c r="B60" s="46">
        <v>59</v>
      </c>
      <c r="C60" s="39" t="s">
        <v>711</v>
      </c>
      <c r="D60" s="34" t="s">
        <v>6306</v>
      </c>
      <c r="E60" s="34" t="s">
        <v>6307</v>
      </c>
      <c r="F60" s="34">
        <v>1</v>
      </c>
      <c r="G60" s="34" t="b">
        <v>1</v>
      </c>
      <c r="H60" s="46">
        <v>1</v>
      </c>
      <c r="I60" s="46">
        <v>1</v>
      </c>
      <c r="J60" s="46"/>
      <c r="K60" s="46"/>
      <c r="L60" s="46"/>
      <c r="M60" s="52">
        <v>1</v>
      </c>
    </row>
    <row r="61" spans="1:13" ht="15.75" customHeight="1" x14ac:dyDescent="0.2">
      <c r="A61" s="46">
        <v>17330</v>
      </c>
      <c r="B61" s="46">
        <v>60</v>
      </c>
      <c r="C61" s="39" t="s">
        <v>712</v>
      </c>
      <c r="D61" s="34" t="s">
        <v>6308</v>
      </c>
      <c r="E61" s="34" t="s">
        <v>6309</v>
      </c>
      <c r="F61" s="34">
        <v>1</v>
      </c>
      <c r="G61" s="34" t="b">
        <v>1</v>
      </c>
      <c r="H61" s="46">
        <v>3</v>
      </c>
      <c r="I61" s="46">
        <v>2</v>
      </c>
      <c r="J61" s="46"/>
      <c r="K61" s="46"/>
      <c r="L61" s="46">
        <v>1</v>
      </c>
      <c r="M61" s="52"/>
    </row>
    <row r="62" spans="1:13" ht="15.75" customHeight="1" x14ac:dyDescent="0.2">
      <c r="A62" s="46">
        <v>17330</v>
      </c>
      <c r="B62" s="46">
        <v>61</v>
      </c>
      <c r="C62" s="39" t="s">
        <v>713</v>
      </c>
      <c r="D62" s="34" t="s">
        <v>6310</v>
      </c>
      <c r="E62" s="34" t="s">
        <v>6311</v>
      </c>
      <c r="F62" s="34">
        <v>1</v>
      </c>
      <c r="G62" s="34" t="b">
        <v>1</v>
      </c>
      <c r="H62" s="46">
        <v>3</v>
      </c>
      <c r="I62" s="46">
        <v>2</v>
      </c>
      <c r="J62" s="46"/>
      <c r="K62" s="46">
        <v>1</v>
      </c>
      <c r="L62" s="46"/>
      <c r="M62" s="52"/>
    </row>
    <row r="63" spans="1:13" ht="15.75" customHeight="1" x14ac:dyDescent="0.2">
      <c r="A63" s="46">
        <v>17330</v>
      </c>
      <c r="B63" s="46">
        <v>62</v>
      </c>
      <c r="C63" s="39" t="s">
        <v>714</v>
      </c>
      <c r="D63" s="34" t="s">
        <v>6312</v>
      </c>
      <c r="E63" s="34" t="s">
        <v>6313</v>
      </c>
      <c r="F63" s="34">
        <v>1</v>
      </c>
      <c r="G63" s="34" t="b">
        <v>1</v>
      </c>
      <c r="H63" s="46">
        <v>1</v>
      </c>
      <c r="I63" s="46">
        <v>1</v>
      </c>
      <c r="J63" s="46"/>
      <c r="K63" s="46"/>
      <c r="L63" s="46"/>
      <c r="M63" s="52"/>
    </row>
    <row r="64" spans="1:13" ht="15.75" customHeight="1" x14ac:dyDescent="0.2">
      <c r="A64" s="46">
        <v>17331</v>
      </c>
      <c r="B64" s="46">
        <v>63</v>
      </c>
      <c r="C64" s="39" t="s">
        <v>715</v>
      </c>
      <c r="D64" s="34" t="s">
        <v>6314</v>
      </c>
      <c r="E64" s="34" t="s">
        <v>6315</v>
      </c>
      <c r="F64" s="34">
        <v>1</v>
      </c>
      <c r="G64" s="34" t="b">
        <v>1</v>
      </c>
      <c r="H64" s="46">
        <v>1</v>
      </c>
      <c r="I64" s="46">
        <v>1</v>
      </c>
      <c r="J64" s="46"/>
      <c r="K64" s="46"/>
      <c r="L64" s="46"/>
      <c r="M64" s="52"/>
    </row>
    <row r="65" spans="1:13" ht="15.75" customHeight="1" x14ac:dyDescent="0.2">
      <c r="A65" s="46">
        <v>17331</v>
      </c>
      <c r="B65" s="46">
        <v>64</v>
      </c>
      <c r="C65" s="39" t="s">
        <v>717</v>
      </c>
      <c r="D65" s="34" t="s">
        <v>6316</v>
      </c>
      <c r="E65" s="34" t="s">
        <v>6317</v>
      </c>
      <c r="F65" s="34">
        <v>1</v>
      </c>
      <c r="G65" s="34" t="b">
        <v>1</v>
      </c>
      <c r="H65" s="46">
        <v>4</v>
      </c>
      <c r="I65" s="46">
        <v>4</v>
      </c>
      <c r="J65" s="46"/>
      <c r="K65" s="46"/>
      <c r="L65" s="46"/>
      <c r="M65" s="52"/>
    </row>
    <row r="66" spans="1:13" ht="15.75" customHeight="1" x14ac:dyDescent="0.2">
      <c r="A66" s="46">
        <v>17331</v>
      </c>
      <c r="B66" s="46">
        <v>65</v>
      </c>
      <c r="C66" s="39" t="s">
        <v>718</v>
      </c>
      <c r="D66" s="34" t="s">
        <v>6318</v>
      </c>
      <c r="E66" s="34" t="s">
        <v>6319</v>
      </c>
      <c r="F66" s="34">
        <v>1</v>
      </c>
      <c r="G66" s="34" t="b">
        <v>1</v>
      </c>
      <c r="H66" s="46">
        <v>4</v>
      </c>
      <c r="I66" s="46">
        <v>4</v>
      </c>
      <c r="J66" s="46"/>
      <c r="K66" s="46"/>
      <c r="L66" s="46"/>
      <c r="M66" s="52"/>
    </row>
    <row r="67" spans="1:13" ht="15.75" customHeight="1" x14ac:dyDescent="0.2">
      <c r="A67" s="46">
        <v>17331</v>
      </c>
      <c r="B67" s="46">
        <v>66</v>
      </c>
      <c r="C67" s="39" t="s">
        <v>719</v>
      </c>
      <c r="D67" s="34" t="s">
        <v>6320</v>
      </c>
      <c r="E67" s="34" t="s">
        <v>6321</v>
      </c>
      <c r="F67" s="34">
        <v>1</v>
      </c>
      <c r="G67" s="34" t="b">
        <v>0</v>
      </c>
      <c r="H67" s="46">
        <v>3</v>
      </c>
      <c r="I67" s="46">
        <v>3</v>
      </c>
      <c r="J67" s="46"/>
      <c r="K67" s="46"/>
      <c r="L67" s="46"/>
      <c r="M67" s="52">
        <v>1</v>
      </c>
    </row>
    <row r="68" spans="1:13" ht="15.75" customHeight="1" x14ac:dyDescent="0.2">
      <c r="A68" s="46">
        <v>17331</v>
      </c>
      <c r="B68" s="46">
        <v>67</v>
      </c>
      <c r="C68" s="39" t="s">
        <v>722</v>
      </c>
      <c r="D68" s="34" t="s">
        <v>2672</v>
      </c>
      <c r="E68" s="34" t="s">
        <v>6322</v>
      </c>
      <c r="F68" s="34">
        <v>1</v>
      </c>
      <c r="G68" s="34" t="b">
        <v>1</v>
      </c>
      <c r="H68" s="46">
        <v>1</v>
      </c>
      <c r="I68" s="46">
        <v>1</v>
      </c>
      <c r="J68" s="46"/>
      <c r="K68" s="46"/>
      <c r="L68" s="46"/>
      <c r="M68" s="52"/>
    </row>
    <row r="69" spans="1:13" ht="15.75" customHeight="1" x14ac:dyDescent="0.2">
      <c r="A69" s="46">
        <v>17332</v>
      </c>
      <c r="B69" s="46">
        <v>68</v>
      </c>
      <c r="C69" s="39" t="s">
        <v>723</v>
      </c>
      <c r="D69" s="34" t="s">
        <v>2728</v>
      </c>
      <c r="E69" s="34" t="s">
        <v>6323</v>
      </c>
      <c r="F69" s="34">
        <v>1</v>
      </c>
      <c r="G69" s="34" t="b">
        <v>1</v>
      </c>
      <c r="H69" s="46">
        <v>1</v>
      </c>
      <c r="I69" s="46">
        <v>1</v>
      </c>
      <c r="J69" s="46"/>
      <c r="K69" s="46"/>
      <c r="L69" s="46"/>
      <c r="M69" s="52"/>
    </row>
    <row r="70" spans="1:13" ht="15.75" customHeight="1" x14ac:dyDescent="0.2">
      <c r="A70" s="46">
        <v>17332</v>
      </c>
      <c r="B70" s="46">
        <v>69</v>
      </c>
      <c r="C70" s="39" t="s">
        <v>725</v>
      </c>
      <c r="D70" s="34" t="s">
        <v>6324</v>
      </c>
      <c r="E70" s="34" t="s">
        <v>6325</v>
      </c>
      <c r="F70" s="34">
        <v>1</v>
      </c>
      <c r="G70" s="34" t="b">
        <v>1</v>
      </c>
      <c r="H70" s="46">
        <v>1</v>
      </c>
      <c r="I70" s="46">
        <v>1</v>
      </c>
      <c r="J70" s="46"/>
      <c r="K70" s="46"/>
      <c r="L70" s="46"/>
      <c r="M70" s="52"/>
    </row>
    <row r="71" spans="1:13" ht="15.75" customHeight="1" x14ac:dyDescent="0.2">
      <c r="A71" s="46">
        <v>17332</v>
      </c>
      <c r="B71" s="46">
        <v>70</v>
      </c>
      <c r="C71" s="39" t="s">
        <v>728</v>
      </c>
      <c r="D71" s="34" t="s">
        <v>6326</v>
      </c>
      <c r="E71" s="34" t="s">
        <v>6327</v>
      </c>
      <c r="F71" s="34">
        <v>1</v>
      </c>
      <c r="G71" s="34" t="b">
        <v>0</v>
      </c>
      <c r="H71" s="46">
        <v>4</v>
      </c>
      <c r="I71" s="46">
        <v>1</v>
      </c>
      <c r="J71" s="46">
        <v>1</v>
      </c>
      <c r="K71" s="46">
        <v>2</v>
      </c>
      <c r="L71" s="46"/>
      <c r="M71" s="52">
        <v>1</v>
      </c>
    </row>
    <row r="72" spans="1:13" ht="15.75" customHeight="1" x14ac:dyDescent="0.2">
      <c r="A72" s="46">
        <v>17332</v>
      </c>
      <c r="B72" s="46">
        <v>71</v>
      </c>
      <c r="C72" s="39" t="s">
        <v>731</v>
      </c>
      <c r="D72" s="34" t="s">
        <v>6328</v>
      </c>
      <c r="E72" s="34" t="s">
        <v>6329</v>
      </c>
      <c r="F72" s="34">
        <v>1</v>
      </c>
      <c r="G72" s="34" t="b">
        <v>1</v>
      </c>
      <c r="H72" s="46">
        <v>2</v>
      </c>
      <c r="I72" s="46">
        <v>2</v>
      </c>
      <c r="J72" s="46"/>
      <c r="K72" s="46"/>
      <c r="L72" s="46"/>
      <c r="M72" s="52"/>
    </row>
    <row r="73" spans="1:13" ht="15.75" customHeight="1" x14ac:dyDescent="0.2">
      <c r="A73" s="46">
        <v>17337</v>
      </c>
      <c r="B73" s="46">
        <v>72</v>
      </c>
      <c r="C73" s="39" t="s">
        <v>732</v>
      </c>
      <c r="D73" s="34" t="s">
        <v>6330</v>
      </c>
      <c r="E73" s="34" t="s">
        <v>6331</v>
      </c>
      <c r="F73" s="34">
        <v>1</v>
      </c>
      <c r="G73" s="34" t="b">
        <v>1</v>
      </c>
      <c r="H73" s="46">
        <v>3</v>
      </c>
      <c r="I73" s="46">
        <v>3</v>
      </c>
      <c r="J73" s="46"/>
      <c r="K73" s="46"/>
      <c r="L73" s="46"/>
      <c r="M73" s="52"/>
    </row>
    <row r="74" spans="1:13" ht="15.75" customHeight="1" x14ac:dyDescent="0.2">
      <c r="A74" s="46">
        <v>17338</v>
      </c>
      <c r="B74" s="46">
        <v>73</v>
      </c>
      <c r="C74" s="39" t="s">
        <v>734</v>
      </c>
      <c r="D74" s="34" t="s">
        <v>6332</v>
      </c>
      <c r="E74" s="34" t="s">
        <v>6333</v>
      </c>
      <c r="F74" s="34">
        <v>1</v>
      </c>
      <c r="G74" s="34" t="b">
        <v>0</v>
      </c>
      <c r="H74" s="46">
        <v>3</v>
      </c>
      <c r="I74" s="46">
        <v>3</v>
      </c>
      <c r="J74" s="46"/>
      <c r="K74" s="46"/>
      <c r="L74" s="46"/>
      <c r="M74" s="52"/>
    </row>
    <row r="75" spans="1:13" ht="15.75" customHeight="1" x14ac:dyDescent="0.2">
      <c r="A75" s="46">
        <v>17339</v>
      </c>
      <c r="B75" s="46">
        <v>74</v>
      </c>
      <c r="C75" s="39" t="s">
        <v>736</v>
      </c>
      <c r="D75" s="34" t="s">
        <v>6334</v>
      </c>
      <c r="E75" s="34" t="s">
        <v>6335</v>
      </c>
      <c r="F75" s="34">
        <v>1</v>
      </c>
      <c r="G75" s="34" t="b">
        <v>1</v>
      </c>
      <c r="H75" s="46">
        <v>1</v>
      </c>
      <c r="I75" s="46">
        <v>1</v>
      </c>
      <c r="J75" s="46"/>
      <c r="K75" s="46"/>
      <c r="L75" s="46"/>
      <c r="M75" s="52"/>
    </row>
    <row r="76" spans="1:13" ht="15.75" customHeight="1" x14ac:dyDescent="0.2">
      <c r="A76" s="46">
        <v>17344</v>
      </c>
      <c r="B76" s="46">
        <v>75</v>
      </c>
      <c r="C76" s="39" t="s">
        <v>738</v>
      </c>
      <c r="D76" s="34" t="s">
        <v>6336</v>
      </c>
      <c r="E76" s="34" t="s">
        <v>6337</v>
      </c>
      <c r="F76" s="34">
        <v>1</v>
      </c>
      <c r="G76" s="34" t="b">
        <v>1</v>
      </c>
      <c r="H76" s="46">
        <v>1</v>
      </c>
      <c r="I76" s="46">
        <v>1</v>
      </c>
      <c r="J76" s="46"/>
      <c r="K76" s="46"/>
      <c r="L76" s="46"/>
      <c r="M76" s="52"/>
    </row>
    <row r="77" spans="1:13" ht="15.75" customHeight="1" x14ac:dyDescent="0.2">
      <c r="A77" s="46">
        <v>17344</v>
      </c>
      <c r="B77" s="46">
        <v>76</v>
      </c>
      <c r="C77" s="39" t="s">
        <v>740</v>
      </c>
      <c r="D77" s="34" t="s">
        <v>6338</v>
      </c>
      <c r="E77" s="34" t="s">
        <v>6339</v>
      </c>
      <c r="F77" s="34">
        <v>1</v>
      </c>
      <c r="G77" s="34" t="b">
        <v>1</v>
      </c>
      <c r="H77" s="46">
        <v>3</v>
      </c>
      <c r="I77" s="46">
        <v>3</v>
      </c>
      <c r="J77" s="46"/>
      <c r="K77" s="46"/>
      <c r="L77" s="46"/>
      <c r="M77" s="52"/>
    </row>
    <row r="78" spans="1:13" ht="15.75" customHeight="1" x14ac:dyDescent="0.2">
      <c r="A78" s="46">
        <v>17344</v>
      </c>
      <c r="B78" s="46">
        <v>77</v>
      </c>
      <c r="C78" s="39" t="s">
        <v>741</v>
      </c>
      <c r="D78" s="34" t="s">
        <v>6340</v>
      </c>
      <c r="E78" s="34" t="s">
        <v>6341</v>
      </c>
      <c r="F78" s="34">
        <v>1</v>
      </c>
      <c r="G78" s="34" t="b">
        <v>1</v>
      </c>
      <c r="H78" s="46">
        <v>2</v>
      </c>
      <c r="I78" s="46">
        <v>1</v>
      </c>
      <c r="J78" s="46">
        <v>1</v>
      </c>
      <c r="K78" s="46"/>
      <c r="L78" s="46"/>
      <c r="M78" s="52"/>
    </row>
    <row r="79" spans="1:13" ht="15.75" customHeight="1" x14ac:dyDescent="0.2">
      <c r="A79" s="46">
        <v>17345</v>
      </c>
      <c r="B79" s="46">
        <v>78</v>
      </c>
      <c r="C79" s="39" t="s">
        <v>742</v>
      </c>
      <c r="D79" s="34" t="s">
        <v>6342</v>
      </c>
      <c r="E79" s="34" t="s">
        <v>6343</v>
      </c>
      <c r="F79" s="34">
        <v>1</v>
      </c>
      <c r="G79" s="34" t="b">
        <v>0</v>
      </c>
      <c r="H79" s="47">
        <v>6</v>
      </c>
      <c r="I79" s="47">
        <v>2</v>
      </c>
      <c r="J79" s="47">
        <v>3</v>
      </c>
      <c r="K79" s="47"/>
      <c r="L79" s="47">
        <v>1</v>
      </c>
      <c r="M79" s="52">
        <v>2</v>
      </c>
    </row>
    <row r="80" spans="1:13" ht="15.75" customHeight="1" x14ac:dyDescent="0.2">
      <c r="A80" s="46">
        <v>17345</v>
      </c>
      <c r="B80" s="46">
        <v>79</v>
      </c>
      <c r="C80" s="39" t="s">
        <v>744</v>
      </c>
      <c r="D80" s="34" t="s">
        <v>6344</v>
      </c>
      <c r="E80" s="34" t="s">
        <v>6345</v>
      </c>
      <c r="F80" s="34">
        <v>1</v>
      </c>
      <c r="G80" s="34" t="b">
        <v>1</v>
      </c>
      <c r="H80" s="46">
        <v>4</v>
      </c>
      <c r="I80" s="46">
        <v>4</v>
      </c>
      <c r="J80" s="46"/>
      <c r="K80" s="46"/>
      <c r="L80" s="46"/>
      <c r="M80" s="52"/>
    </row>
    <row r="81" spans="1:13" ht="15.75" customHeight="1" x14ac:dyDescent="0.2">
      <c r="A81" s="46">
        <v>17345</v>
      </c>
      <c r="B81" s="46">
        <v>80</v>
      </c>
      <c r="C81" s="39" t="s">
        <v>745</v>
      </c>
      <c r="D81" s="34" t="s">
        <v>6346</v>
      </c>
      <c r="E81" s="34" t="s">
        <v>6347</v>
      </c>
      <c r="F81" s="34">
        <v>1</v>
      </c>
      <c r="G81" s="34" t="b">
        <v>1</v>
      </c>
      <c r="H81" s="46">
        <v>1</v>
      </c>
      <c r="I81" s="46">
        <v>1</v>
      </c>
      <c r="J81" s="46"/>
      <c r="K81" s="46"/>
      <c r="L81" s="46"/>
      <c r="M81" s="52"/>
    </row>
    <row r="82" spans="1:13" ht="15.75" customHeight="1" x14ac:dyDescent="0.2">
      <c r="A82" s="46">
        <v>17345</v>
      </c>
      <c r="B82" s="46">
        <v>81</v>
      </c>
      <c r="C82" s="39" t="s">
        <v>746</v>
      </c>
      <c r="D82" s="34" t="s">
        <v>6348</v>
      </c>
      <c r="E82" s="34" t="s">
        <v>6349</v>
      </c>
      <c r="F82" s="34">
        <v>1</v>
      </c>
      <c r="G82" s="34" t="b">
        <v>0</v>
      </c>
      <c r="H82" s="46">
        <v>3</v>
      </c>
      <c r="I82" s="46">
        <v>3</v>
      </c>
      <c r="J82" s="46"/>
      <c r="K82" s="46"/>
      <c r="L82" s="46"/>
      <c r="M82" s="52">
        <v>1</v>
      </c>
    </row>
    <row r="83" spans="1:13" ht="15.75" customHeight="1" x14ac:dyDescent="0.2">
      <c r="A83" s="46">
        <v>17346</v>
      </c>
      <c r="B83" s="46">
        <v>82</v>
      </c>
      <c r="C83" s="39" t="s">
        <v>747</v>
      </c>
      <c r="D83" s="34" t="s">
        <v>6350</v>
      </c>
      <c r="E83" s="34" t="s">
        <v>6351</v>
      </c>
      <c r="F83" s="34">
        <v>1</v>
      </c>
      <c r="G83" s="34" t="b">
        <v>0</v>
      </c>
      <c r="H83" s="46">
        <v>1</v>
      </c>
      <c r="I83" s="46">
        <v>1</v>
      </c>
      <c r="J83" s="46"/>
      <c r="K83" s="46"/>
      <c r="L83" s="46"/>
      <c r="M83" s="52">
        <v>1</v>
      </c>
    </row>
    <row r="84" spans="1:13" ht="15.75" customHeight="1" x14ac:dyDescent="0.2">
      <c r="A84" s="46">
        <v>17347</v>
      </c>
      <c r="B84" s="46">
        <v>83</v>
      </c>
      <c r="C84" s="39" t="s">
        <v>749</v>
      </c>
      <c r="D84" s="34" t="s">
        <v>6352</v>
      </c>
      <c r="E84" s="34" t="s">
        <v>6353</v>
      </c>
      <c r="F84" s="34">
        <v>1</v>
      </c>
      <c r="G84" s="34" t="b">
        <v>1</v>
      </c>
      <c r="H84" s="46">
        <v>2</v>
      </c>
      <c r="I84" s="46">
        <v>2</v>
      </c>
      <c r="J84" s="46"/>
      <c r="K84" s="46"/>
      <c r="L84" s="46"/>
      <c r="M84" s="52"/>
    </row>
    <row r="85" spans="1:13" ht="15.75" customHeight="1" x14ac:dyDescent="0.2">
      <c r="A85" s="46">
        <v>17348</v>
      </c>
      <c r="B85" s="46">
        <v>84</v>
      </c>
      <c r="C85" s="39" t="s">
        <v>751</v>
      </c>
      <c r="D85" s="34" t="s">
        <v>6354</v>
      </c>
      <c r="E85" s="34" t="s">
        <v>6355</v>
      </c>
      <c r="F85" s="34">
        <v>1</v>
      </c>
      <c r="G85" s="34" t="b">
        <v>1</v>
      </c>
      <c r="H85" s="46">
        <v>2</v>
      </c>
      <c r="I85" s="46">
        <v>2</v>
      </c>
      <c r="J85" s="46"/>
      <c r="K85" s="46"/>
      <c r="L85" s="46"/>
      <c r="M85" s="52"/>
    </row>
    <row r="86" spans="1:13" ht="15.75" customHeight="1" x14ac:dyDescent="0.2">
      <c r="A86" s="46">
        <v>17348</v>
      </c>
      <c r="B86" s="46">
        <v>85</v>
      </c>
      <c r="C86" s="39" t="s">
        <v>753</v>
      </c>
      <c r="D86" s="34" t="s">
        <v>6356</v>
      </c>
      <c r="E86" s="34" t="s">
        <v>6357</v>
      </c>
      <c r="F86" s="34">
        <v>1</v>
      </c>
      <c r="G86" s="34" t="b">
        <v>1</v>
      </c>
      <c r="H86" s="46">
        <v>2</v>
      </c>
      <c r="I86" s="46">
        <v>2</v>
      </c>
      <c r="J86" s="46"/>
      <c r="K86" s="46"/>
      <c r="L86" s="46"/>
      <c r="M86" s="52"/>
    </row>
    <row r="87" spans="1:13" ht="15.75" customHeight="1" x14ac:dyDescent="0.2">
      <c r="A87" s="46">
        <v>17348</v>
      </c>
      <c r="B87" s="46">
        <v>86</v>
      </c>
      <c r="C87" s="39" t="s">
        <v>754</v>
      </c>
      <c r="D87" s="34" t="s">
        <v>6358</v>
      </c>
      <c r="E87" s="34" t="s">
        <v>6359</v>
      </c>
      <c r="F87" s="34">
        <v>1</v>
      </c>
      <c r="G87" s="34" t="b">
        <v>1</v>
      </c>
      <c r="H87" s="46">
        <v>6</v>
      </c>
      <c r="I87" s="46">
        <v>4</v>
      </c>
      <c r="J87" s="46"/>
      <c r="K87" s="46"/>
      <c r="L87" s="46">
        <v>2</v>
      </c>
      <c r="M87" s="52"/>
    </row>
    <row r="88" spans="1:13" ht="15.75" customHeight="1" x14ac:dyDescent="0.2">
      <c r="A88" s="46">
        <v>17349</v>
      </c>
      <c r="B88" s="46">
        <v>87</v>
      </c>
      <c r="C88" s="39" t="s">
        <v>755</v>
      </c>
      <c r="D88" s="34" t="s">
        <v>6360</v>
      </c>
      <c r="E88" s="34" t="s">
        <v>6361</v>
      </c>
      <c r="F88" s="34">
        <v>1</v>
      </c>
      <c r="G88" s="34" t="b">
        <v>1</v>
      </c>
      <c r="H88" s="46">
        <v>1</v>
      </c>
      <c r="I88" s="46">
        <v>1</v>
      </c>
      <c r="J88" s="46"/>
      <c r="K88" s="46"/>
      <c r="L88" s="46"/>
      <c r="M88" s="52"/>
    </row>
    <row r="89" spans="1:13" ht="15.75" customHeight="1" x14ac:dyDescent="0.2">
      <c r="A89" s="46">
        <v>17349</v>
      </c>
      <c r="B89" s="46">
        <v>88</v>
      </c>
      <c r="C89" s="39" t="s">
        <v>757</v>
      </c>
      <c r="D89" s="34" t="s">
        <v>6362</v>
      </c>
      <c r="E89" s="34" t="s">
        <v>6363</v>
      </c>
      <c r="F89" s="34">
        <v>1</v>
      </c>
      <c r="G89" s="34" t="b">
        <v>1</v>
      </c>
      <c r="H89" s="46">
        <v>2</v>
      </c>
      <c r="I89" s="46">
        <v>2</v>
      </c>
      <c r="J89" s="46"/>
      <c r="K89" s="46"/>
      <c r="L89" s="46"/>
      <c r="M89" s="52"/>
    </row>
    <row r="90" spans="1:13" ht="15.75" customHeight="1" x14ac:dyDescent="0.2">
      <c r="A90" s="46">
        <v>17349</v>
      </c>
      <c r="B90" s="46">
        <v>89</v>
      </c>
      <c r="C90" s="39" t="s">
        <v>758</v>
      </c>
      <c r="D90" s="34" t="s">
        <v>6364</v>
      </c>
      <c r="E90" s="34" t="s">
        <v>6365</v>
      </c>
      <c r="F90" s="34">
        <v>1</v>
      </c>
      <c r="G90" s="34" t="b">
        <v>1</v>
      </c>
      <c r="H90" s="46">
        <v>1</v>
      </c>
      <c r="I90" s="46">
        <v>1</v>
      </c>
      <c r="J90" s="46"/>
      <c r="K90" s="46"/>
      <c r="L90" s="46"/>
      <c r="M90" s="52"/>
    </row>
    <row r="91" spans="1:13" ht="15.75" customHeight="1" x14ac:dyDescent="0.2">
      <c r="A91" s="46">
        <v>17350</v>
      </c>
      <c r="B91" s="46">
        <v>90</v>
      </c>
      <c r="C91" s="39" t="s">
        <v>759</v>
      </c>
      <c r="D91" s="34" t="s">
        <v>6366</v>
      </c>
      <c r="E91" s="34" t="s">
        <v>6367</v>
      </c>
      <c r="F91" s="34">
        <v>1</v>
      </c>
      <c r="G91" s="34" t="b">
        <v>1</v>
      </c>
      <c r="H91" s="46">
        <v>1</v>
      </c>
      <c r="I91" s="46">
        <v>1</v>
      </c>
      <c r="J91" s="46"/>
      <c r="K91" s="46"/>
      <c r="L91" s="46"/>
      <c r="M91" s="52">
        <v>1</v>
      </c>
    </row>
    <row r="92" spans="1:13" ht="15.75" customHeight="1" x14ac:dyDescent="0.2">
      <c r="A92" s="46">
        <v>17351</v>
      </c>
      <c r="B92" s="46">
        <v>91</v>
      </c>
      <c r="C92" s="39" t="s">
        <v>761</v>
      </c>
      <c r="D92" s="34" t="s">
        <v>6368</v>
      </c>
      <c r="E92" s="34" t="s">
        <v>6369</v>
      </c>
      <c r="F92" s="34">
        <v>1</v>
      </c>
      <c r="G92" s="34" t="b">
        <v>1</v>
      </c>
      <c r="H92" s="46">
        <v>1</v>
      </c>
      <c r="I92" s="46">
        <v>1</v>
      </c>
      <c r="J92" s="46"/>
      <c r="K92" s="46"/>
      <c r="L92" s="46"/>
      <c r="M92" s="52"/>
    </row>
    <row r="93" spans="1:13" ht="15.75" customHeight="1" x14ac:dyDescent="0.2">
      <c r="A93" s="46">
        <v>17351</v>
      </c>
      <c r="B93" s="46">
        <v>92</v>
      </c>
      <c r="C93" s="39" t="s">
        <v>763</v>
      </c>
      <c r="D93" s="34" t="s">
        <v>6370</v>
      </c>
      <c r="E93" s="34" t="s">
        <v>6371</v>
      </c>
      <c r="F93" s="34">
        <v>1</v>
      </c>
      <c r="G93" s="34" t="b">
        <v>1</v>
      </c>
      <c r="H93" s="46">
        <v>1</v>
      </c>
      <c r="I93" s="46">
        <v>1</v>
      </c>
      <c r="J93" s="46"/>
      <c r="K93" s="46"/>
      <c r="L93" s="46"/>
      <c r="M93" s="52"/>
    </row>
    <row r="94" spans="1:13" ht="15.75" customHeight="1" x14ac:dyDescent="0.2">
      <c r="A94" s="46">
        <v>17351</v>
      </c>
      <c r="B94" s="46">
        <v>93</v>
      </c>
      <c r="C94" s="39" t="s">
        <v>764</v>
      </c>
      <c r="D94" s="34" t="s">
        <v>6372</v>
      </c>
      <c r="E94" s="34" t="s">
        <v>6373</v>
      </c>
      <c r="F94" s="34">
        <v>1</v>
      </c>
      <c r="G94" s="34" t="b">
        <v>1</v>
      </c>
      <c r="H94" s="46">
        <v>1</v>
      </c>
      <c r="I94" s="46">
        <v>1</v>
      </c>
      <c r="J94" s="46"/>
      <c r="K94" s="46"/>
      <c r="L94" s="46"/>
      <c r="M94" s="52"/>
    </row>
    <row r="95" spans="1:13" ht="15.75" customHeight="1" x14ac:dyDescent="0.2">
      <c r="A95" s="46">
        <v>17352</v>
      </c>
      <c r="B95" s="46">
        <v>94</v>
      </c>
      <c r="C95" s="39" t="s">
        <v>765</v>
      </c>
      <c r="D95" s="34" t="s">
        <v>6374</v>
      </c>
      <c r="E95" s="34" t="s">
        <v>6375</v>
      </c>
      <c r="F95" s="34">
        <v>1</v>
      </c>
      <c r="G95" s="34" t="b">
        <v>0</v>
      </c>
      <c r="H95" s="46">
        <v>2</v>
      </c>
      <c r="I95" s="46">
        <v>1</v>
      </c>
      <c r="J95" s="46">
        <v>1</v>
      </c>
      <c r="K95" s="46"/>
      <c r="L95" s="46"/>
      <c r="M95" s="52">
        <v>2</v>
      </c>
    </row>
    <row r="96" spans="1:13" ht="15.75" customHeight="1" x14ac:dyDescent="0.2">
      <c r="A96" s="46">
        <v>17352</v>
      </c>
      <c r="B96" s="46">
        <v>95</v>
      </c>
      <c r="C96" s="39" t="s">
        <v>767</v>
      </c>
      <c r="D96" s="34" t="s">
        <v>6376</v>
      </c>
      <c r="E96" s="34" t="s">
        <v>6377</v>
      </c>
      <c r="F96" s="34">
        <v>1</v>
      </c>
      <c r="G96" s="34" t="b">
        <v>0</v>
      </c>
      <c r="H96" s="46">
        <v>1</v>
      </c>
      <c r="I96" s="46">
        <v>1</v>
      </c>
      <c r="J96" s="46"/>
      <c r="K96" s="46"/>
      <c r="L96" s="46"/>
      <c r="M96" s="52"/>
    </row>
    <row r="97" spans="1:13" ht="15.75" customHeight="1" x14ac:dyDescent="0.2">
      <c r="A97" s="46">
        <v>17352</v>
      </c>
      <c r="B97" s="46">
        <v>96</v>
      </c>
      <c r="C97" s="39" t="s">
        <v>768</v>
      </c>
      <c r="D97" s="34" t="s">
        <v>6376</v>
      </c>
      <c r="E97" s="34" t="s">
        <v>6378</v>
      </c>
      <c r="F97" s="34">
        <v>1</v>
      </c>
      <c r="G97" s="34" t="b">
        <v>0</v>
      </c>
      <c r="H97" s="46">
        <v>1</v>
      </c>
      <c r="I97" s="46">
        <v>1</v>
      </c>
      <c r="J97" s="46"/>
      <c r="K97" s="46"/>
      <c r="L97" s="46"/>
      <c r="M97" s="52"/>
    </row>
    <row r="98" spans="1:13" ht="15.75" customHeight="1" x14ac:dyDescent="0.2">
      <c r="A98" s="46">
        <v>17352</v>
      </c>
      <c r="B98" s="46">
        <v>97</v>
      </c>
      <c r="C98" s="39" t="s">
        <v>769</v>
      </c>
      <c r="D98" s="34" t="s">
        <v>6376</v>
      </c>
      <c r="E98" s="34" t="s">
        <v>6379</v>
      </c>
      <c r="F98" s="34">
        <v>1</v>
      </c>
      <c r="G98" s="34" t="b">
        <v>0</v>
      </c>
      <c r="H98" s="46">
        <v>9</v>
      </c>
      <c r="I98" s="46"/>
      <c r="J98" s="46">
        <v>6</v>
      </c>
      <c r="K98" s="46">
        <v>3</v>
      </c>
      <c r="L98" s="46"/>
      <c r="M98" s="52">
        <v>2</v>
      </c>
    </row>
    <row r="99" spans="1:13" ht="15.75" customHeight="1" x14ac:dyDescent="0.2">
      <c r="A99" s="46">
        <v>17352</v>
      </c>
      <c r="B99" s="46">
        <v>98</v>
      </c>
      <c r="C99" s="39" t="s">
        <v>770</v>
      </c>
      <c r="D99" s="34" t="s">
        <v>6376</v>
      </c>
      <c r="E99" s="34" t="s">
        <v>6380</v>
      </c>
      <c r="F99" s="34">
        <v>1</v>
      </c>
      <c r="G99" s="34" t="b">
        <v>0</v>
      </c>
      <c r="H99" s="46">
        <v>3</v>
      </c>
      <c r="I99" s="46"/>
      <c r="J99" s="46">
        <v>2</v>
      </c>
      <c r="K99" s="46">
        <v>1</v>
      </c>
      <c r="L99" s="46"/>
      <c r="M99" s="52">
        <v>2</v>
      </c>
    </row>
    <row r="100" spans="1:13" ht="15.75" customHeight="1" x14ac:dyDescent="0.2">
      <c r="A100" s="46">
        <v>17352</v>
      </c>
      <c r="B100" s="46">
        <v>99</v>
      </c>
      <c r="C100" s="39" t="s">
        <v>771</v>
      </c>
      <c r="D100" s="34" t="s">
        <v>6381</v>
      </c>
      <c r="E100" s="34" t="s">
        <v>6382</v>
      </c>
      <c r="F100" s="34">
        <v>1</v>
      </c>
      <c r="G100" s="34" t="b">
        <v>1</v>
      </c>
      <c r="H100" s="46">
        <v>2</v>
      </c>
      <c r="I100" s="46">
        <v>1</v>
      </c>
      <c r="J100" s="46">
        <v>1</v>
      </c>
      <c r="K100" s="46"/>
      <c r="L100" s="46"/>
      <c r="M100" s="52"/>
    </row>
    <row r="101" spans="1:13" ht="15.75" customHeight="1" x14ac:dyDescent="0.2">
      <c r="A101" s="46">
        <v>17352</v>
      </c>
      <c r="B101" s="46">
        <v>100</v>
      </c>
      <c r="C101" s="39" t="s">
        <v>772</v>
      </c>
      <c r="D101" s="34" t="s">
        <v>6376</v>
      </c>
      <c r="E101" s="34" t="s">
        <v>6383</v>
      </c>
      <c r="F101" s="34">
        <v>1</v>
      </c>
      <c r="G101" s="34" t="b">
        <v>0</v>
      </c>
      <c r="H101" s="46">
        <v>1</v>
      </c>
      <c r="I101" s="46">
        <v>1</v>
      </c>
      <c r="J101" s="46"/>
      <c r="K101" s="46"/>
      <c r="L101" s="46"/>
      <c r="M101" s="52">
        <v>1</v>
      </c>
    </row>
    <row r="102" spans="1:13" ht="15.75" customHeight="1" x14ac:dyDescent="0.2">
      <c r="A102" s="46">
        <v>17352</v>
      </c>
      <c r="B102" s="46">
        <v>101</v>
      </c>
      <c r="C102" s="39" t="s">
        <v>773</v>
      </c>
      <c r="D102" s="34" t="s">
        <v>6384</v>
      </c>
      <c r="E102" s="34" t="s">
        <v>6385</v>
      </c>
      <c r="F102" s="34">
        <v>1</v>
      </c>
      <c r="G102" s="34" t="b">
        <v>0</v>
      </c>
      <c r="H102" s="46">
        <v>1</v>
      </c>
      <c r="I102" s="46"/>
      <c r="J102" s="46"/>
      <c r="K102" s="46">
        <v>1</v>
      </c>
      <c r="L102" s="46"/>
      <c r="M102" s="52">
        <v>1</v>
      </c>
    </row>
    <row r="103" spans="1:13" ht="15.75" customHeight="1" x14ac:dyDescent="0.2">
      <c r="A103" s="46">
        <v>17352</v>
      </c>
      <c r="B103" s="46">
        <v>102</v>
      </c>
      <c r="C103" s="39" t="s">
        <v>774</v>
      </c>
      <c r="D103" s="34" t="s">
        <v>6376</v>
      </c>
      <c r="E103" s="34" t="s">
        <v>6386</v>
      </c>
      <c r="F103" s="34">
        <v>1</v>
      </c>
      <c r="G103" s="34" t="b">
        <v>0</v>
      </c>
      <c r="H103" s="46">
        <v>1</v>
      </c>
      <c r="I103" s="46"/>
      <c r="J103" s="46"/>
      <c r="K103" s="46">
        <v>1</v>
      </c>
      <c r="L103" s="46"/>
      <c r="M103" s="52">
        <v>2</v>
      </c>
    </row>
    <row r="104" spans="1:13" ht="15.75" customHeight="1" x14ac:dyDescent="0.2">
      <c r="A104" s="46">
        <v>17353</v>
      </c>
      <c r="B104" s="46">
        <v>103</v>
      </c>
      <c r="C104" s="39" t="s">
        <v>775</v>
      </c>
      <c r="D104" s="34" t="s">
        <v>6387</v>
      </c>
      <c r="E104" s="34" t="s">
        <v>6388</v>
      </c>
      <c r="F104" s="34">
        <v>1</v>
      </c>
      <c r="G104" s="34" t="b">
        <v>1</v>
      </c>
      <c r="H104" s="46">
        <v>1</v>
      </c>
      <c r="I104" s="46">
        <v>1</v>
      </c>
      <c r="J104" s="46"/>
      <c r="K104" s="46"/>
      <c r="L104" s="46"/>
      <c r="M104" s="52"/>
    </row>
    <row r="105" spans="1:13" ht="15.75" customHeight="1" x14ac:dyDescent="0.2">
      <c r="A105" s="46">
        <v>17353</v>
      </c>
      <c r="B105" s="46">
        <v>104</v>
      </c>
      <c r="C105" s="39" t="s">
        <v>777</v>
      </c>
      <c r="D105" s="34" t="s">
        <v>3923</v>
      </c>
      <c r="E105" s="34" t="s">
        <v>6389</v>
      </c>
      <c r="F105" s="34">
        <v>1</v>
      </c>
      <c r="G105" s="34" t="b">
        <v>1</v>
      </c>
      <c r="H105" s="46">
        <v>1</v>
      </c>
      <c r="I105" s="46">
        <v>1</v>
      </c>
      <c r="J105" s="46"/>
      <c r="K105" s="46"/>
      <c r="L105" s="46"/>
      <c r="M105" s="52"/>
    </row>
    <row r="106" spans="1:13" ht="15.75" customHeight="1" x14ac:dyDescent="0.2">
      <c r="A106" s="46">
        <v>17353</v>
      </c>
      <c r="B106" s="46">
        <v>105</v>
      </c>
      <c r="C106" s="39" t="s">
        <v>778</v>
      </c>
      <c r="D106" s="34" t="s">
        <v>6390</v>
      </c>
      <c r="E106" s="34" t="s">
        <v>6391</v>
      </c>
      <c r="F106" s="34">
        <v>1</v>
      </c>
      <c r="G106" s="34" t="b">
        <v>1</v>
      </c>
      <c r="H106" s="46">
        <v>1</v>
      </c>
      <c r="I106" s="46">
        <v>1</v>
      </c>
      <c r="J106" s="46"/>
      <c r="K106" s="46"/>
      <c r="L106" s="46"/>
      <c r="M106" s="52"/>
    </row>
    <row r="107" spans="1:13" ht="15.75" customHeight="1" x14ac:dyDescent="0.2">
      <c r="A107" s="46">
        <v>17353</v>
      </c>
      <c r="B107" s="46">
        <v>106</v>
      </c>
      <c r="C107" s="39" t="s">
        <v>779</v>
      </c>
      <c r="D107" s="34" t="s">
        <v>3927</v>
      </c>
      <c r="E107" s="34" t="s">
        <v>6392</v>
      </c>
      <c r="F107" s="34">
        <v>1</v>
      </c>
      <c r="G107" s="34" t="b">
        <v>1</v>
      </c>
      <c r="H107" s="46">
        <v>1</v>
      </c>
      <c r="I107" s="46">
        <v>1</v>
      </c>
      <c r="J107" s="46"/>
      <c r="K107" s="46"/>
      <c r="L107" s="46"/>
      <c r="M107" s="52"/>
    </row>
    <row r="108" spans="1:13" ht="15.75" customHeight="1" x14ac:dyDescent="0.2">
      <c r="A108" s="46">
        <v>17354</v>
      </c>
      <c r="B108" s="46">
        <v>107</v>
      </c>
      <c r="C108" s="39" t="s">
        <v>780</v>
      </c>
      <c r="D108" s="34" t="s">
        <v>780</v>
      </c>
      <c r="E108" s="34" t="s">
        <v>6393</v>
      </c>
      <c r="F108" s="34">
        <v>1</v>
      </c>
      <c r="G108" s="34" t="b">
        <v>0</v>
      </c>
      <c r="H108" s="46">
        <v>3</v>
      </c>
      <c r="I108" s="46">
        <v>2</v>
      </c>
      <c r="J108" s="46"/>
      <c r="K108" s="46">
        <v>1</v>
      </c>
      <c r="L108" s="46"/>
      <c r="M108" s="52">
        <v>2</v>
      </c>
    </row>
    <row r="109" spans="1:13" ht="15.75" customHeight="1" x14ac:dyDescent="0.2">
      <c r="A109" s="46">
        <v>17354</v>
      </c>
      <c r="B109" s="46">
        <v>108</v>
      </c>
      <c r="C109" s="39" t="s">
        <v>783</v>
      </c>
      <c r="D109" s="34" t="s">
        <v>6394</v>
      </c>
      <c r="E109" s="34" t="s">
        <v>6395</v>
      </c>
      <c r="F109" s="34">
        <v>1</v>
      </c>
      <c r="G109" s="34" t="b">
        <v>0</v>
      </c>
      <c r="H109" s="46">
        <v>1</v>
      </c>
      <c r="I109" s="46"/>
      <c r="J109" s="46"/>
      <c r="K109" s="46">
        <v>1</v>
      </c>
      <c r="L109" s="46"/>
      <c r="M109" s="52">
        <v>2</v>
      </c>
    </row>
    <row r="110" spans="1:13" ht="15.75" customHeight="1" x14ac:dyDescent="0.2">
      <c r="A110" s="46">
        <v>17354</v>
      </c>
      <c r="B110" s="46">
        <v>109</v>
      </c>
      <c r="C110" s="39" t="s">
        <v>784</v>
      </c>
      <c r="D110" s="34" t="s">
        <v>6396</v>
      </c>
      <c r="E110" s="34" t="s">
        <v>6397</v>
      </c>
      <c r="F110" s="34">
        <v>1</v>
      </c>
      <c r="G110" s="34" t="b">
        <v>0</v>
      </c>
      <c r="H110" s="46">
        <v>1</v>
      </c>
      <c r="I110" s="46">
        <v>1</v>
      </c>
      <c r="J110" s="46"/>
      <c r="K110" s="46"/>
      <c r="L110" s="46"/>
      <c r="M110" s="52">
        <v>1</v>
      </c>
    </row>
    <row r="111" spans="1:13" ht="15.75" customHeight="1" x14ac:dyDescent="0.2">
      <c r="A111" s="46">
        <v>17354</v>
      </c>
      <c r="B111" s="46">
        <v>110</v>
      </c>
      <c r="C111" s="39" t="s">
        <v>785</v>
      </c>
      <c r="D111" s="34" t="s">
        <v>6398</v>
      </c>
      <c r="E111" s="34" t="s">
        <v>6399</v>
      </c>
      <c r="F111" s="34">
        <v>1</v>
      </c>
      <c r="G111" s="34" t="b">
        <v>0</v>
      </c>
      <c r="H111" s="46">
        <v>2</v>
      </c>
      <c r="I111" s="46">
        <v>2</v>
      </c>
      <c r="J111" s="46"/>
      <c r="K111" s="46"/>
      <c r="L111" s="46"/>
      <c r="M111" s="52">
        <v>1</v>
      </c>
    </row>
    <row r="112" spans="1:13" ht="15.75" customHeight="1" x14ac:dyDescent="0.2">
      <c r="A112" s="46">
        <v>17354</v>
      </c>
      <c r="B112" s="46">
        <v>111</v>
      </c>
      <c r="C112" s="39" t="s">
        <v>786</v>
      </c>
      <c r="D112" s="34" t="s">
        <v>6400</v>
      </c>
      <c r="E112" s="34" t="s">
        <v>6401</v>
      </c>
      <c r="F112" s="34">
        <v>1</v>
      </c>
      <c r="G112" s="34" t="b">
        <v>0</v>
      </c>
      <c r="H112" s="46">
        <v>3</v>
      </c>
      <c r="I112" s="46">
        <v>3</v>
      </c>
      <c r="J112" s="46"/>
      <c r="K112" s="46"/>
      <c r="L112" s="46"/>
      <c r="M112" s="52">
        <v>1</v>
      </c>
    </row>
    <row r="113" spans="1:13" ht="15.75" customHeight="1" x14ac:dyDescent="0.2">
      <c r="A113" s="46">
        <v>17354</v>
      </c>
      <c r="B113" s="46">
        <v>112</v>
      </c>
      <c r="C113" s="39" t="s">
        <v>787</v>
      </c>
      <c r="D113" s="34" t="s">
        <v>6402</v>
      </c>
      <c r="E113" s="34" t="s">
        <v>6403</v>
      </c>
      <c r="F113" s="34">
        <v>1</v>
      </c>
      <c r="G113" s="34" t="b">
        <v>0</v>
      </c>
      <c r="H113" s="46">
        <v>3</v>
      </c>
      <c r="I113" s="46">
        <v>1</v>
      </c>
      <c r="J113" s="46"/>
      <c r="K113" s="46"/>
      <c r="L113" s="46">
        <v>2</v>
      </c>
      <c r="M113" s="52"/>
    </row>
    <row r="114" spans="1:13" ht="15.75" customHeight="1" x14ac:dyDescent="0.2">
      <c r="A114" s="46">
        <v>17355</v>
      </c>
      <c r="B114" s="46">
        <v>113</v>
      </c>
      <c r="C114" s="39" t="s">
        <v>788</v>
      </c>
      <c r="D114" s="34" t="s">
        <v>6404</v>
      </c>
      <c r="E114" s="34" t="s">
        <v>6405</v>
      </c>
      <c r="F114" s="34">
        <v>1</v>
      </c>
      <c r="G114" s="34" t="b">
        <v>1</v>
      </c>
      <c r="H114" s="46">
        <v>2</v>
      </c>
      <c r="I114" s="46">
        <v>2</v>
      </c>
      <c r="J114" s="46"/>
      <c r="K114" s="46"/>
      <c r="L114" s="46"/>
      <c r="M114" s="52"/>
    </row>
    <row r="115" spans="1:13" ht="15.75" customHeight="1" x14ac:dyDescent="0.2">
      <c r="A115" s="46">
        <v>17355</v>
      </c>
      <c r="B115" s="46">
        <v>114</v>
      </c>
      <c r="C115" s="39" t="s">
        <v>790</v>
      </c>
      <c r="D115" s="34" t="s">
        <v>6406</v>
      </c>
      <c r="E115" s="34" t="s">
        <v>6407</v>
      </c>
      <c r="F115" s="34">
        <v>1</v>
      </c>
      <c r="G115" s="34" t="b">
        <v>1</v>
      </c>
      <c r="H115" s="46">
        <v>1</v>
      </c>
      <c r="I115" s="46">
        <v>1</v>
      </c>
      <c r="J115" s="46"/>
      <c r="K115" s="46"/>
      <c r="L115" s="46"/>
      <c r="M115" s="52"/>
    </row>
    <row r="116" spans="1:13" ht="15.75" customHeight="1" x14ac:dyDescent="0.2">
      <c r="A116" s="46">
        <v>17355</v>
      </c>
      <c r="B116" s="46">
        <v>115</v>
      </c>
      <c r="C116" s="39" t="s">
        <v>791</v>
      </c>
      <c r="D116" s="34" t="s">
        <v>6408</v>
      </c>
      <c r="E116" s="34" t="s">
        <v>6409</v>
      </c>
      <c r="F116" s="34">
        <v>1</v>
      </c>
      <c r="G116" s="34" t="b">
        <v>1</v>
      </c>
      <c r="H116" s="46">
        <v>1</v>
      </c>
      <c r="I116" s="46">
        <v>1</v>
      </c>
      <c r="J116" s="46"/>
      <c r="K116" s="46"/>
      <c r="L116" s="46"/>
      <c r="M116" s="52"/>
    </row>
    <row r="117" spans="1:13" ht="15.75" customHeight="1" x14ac:dyDescent="0.2">
      <c r="A117" s="46">
        <v>17355</v>
      </c>
      <c r="B117" s="46">
        <v>116</v>
      </c>
      <c r="C117" s="39" t="s">
        <v>792</v>
      </c>
      <c r="D117" s="34" t="s">
        <v>6410</v>
      </c>
      <c r="E117" s="34" t="s">
        <v>6411</v>
      </c>
      <c r="F117" s="34">
        <v>1</v>
      </c>
      <c r="G117" s="34" t="b">
        <v>1</v>
      </c>
      <c r="H117" s="46">
        <v>1</v>
      </c>
      <c r="I117" s="46">
        <v>1</v>
      </c>
      <c r="J117" s="46"/>
      <c r="K117" s="46"/>
      <c r="L117" s="46"/>
      <c r="M117" s="52"/>
    </row>
    <row r="118" spans="1:13" ht="15.75" customHeight="1" x14ac:dyDescent="0.2">
      <c r="A118" s="46">
        <v>17355</v>
      </c>
      <c r="B118" s="46">
        <v>117</v>
      </c>
      <c r="C118" s="39" t="s">
        <v>793</v>
      </c>
      <c r="D118" s="34" t="s">
        <v>6412</v>
      </c>
      <c r="E118" s="34" t="s">
        <v>6413</v>
      </c>
      <c r="F118" s="34">
        <v>1</v>
      </c>
      <c r="G118" s="34" t="b">
        <v>1</v>
      </c>
      <c r="H118" s="46">
        <v>1</v>
      </c>
      <c r="I118" s="46">
        <v>1</v>
      </c>
      <c r="J118" s="46"/>
      <c r="K118" s="46"/>
      <c r="L118" s="46"/>
      <c r="M118" s="52"/>
    </row>
    <row r="119" spans="1:13" ht="15.75" customHeight="1" x14ac:dyDescent="0.2">
      <c r="A119" s="46">
        <v>17355</v>
      </c>
      <c r="B119" s="46">
        <v>118</v>
      </c>
      <c r="C119" s="39" t="s">
        <v>794</v>
      </c>
      <c r="D119" s="34" t="s">
        <v>6414</v>
      </c>
      <c r="E119" s="34" t="s">
        <v>6415</v>
      </c>
      <c r="F119" s="34">
        <v>1</v>
      </c>
      <c r="G119" s="34" t="b">
        <v>0</v>
      </c>
      <c r="H119" s="46">
        <v>4</v>
      </c>
      <c r="I119" s="46"/>
      <c r="J119" s="46">
        <v>1</v>
      </c>
      <c r="K119" s="46">
        <v>3</v>
      </c>
      <c r="L119" s="46"/>
      <c r="M119" s="52">
        <v>1</v>
      </c>
    </row>
    <row r="120" spans="1:13" ht="15.75" customHeight="1" x14ac:dyDescent="0.2">
      <c r="A120" s="46">
        <v>17355</v>
      </c>
      <c r="B120" s="46">
        <v>119</v>
      </c>
      <c r="C120" s="39" t="s">
        <v>795</v>
      </c>
      <c r="D120" s="34" t="s">
        <v>6416</v>
      </c>
      <c r="E120" s="34" t="s">
        <v>6417</v>
      </c>
      <c r="F120" s="34">
        <v>1</v>
      </c>
      <c r="G120" s="34" t="b">
        <v>1</v>
      </c>
      <c r="H120" s="46">
        <v>3</v>
      </c>
      <c r="I120" s="46">
        <v>3</v>
      </c>
      <c r="J120" s="46"/>
      <c r="K120" s="46"/>
      <c r="L120" s="46"/>
      <c r="M120" s="52"/>
    </row>
    <row r="121" spans="1:13" ht="15.75" customHeight="1" x14ac:dyDescent="0.2">
      <c r="A121" s="46">
        <v>17355</v>
      </c>
      <c r="B121" s="46">
        <v>120</v>
      </c>
      <c r="C121" s="39" t="s">
        <v>796</v>
      </c>
      <c r="D121" s="34" t="s">
        <v>6418</v>
      </c>
      <c r="E121" s="34" t="s">
        <v>6419</v>
      </c>
      <c r="F121" s="34">
        <v>1</v>
      </c>
      <c r="G121" s="34" t="b">
        <v>1</v>
      </c>
      <c r="H121" s="46">
        <v>2</v>
      </c>
      <c r="I121" s="46">
        <v>2</v>
      </c>
      <c r="J121" s="46"/>
      <c r="K121" s="46"/>
      <c r="L121" s="46"/>
      <c r="M121" s="52"/>
    </row>
    <row r="122" spans="1:13" ht="15.75" customHeight="1" x14ac:dyDescent="0.2">
      <c r="A122" s="46">
        <v>17355</v>
      </c>
      <c r="B122" s="46">
        <v>121</v>
      </c>
      <c r="C122" s="39" t="s">
        <v>797</v>
      </c>
      <c r="D122" s="34" t="s">
        <v>6420</v>
      </c>
      <c r="E122" s="34" t="s">
        <v>6421</v>
      </c>
      <c r="F122" s="34">
        <v>1</v>
      </c>
      <c r="G122" s="34" t="b">
        <v>1</v>
      </c>
      <c r="H122" s="46">
        <v>3</v>
      </c>
      <c r="I122" s="46">
        <v>3</v>
      </c>
      <c r="J122" s="46"/>
      <c r="K122" s="46"/>
      <c r="L122" s="46"/>
      <c r="M122" s="52"/>
    </row>
    <row r="123" spans="1:13" ht="15.75" customHeight="1" x14ac:dyDescent="0.2">
      <c r="A123" s="46">
        <v>17356</v>
      </c>
      <c r="B123" s="46">
        <v>122</v>
      </c>
      <c r="C123" s="39" t="s">
        <v>798</v>
      </c>
      <c r="D123" s="34" t="s">
        <v>6422</v>
      </c>
      <c r="E123" s="34" t="s">
        <v>6423</v>
      </c>
      <c r="F123" s="34">
        <v>1</v>
      </c>
      <c r="G123" s="34" t="b">
        <v>1</v>
      </c>
      <c r="H123" s="46">
        <v>1</v>
      </c>
      <c r="I123" s="46">
        <v>1</v>
      </c>
      <c r="J123" s="46"/>
      <c r="K123" s="46"/>
      <c r="L123" s="46"/>
      <c r="M123" s="52"/>
    </row>
    <row r="124" spans="1:13" ht="15.75" customHeight="1" x14ac:dyDescent="0.2">
      <c r="A124" s="46">
        <v>17356</v>
      </c>
      <c r="B124" s="46">
        <v>123</v>
      </c>
      <c r="C124" s="39" t="s">
        <v>800</v>
      </c>
      <c r="D124" s="34" t="s">
        <v>6422</v>
      </c>
      <c r="E124" s="34" t="s">
        <v>6424</v>
      </c>
      <c r="F124" s="34">
        <v>1</v>
      </c>
      <c r="G124" s="34" t="b">
        <v>1</v>
      </c>
      <c r="H124" s="46">
        <v>1</v>
      </c>
      <c r="I124" s="46">
        <v>1</v>
      </c>
      <c r="J124" s="46"/>
      <c r="K124" s="46"/>
      <c r="L124" s="46"/>
      <c r="M124" s="52"/>
    </row>
    <row r="125" spans="1:13" ht="15.75" customHeight="1" x14ac:dyDescent="0.2">
      <c r="A125" s="46">
        <v>17356</v>
      </c>
      <c r="B125" s="46">
        <v>124</v>
      </c>
      <c r="C125" s="39" t="s">
        <v>801</v>
      </c>
      <c r="D125" s="34" t="s">
        <v>6422</v>
      </c>
      <c r="E125" s="34" t="s">
        <v>6425</v>
      </c>
      <c r="F125" s="34">
        <v>1</v>
      </c>
      <c r="G125" s="34" t="b">
        <v>1</v>
      </c>
      <c r="H125" s="46">
        <v>1</v>
      </c>
      <c r="I125" s="46">
        <v>1</v>
      </c>
      <c r="J125" s="46"/>
      <c r="K125" s="46"/>
      <c r="L125" s="46"/>
      <c r="M125" s="52"/>
    </row>
    <row r="126" spans="1:13" ht="15.75" customHeight="1" x14ac:dyDescent="0.2">
      <c r="A126" s="46">
        <v>17356</v>
      </c>
      <c r="B126" s="46">
        <v>125</v>
      </c>
      <c r="C126" s="39" t="s">
        <v>801</v>
      </c>
      <c r="D126" s="34" t="s">
        <v>4056</v>
      </c>
      <c r="E126" s="34" t="s">
        <v>6426</v>
      </c>
      <c r="F126" s="34">
        <v>1</v>
      </c>
      <c r="G126" s="34" t="b">
        <v>1</v>
      </c>
      <c r="H126" s="46">
        <v>1</v>
      </c>
      <c r="I126" s="46">
        <v>1</v>
      </c>
      <c r="J126" s="46"/>
      <c r="K126" s="46"/>
      <c r="L126" s="46"/>
      <c r="M126" s="52"/>
    </row>
    <row r="127" spans="1:13" ht="15.75" customHeight="1" x14ac:dyDescent="0.2">
      <c r="A127" s="46">
        <v>17356</v>
      </c>
      <c r="B127" s="46">
        <v>126</v>
      </c>
      <c r="C127" s="39" t="s">
        <v>801</v>
      </c>
      <c r="D127" s="34" t="s">
        <v>4056</v>
      </c>
      <c r="E127" s="34" t="s">
        <v>6427</v>
      </c>
      <c r="F127" s="34">
        <v>1</v>
      </c>
      <c r="G127" s="34" t="b">
        <v>1</v>
      </c>
      <c r="H127" s="46">
        <v>1</v>
      </c>
      <c r="I127" s="46">
        <v>1</v>
      </c>
      <c r="J127" s="46"/>
      <c r="K127" s="46"/>
      <c r="L127" s="46"/>
      <c r="M127" s="52"/>
    </row>
    <row r="128" spans="1:13" ht="15.75" customHeight="1" x14ac:dyDescent="0.2">
      <c r="A128" s="46">
        <v>17357</v>
      </c>
      <c r="B128" s="46">
        <v>127</v>
      </c>
      <c r="C128" s="39" t="s">
        <v>802</v>
      </c>
      <c r="D128" s="34" t="s">
        <v>6428</v>
      </c>
      <c r="E128" s="34" t="s">
        <v>6429</v>
      </c>
      <c r="F128" s="34">
        <v>1</v>
      </c>
      <c r="G128" s="34" t="b">
        <v>1</v>
      </c>
      <c r="H128" s="46">
        <v>1</v>
      </c>
      <c r="I128" s="46">
        <v>1</v>
      </c>
      <c r="J128" s="46"/>
      <c r="K128" s="46"/>
      <c r="L128" s="46"/>
      <c r="M128" s="52"/>
    </row>
    <row r="129" spans="1:13" ht="15.75" customHeight="1" x14ac:dyDescent="0.2">
      <c r="A129" s="46">
        <v>17357</v>
      </c>
      <c r="B129" s="46">
        <v>128</v>
      </c>
      <c r="C129" s="39" t="s">
        <v>804</v>
      </c>
      <c r="D129" s="34" t="s">
        <v>6430</v>
      </c>
      <c r="E129" s="34" t="s">
        <v>6431</v>
      </c>
      <c r="F129" s="34">
        <v>1</v>
      </c>
      <c r="G129" s="34" t="b">
        <v>1</v>
      </c>
      <c r="H129" s="46">
        <v>6</v>
      </c>
      <c r="I129" s="46">
        <v>3</v>
      </c>
      <c r="J129" s="46">
        <v>3</v>
      </c>
      <c r="K129" s="46"/>
      <c r="L129" s="46"/>
      <c r="M129" s="52"/>
    </row>
    <row r="130" spans="1:13" ht="15.75" customHeight="1" x14ac:dyDescent="0.2">
      <c r="A130" s="46">
        <v>17357</v>
      </c>
      <c r="B130" s="46">
        <v>129</v>
      </c>
      <c r="C130" s="39" t="s">
        <v>805</v>
      </c>
      <c r="D130" s="34" t="s">
        <v>6432</v>
      </c>
      <c r="E130" s="34" t="s">
        <v>6433</v>
      </c>
      <c r="F130" s="34">
        <v>1</v>
      </c>
      <c r="G130" s="34" t="b">
        <v>1</v>
      </c>
      <c r="H130" s="46">
        <v>3</v>
      </c>
      <c r="I130" s="46">
        <v>3</v>
      </c>
      <c r="J130" s="46"/>
      <c r="K130" s="46"/>
      <c r="L130" s="46"/>
      <c r="M130" s="52"/>
    </row>
    <row r="131" spans="1:13" ht="15.75" customHeight="1" x14ac:dyDescent="0.2">
      <c r="A131" s="46">
        <v>17357</v>
      </c>
      <c r="B131" s="46">
        <v>130</v>
      </c>
      <c r="C131" s="39" t="s">
        <v>806</v>
      </c>
      <c r="D131" s="34" t="s">
        <v>6434</v>
      </c>
      <c r="E131" s="34" t="s">
        <v>6435</v>
      </c>
      <c r="F131" s="34">
        <v>1</v>
      </c>
      <c r="G131" s="34" t="b">
        <v>1</v>
      </c>
      <c r="H131" s="46">
        <v>1</v>
      </c>
      <c r="I131" s="46">
        <v>1</v>
      </c>
      <c r="J131" s="46"/>
      <c r="K131" s="46"/>
      <c r="L131" s="46"/>
      <c r="M131" s="52"/>
    </row>
    <row r="132" spans="1:13" ht="15.75" customHeight="1" x14ac:dyDescent="0.2">
      <c r="A132" s="46">
        <v>17357</v>
      </c>
      <c r="B132" s="46">
        <v>131</v>
      </c>
      <c r="C132" s="39" t="s">
        <v>809</v>
      </c>
      <c r="D132" s="34" t="s">
        <v>6436</v>
      </c>
      <c r="E132" s="34" t="s">
        <v>6437</v>
      </c>
      <c r="F132" s="34">
        <v>1</v>
      </c>
      <c r="G132" s="34" t="b">
        <v>1</v>
      </c>
      <c r="H132" s="46">
        <v>2</v>
      </c>
      <c r="I132" s="46">
        <v>2</v>
      </c>
      <c r="J132" s="46"/>
      <c r="K132" s="46"/>
      <c r="L132" s="46"/>
      <c r="M132" s="52">
        <v>1</v>
      </c>
    </row>
    <row r="133" spans="1:13" ht="15.75" customHeight="1" x14ac:dyDescent="0.2">
      <c r="A133" s="46">
        <v>17357</v>
      </c>
      <c r="B133" s="46">
        <v>132</v>
      </c>
      <c r="C133" s="39" t="s">
        <v>812</v>
      </c>
      <c r="D133" s="34" t="s">
        <v>6438</v>
      </c>
      <c r="E133" s="34" t="s">
        <v>6439</v>
      </c>
      <c r="F133" s="34">
        <v>1</v>
      </c>
      <c r="G133" s="34" t="b">
        <v>1</v>
      </c>
      <c r="H133" s="46">
        <v>1</v>
      </c>
      <c r="I133" s="46">
        <v>1</v>
      </c>
      <c r="J133" s="46"/>
      <c r="K133" s="46"/>
      <c r="L133" s="46"/>
      <c r="M133" s="52"/>
    </row>
    <row r="134" spans="1:13" ht="15.75" customHeight="1" x14ac:dyDescent="0.2">
      <c r="A134" s="46">
        <v>17358</v>
      </c>
      <c r="B134" s="46">
        <v>133</v>
      </c>
      <c r="C134" s="39" t="s">
        <v>813</v>
      </c>
      <c r="D134" s="34" t="s">
        <v>6440</v>
      </c>
      <c r="E134" s="34" t="s">
        <v>6441</v>
      </c>
      <c r="F134" s="34">
        <v>1</v>
      </c>
      <c r="G134" s="34" t="b">
        <v>1</v>
      </c>
      <c r="H134" s="46">
        <v>1</v>
      </c>
      <c r="I134" s="46">
        <v>1</v>
      </c>
      <c r="J134" s="46"/>
      <c r="K134" s="46"/>
      <c r="L134" s="46"/>
      <c r="M134" s="52"/>
    </row>
    <row r="135" spans="1:13" ht="15.75" customHeight="1" x14ac:dyDescent="0.2">
      <c r="A135" s="46">
        <v>17358</v>
      </c>
      <c r="B135" s="46">
        <v>134</v>
      </c>
      <c r="C135" s="39" t="s">
        <v>815</v>
      </c>
      <c r="D135" s="34" t="s">
        <v>6442</v>
      </c>
      <c r="E135" s="34" t="s">
        <v>6443</v>
      </c>
      <c r="F135" s="34">
        <v>1</v>
      </c>
      <c r="G135" s="34" t="b">
        <v>1</v>
      </c>
      <c r="H135" s="46">
        <v>3</v>
      </c>
      <c r="I135" s="46">
        <v>2</v>
      </c>
      <c r="J135" s="46">
        <v>1</v>
      </c>
      <c r="K135" s="46"/>
      <c r="L135" s="46"/>
      <c r="M135" s="52"/>
    </row>
    <row r="136" spans="1:13" ht="15.75" customHeight="1" x14ac:dyDescent="0.2">
      <c r="A136" s="46">
        <v>17358</v>
      </c>
      <c r="B136" s="46">
        <v>135</v>
      </c>
      <c r="C136" s="39" t="s">
        <v>818</v>
      </c>
      <c r="D136" s="34" t="s">
        <v>6442</v>
      </c>
      <c r="E136" s="34" t="s">
        <v>6444</v>
      </c>
      <c r="F136" s="34">
        <v>1</v>
      </c>
      <c r="G136" s="34" t="b">
        <v>1</v>
      </c>
      <c r="H136" s="46">
        <v>4</v>
      </c>
      <c r="I136" s="46">
        <v>3</v>
      </c>
      <c r="J136" s="46">
        <v>1</v>
      </c>
      <c r="K136" s="46"/>
      <c r="L136" s="46"/>
      <c r="M136" s="52"/>
    </row>
    <row r="137" spans="1:13" ht="15.75" customHeight="1" x14ac:dyDescent="0.2">
      <c r="A137" s="46">
        <v>17359</v>
      </c>
      <c r="B137" s="46">
        <v>136</v>
      </c>
      <c r="C137" s="39" t="s">
        <v>819</v>
      </c>
      <c r="D137" s="34" t="s">
        <v>6445</v>
      </c>
      <c r="E137" s="34" t="s">
        <v>6446</v>
      </c>
      <c r="F137" s="34">
        <v>1</v>
      </c>
      <c r="G137" s="34" t="b">
        <v>1</v>
      </c>
      <c r="H137" s="46">
        <v>4</v>
      </c>
      <c r="I137" s="46">
        <v>4</v>
      </c>
      <c r="J137" s="46"/>
      <c r="K137" s="46"/>
      <c r="L137" s="46"/>
      <c r="M137" s="52"/>
    </row>
    <row r="138" spans="1:13" ht="15.75" customHeight="1" x14ac:dyDescent="0.2">
      <c r="A138" s="46">
        <v>17365</v>
      </c>
      <c r="B138" s="46">
        <v>137</v>
      </c>
      <c r="C138" s="39" t="s">
        <v>821</v>
      </c>
      <c r="D138" s="34" t="s">
        <v>4316</v>
      </c>
      <c r="E138" s="34" t="s">
        <v>6447</v>
      </c>
      <c r="F138" s="34">
        <v>1</v>
      </c>
      <c r="G138" s="34" t="b">
        <v>1</v>
      </c>
      <c r="H138" s="46">
        <v>1</v>
      </c>
      <c r="I138" s="46">
        <v>1</v>
      </c>
      <c r="J138" s="46"/>
      <c r="K138" s="46"/>
      <c r="L138" s="46"/>
      <c r="M138" s="52"/>
    </row>
    <row r="139" spans="1:13" ht="15.75" customHeight="1" x14ac:dyDescent="0.2">
      <c r="A139" s="46">
        <v>17365</v>
      </c>
      <c r="B139" s="46">
        <v>138</v>
      </c>
      <c r="C139" s="39" t="s">
        <v>823</v>
      </c>
      <c r="D139" s="34" t="s">
        <v>6448</v>
      </c>
      <c r="E139" s="34" t="s">
        <v>6449</v>
      </c>
      <c r="F139" s="34">
        <v>1</v>
      </c>
      <c r="G139" s="34" t="b">
        <v>1</v>
      </c>
      <c r="H139" s="46">
        <v>2</v>
      </c>
      <c r="I139" s="46">
        <v>2</v>
      </c>
      <c r="J139" s="46"/>
      <c r="K139" s="46"/>
      <c r="L139" s="46"/>
      <c r="M139" s="52"/>
    </row>
    <row r="140" spans="1:13" ht="15.75" customHeight="1" x14ac:dyDescent="0.2">
      <c r="A140" s="46">
        <v>17365</v>
      </c>
      <c r="B140" s="46">
        <v>139</v>
      </c>
      <c r="C140" s="39" t="s">
        <v>824</v>
      </c>
      <c r="D140" s="34" t="s">
        <v>6450</v>
      </c>
      <c r="E140" s="34" t="s">
        <v>6451</v>
      </c>
      <c r="F140" s="34">
        <v>1</v>
      </c>
      <c r="G140" s="34" t="b">
        <v>1</v>
      </c>
      <c r="H140" s="46">
        <v>2</v>
      </c>
      <c r="I140" s="46">
        <v>2</v>
      </c>
      <c r="J140" s="46"/>
      <c r="K140" s="46"/>
      <c r="L140" s="46"/>
      <c r="M140" s="52"/>
    </row>
    <row r="141" spans="1:13" ht="15.75" customHeight="1" x14ac:dyDescent="0.2">
      <c r="A141" s="46">
        <v>17365</v>
      </c>
      <c r="B141" s="46">
        <v>140</v>
      </c>
      <c r="C141" s="39" t="s">
        <v>825</v>
      </c>
      <c r="D141" s="34" t="s">
        <v>6452</v>
      </c>
      <c r="E141" s="34" t="s">
        <v>6453</v>
      </c>
      <c r="F141" s="34">
        <v>1</v>
      </c>
      <c r="G141" s="34" t="b">
        <v>1</v>
      </c>
      <c r="H141" s="46">
        <v>1</v>
      </c>
      <c r="I141" s="46">
        <v>1</v>
      </c>
      <c r="J141" s="46"/>
      <c r="K141" s="46"/>
      <c r="L141" s="46"/>
      <c r="M141" s="52"/>
    </row>
    <row r="142" spans="1:13" ht="15.75" customHeight="1" x14ac:dyDescent="0.2">
      <c r="A142" s="46">
        <v>17366</v>
      </c>
      <c r="B142" s="46">
        <v>141</v>
      </c>
      <c r="C142" s="39" t="s">
        <v>828</v>
      </c>
      <c r="D142" s="34" t="s">
        <v>6454</v>
      </c>
      <c r="E142" s="34" t="s">
        <v>6455</v>
      </c>
      <c r="F142" s="34">
        <v>1</v>
      </c>
      <c r="G142" s="34" t="b">
        <v>1</v>
      </c>
      <c r="H142" s="46">
        <v>1</v>
      </c>
      <c r="I142" s="46">
        <v>1</v>
      </c>
      <c r="J142" s="46"/>
      <c r="K142" s="46"/>
      <c r="L142" s="46"/>
      <c r="M142" s="52"/>
    </row>
    <row r="143" spans="1:13" ht="15.75" customHeight="1" x14ac:dyDescent="0.2">
      <c r="A143" s="46">
        <v>17366</v>
      </c>
      <c r="B143" s="46">
        <v>142</v>
      </c>
      <c r="C143" s="39" t="s">
        <v>830</v>
      </c>
      <c r="D143" s="34" t="s">
        <v>6456</v>
      </c>
      <c r="E143" s="34" t="s">
        <v>6457</v>
      </c>
      <c r="F143" s="34">
        <v>1</v>
      </c>
      <c r="G143" s="34" t="b">
        <v>1</v>
      </c>
      <c r="H143" s="46">
        <v>1</v>
      </c>
      <c r="I143" s="46">
        <v>1</v>
      </c>
      <c r="J143" s="46"/>
      <c r="K143" s="46"/>
      <c r="L143" s="46"/>
      <c r="M143" s="52"/>
    </row>
    <row r="144" spans="1:13" ht="15.75" customHeight="1" x14ac:dyDescent="0.2">
      <c r="A144" s="46">
        <v>17384</v>
      </c>
      <c r="B144" s="46">
        <v>143</v>
      </c>
      <c r="C144" s="39" t="s">
        <v>831</v>
      </c>
      <c r="D144" s="34" t="s">
        <v>6458</v>
      </c>
      <c r="E144" s="34" t="s">
        <v>6459</v>
      </c>
      <c r="F144" s="34">
        <v>1</v>
      </c>
      <c r="G144" s="34" t="b">
        <v>1</v>
      </c>
      <c r="H144" s="46">
        <v>3</v>
      </c>
      <c r="I144" s="46"/>
      <c r="J144" s="46"/>
      <c r="K144" s="46">
        <v>1</v>
      </c>
      <c r="L144" s="46">
        <v>2</v>
      </c>
      <c r="M144" s="52">
        <v>3</v>
      </c>
    </row>
    <row r="145" spans="1:13" ht="15.75" customHeight="1" x14ac:dyDescent="0.2">
      <c r="A145" s="46">
        <v>17384</v>
      </c>
      <c r="B145" s="46">
        <v>144</v>
      </c>
      <c r="C145" s="39" t="s">
        <v>833</v>
      </c>
      <c r="D145" s="34" t="s">
        <v>6460</v>
      </c>
      <c r="E145" s="34" t="s">
        <v>6461</v>
      </c>
      <c r="F145" s="34">
        <v>1</v>
      </c>
      <c r="G145" s="34" t="b">
        <v>1</v>
      </c>
      <c r="H145" s="46">
        <v>4</v>
      </c>
      <c r="I145" s="46">
        <v>2</v>
      </c>
      <c r="J145" s="46">
        <v>1</v>
      </c>
      <c r="K145" s="46">
        <v>1</v>
      </c>
      <c r="L145" s="46"/>
      <c r="M145" s="52"/>
    </row>
    <row r="146" spans="1:13" ht="15.75" customHeight="1" x14ac:dyDescent="0.2">
      <c r="A146" s="46">
        <v>17384</v>
      </c>
      <c r="B146" s="46">
        <v>145</v>
      </c>
      <c r="C146" s="39" t="s">
        <v>836</v>
      </c>
      <c r="D146" s="34" t="s">
        <v>6462</v>
      </c>
      <c r="E146" s="34" t="s">
        <v>6463</v>
      </c>
      <c r="F146" s="34">
        <v>1</v>
      </c>
      <c r="G146" s="34" t="b">
        <v>1</v>
      </c>
      <c r="H146" s="46">
        <v>5</v>
      </c>
      <c r="I146" s="46">
        <v>5</v>
      </c>
      <c r="J146" s="46"/>
      <c r="K146" s="46"/>
      <c r="L146" s="46"/>
      <c r="M146" s="52"/>
    </row>
    <row r="147" spans="1:13" ht="15.75" customHeight="1" x14ac:dyDescent="0.2">
      <c r="A147" s="46">
        <v>17384</v>
      </c>
      <c r="B147" s="46">
        <v>146</v>
      </c>
      <c r="C147" s="39" t="s">
        <v>837</v>
      </c>
      <c r="D147" s="34" t="s">
        <v>6464</v>
      </c>
      <c r="E147" s="34" t="s">
        <v>6465</v>
      </c>
      <c r="F147" s="34">
        <v>1</v>
      </c>
      <c r="G147" s="34" t="b">
        <v>1</v>
      </c>
      <c r="H147" s="46">
        <v>4</v>
      </c>
      <c r="I147" s="46">
        <v>2</v>
      </c>
      <c r="J147" s="46">
        <v>2</v>
      </c>
      <c r="K147" s="46"/>
      <c r="L147" s="46"/>
      <c r="M147" s="52"/>
    </row>
    <row r="148" spans="1:13" ht="15.75" customHeight="1" x14ac:dyDescent="0.2">
      <c r="A148" s="46">
        <v>17384</v>
      </c>
      <c r="B148" s="46">
        <v>147</v>
      </c>
      <c r="C148" s="39" t="s">
        <v>840</v>
      </c>
      <c r="D148" s="34" t="s">
        <v>6460</v>
      </c>
      <c r="E148" s="34" t="s">
        <v>6466</v>
      </c>
      <c r="F148" s="34">
        <v>1</v>
      </c>
      <c r="G148" s="34" t="b">
        <v>1</v>
      </c>
      <c r="H148" s="46">
        <v>4</v>
      </c>
      <c r="I148" s="46">
        <v>2</v>
      </c>
      <c r="J148" s="46">
        <v>2</v>
      </c>
      <c r="K148" s="46"/>
      <c r="L148" s="46"/>
      <c r="M148" s="52"/>
    </row>
    <row r="149" spans="1:13" ht="15.75" customHeight="1" x14ac:dyDescent="0.2">
      <c r="A149" s="46">
        <v>17384</v>
      </c>
      <c r="B149" s="46">
        <v>148</v>
      </c>
      <c r="C149" s="39" t="s">
        <v>841</v>
      </c>
      <c r="D149" s="34" t="s">
        <v>6467</v>
      </c>
      <c r="E149" s="34" t="s">
        <v>6468</v>
      </c>
      <c r="F149" s="34">
        <v>1</v>
      </c>
      <c r="G149" s="34" t="b">
        <v>1</v>
      </c>
      <c r="H149" s="46">
        <v>3</v>
      </c>
      <c r="I149" s="46">
        <v>1</v>
      </c>
      <c r="J149" s="46">
        <v>2</v>
      </c>
      <c r="K149" s="46"/>
      <c r="L149" s="46"/>
      <c r="M149" s="52"/>
    </row>
    <row r="150" spans="1:13" ht="15.75" customHeight="1" x14ac:dyDescent="0.2">
      <c r="A150" s="46">
        <v>17384</v>
      </c>
      <c r="B150" s="46">
        <v>149</v>
      </c>
      <c r="C150" s="39" t="s">
        <v>842</v>
      </c>
      <c r="D150" s="34" t="s">
        <v>6469</v>
      </c>
      <c r="E150" s="34" t="s">
        <v>6470</v>
      </c>
      <c r="F150" s="34">
        <v>1</v>
      </c>
      <c r="G150" s="34" t="b">
        <v>1</v>
      </c>
      <c r="H150" s="46">
        <v>5</v>
      </c>
      <c r="I150" s="46">
        <v>2</v>
      </c>
      <c r="J150" s="46"/>
      <c r="K150" s="46">
        <v>3</v>
      </c>
      <c r="L150" s="46"/>
      <c r="M150" s="52">
        <v>2</v>
      </c>
    </row>
    <row r="151" spans="1:13" ht="15.75" customHeight="1" x14ac:dyDescent="0.2">
      <c r="A151" s="46">
        <v>17384</v>
      </c>
      <c r="B151" s="46">
        <v>150</v>
      </c>
      <c r="C151" s="39" t="s">
        <v>843</v>
      </c>
      <c r="D151" s="34" t="s">
        <v>6460</v>
      </c>
      <c r="E151" s="34" t="s">
        <v>6471</v>
      </c>
      <c r="F151" s="34">
        <v>1</v>
      </c>
      <c r="G151" s="34" t="b">
        <v>1</v>
      </c>
      <c r="H151" s="46">
        <v>4</v>
      </c>
      <c r="I151" s="46"/>
      <c r="J151" s="46">
        <v>1</v>
      </c>
      <c r="K151" s="46">
        <v>3</v>
      </c>
      <c r="L151" s="46"/>
      <c r="M151" s="52">
        <v>1</v>
      </c>
    </row>
    <row r="152" spans="1:13" ht="15.75" customHeight="1" x14ac:dyDescent="0.2">
      <c r="A152" s="46">
        <v>17384</v>
      </c>
      <c r="B152" s="46">
        <v>151</v>
      </c>
      <c r="C152" s="39" t="s">
        <v>846</v>
      </c>
      <c r="D152" s="34" t="s">
        <v>6472</v>
      </c>
      <c r="E152" s="34" t="s">
        <v>6473</v>
      </c>
      <c r="F152" s="34">
        <v>1</v>
      </c>
      <c r="G152" s="34" t="b">
        <v>1</v>
      </c>
      <c r="H152" s="46">
        <v>2</v>
      </c>
      <c r="I152" s="46">
        <v>1</v>
      </c>
      <c r="J152" s="46"/>
      <c r="K152" s="46">
        <v>1</v>
      </c>
      <c r="L152" s="46"/>
      <c r="M152" s="52"/>
    </row>
    <row r="153" spans="1:13" ht="15.75" customHeight="1" x14ac:dyDescent="0.2">
      <c r="A153" s="46">
        <v>17384</v>
      </c>
      <c r="B153" s="46">
        <v>152</v>
      </c>
      <c r="C153" s="39" t="s">
        <v>849</v>
      </c>
      <c r="D153" s="34" t="s">
        <v>6474</v>
      </c>
      <c r="E153" s="34" t="s">
        <v>6475</v>
      </c>
      <c r="F153" s="34">
        <v>1</v>
      </c>
      <c r="G153" s="34" t="b">
        <v>0</v>
      </c>
      <c r="H153" s="46">
        <v>3</v>
      </c>
      <c r="I153" s="46">
        <v>1</v>
      </c>
      <c r="J153" s="46"/>
      <c r="K153" s="46">
        <v>2</v>
      </c>
      <c r="L153" s="46"/>
      <c r="M153" s="52">
        <v>1</v>
      </c>
    </row>
    <row r="154" spans="1:13" ht="15.75" customHeight="1" x14ac:dyDescent="0.2">
      <c r="A154" s="46">
        <v>17384</v>
      </c>
      <c r="B154" s="46">
        <v>153</v>
      </c>
      <c r="C154" s="39" t="s">
        <v>852</v>
      </c>
      <c r="D154" s="34" t="s">
        <v>6476</v>
      </c>
      <c r="E154" s="34" t="s">
        <v>6477</v>
      </c>
      <c r="F154" s="34">
        <v>1</v>
      </c>
      <c r="G154" s="34" t="b">
        <v>1</v>
      </c>
      <c r="H154" s="46">
        <v>3</v>
      </c>
      <c r="I154" s="46">
        <v>2</v>
      </c>
      <c r="J154" s="46"/>
      <c r="K154" s="46">
        <v>1</v>
      </c>
      <c r="L154" s="46"/>
      <c r="M154" s="52"/>
    </row>
    <row r="155" spans="1:13" ht="15.75" customHeight="1" x14ac:dyDescent="0.2">
      <c r="A155" s="46">
        <v>17384</v>
      </c>
      <c r="B155" s="46">
        <v>154</v>
      </c>
      <c r="C155" s="39" t="s">
        <v>853</v>
      </c>
      <c r="D155" s="34" t="s">
        <v>6478</v>
      </c>
      <c r="E155" s="34" t="s">
        <v>6479</v>
      </c>
      <c r="F155" s="34">
        <v>1</v>
      </c>
      <c r="G155" s="34" t="b">
        <v>1</v>
      </c>
      <c r="H155" s="46">
        <v>2</v>
      </c>
      <c r="I155" s="46">
        <v>1</v>
      </c>
      <c r="J155" s="46"/>
      <c r="K155" s="46">
        <v>1</v>
      </c>
      <c r="L155" s="46"/>
      <c r="M155" s="52"/>
    </row>
    <row r="156" spans="1:13" ht="15.75" customHeight="1" x14ac:dyDescent="0.2">
      <c r="A156" s="46">
        <v>17384</v>
      </c>
      <c r="B156" s="46">
        <v>155</v>
      </c>
      <c r="C156" s="39" t="s">
        <v>856</v>
      </c>
      <c r="D156" s="34" t="s">
        <v>6480</v>
      </c>
      <c r="E156" s="34" t="s">
        <v>6481</v>
      </c>
      <c r="F156" s="34">
        <v>1</v>
      </c>
      <c r="G156" s="34" t="b">
        <v>0</v>
      </c>
      <c r="H156" s="46">
        <v>1</v>
      </c>
      <c r="I156" s="46"/>
      <c r="J156" s="46"/>
      <c r="K156" s="46">
        <v>1</v>
      </c>
      <c r="L156" s="46"/>
      <c r="M156" s="52">
        <v>1</v>
      </c>
    </row>
    <row r="157" spans="1:13" ht="15.75" customHeight="1" x14ac:dyDescent="0.2">
      <c r="A157" s="46">
        <v>17384</v>
      </c>
      <c r="B157" s="46">
        <v>156</v>
      </c>
      <c r="C157" s="39" t="s">
        <v>857</v>
      </c>
      <c r="D157" s="34" t="s">
        <v>6460</v>
      </c>
      <c r="E157" s="34" t="s">
        <v>6482</v>
      </c>
      <c r="F157" s="34">
        <v>1</v>
      </c>
      <c r="G157" s="34" t="b">
        <v>1</v>
      </c>
      <c r="H157" s="46">
        <v>6</v>
      </c>
      <c r="I157" s="46">
        <v>3</v>
      </c>
      <c r="J157" s="46">
        <v>2</v>
      </c>
      <c r="K157" s="46">
        <v>1</v>
      </c>
      <c r="L157" s="46"/>
      <c r="M157" s="52"/>
    </row>
    <row r="158" spans="1:13" ht="15.75" customHeight="1" x14ac:dyDescent="0.2">
      <c r="A158" s="46">
        <v>17384</v>
      </c>
      <c r="B158" s="46">
        <v>157</v>
      </c>
      <c r="C158" s="39" t="s">
        <v>858</v>
      </c>
      <c r="D158" s="34" t="s">
        <v>6483</v>
      </c>
      <c r="E158" s="34" t="s">
        <v>6484</v>
      </c>
      <c r="F158" s="34">
        <v>1</v>
      </c>
      <c r="G158" s="34" t="b">
        <v>1</v>
      </c>
      <c r="H158" s="46">
        <v>3</v>
      </c>
      <c r="I158" s="46">
        <v>2</v>
      </c>
      <c r="J158" s="46"/>
      <c r="K158" s="46"/>
      <c r="L158" s="46">
        <v>1</v>
      </c>
      <c r="M158" s="52"/>
    </row>
    <row r="159" spans="1:13" ht="15.75" customHeight="1" x14ac:dyDescent="0.2">
      <c r="A159" s="46">
        <v>17384</v>
      </c>
      <c r="B159" s="46">
        <v>158</v>
      </c>
      <c r="C159" s="39" t="s">
        <v>859</v>
      </c>
      <c r="D159" s="34"/>
      <c r="E159" s="34"/>
      <c r="F159" s="34">
        <v>1</v>
      </c>
      <c r="G159" s="34" t="b">
        <v>0</v>
      </c>
      <c r="H159" s="46">
        <v>0</v>
      </c>
      <c r="I159" s="46"/>
      <c r="J159" s="46"/>
      <c r="K159" s="46"/>
      <c r="L159" s="46"/>
      <c r="M159" s="52"/>
    </row>
    <row r="160" spans="1:13" ht="15.75" customHeight="1" x14ac:dyDescent="0.2">
      <c r="A160" s="46">
        <v>17384</v>
      </c>
      <c r="B160" s="46">
        <v>159</v>
      </c>
      <c r="C160" s="39" t="s">
        <v>860</v>
      </c>
      <c r="D160" s="34" t="s">
        <v>6460</v>
      </c>
      <c r="E160" s="34" t="s">
        <v>6485</v>
      </c>
      <c r="F160" s="34">
        <v>1</v>
      </c>
      <c r="G160" s="34" t="b">
        <v>1</v>
      </c>
      <c r="H160" s="46">
        <v>3</v>
      </c>
      <c r="I160" s="46">
        <v>2</v>
      </c>
      <c r="J160" s="46"/>
      <c r="K160" s="46">
        <v>1</v>
      </c>
      <c r="L160" s="46"/>
      <c r="M160" s="52"/>
    </row>
    <row r="161" spans="1:13" ht="15.75" customHeight="1" x14ac:dyDescent="0.2">
      <c r="A161" s="46">
        <v>17384</v>
      </c>
      <c r="B161" s="46">
        <v>160</v>
      </c>
      <c r="C161" s="39" t="s">
        <v>863</v>
      </c>
      <c r="D161" s="34" t="s">
        <v>6460</v>
      </c>
      <c r="E161" s="34" t="s">
        <v>6486</v>
      </c>
      <c r="F161" s="34">
        <v>1</v>
      </c>
      <c r="G161" s="34" t="b">
        <v>1</v>
      </c>
      <c r="H161" s="46">
        <v>4</v>
      </c>
      <c r="I161" s="46">
        <v>1</v>
      </c>
      <c r="J161" s="46"/>
      <c r="K161" s="46">
        <v>3</v>
      </c>
      <c r="L161" s="46"/>
      <c r="M161" s="52">
        <v>1</v>
      </c>
    </row>
    <row r="162" spans="1:13" ht="15.75" customHeight="1" x14ac:dyDescent="0.2">
      <c r="A162" s="46">
        <v>17384</v>
      </c>
      <c r="B162" s="46">
        <v>161</v>
      </c>
      <c r="C162" s="39" t="s">
        <v>864</v>
      </c>
      <c r="D162" s="34" t="s">
        <v>6487</v>
      </c>
      <c r="E162" s="34" t="s">
        <v>6488</v>
      </c>
      <c r="F162" s="34">
        <v>1</v>
      </c>
      <c r="G162" s="34" t="b">
        <v>1</v>
      </c>
      <c r="H162" s="46">
        <v>3</v>
      </c>
      <c r="I162" s="46"/>
      <c r="J162" s="46">
        <v>3</v>
      </c>
      <c r="K162" s="46"/>
      <c r="L162" s="46"/>
      <c r="M162" s="52">
        <v>2</v>
      </c>
    </row>
    <row r="163" spans="1:13" ht="15.75" customHeight="1" x14ac:dyDescent="0.2">
      <c r="A163" s="46">
        <v>17384</v>
      </c>
      <c r="B163" s="46">
        <v>162</v>
      </c>
      <c r="C163" s="39" t="s">
        <v>865</v>
      </c>
      <c r="D163" s="34" t="s">
        <v>6489</v>
      </c>
      <c r="E163" s="34" t="s">
        <v>6490</v>
      </c>
      <c r="F163" s="34">
        <v>1</v>
      </c>
      <c r="G163" s="34" t="b">
        <v>1</v>
      </c>
      <c r="H163" s="46">
        <v>2</v>
      </c>
      <c r="I163" s="46">
        <v>2</v>
      </c>
      <c r="J163" s="46"/>
      <c r="K163" s="46"/>
      <c r="L163" s="46"/>
      <c r="M163" s="52"/>
    </row>
    <row r="164" spans="1:13" ht="15.75" customHeight="1" x14ac:dyDescent="0.2">
      <c r="A164" s="46">
        <v>17384</v>
      </c>
      <c r="B164" s="46">
        <v>163</v>
      </c>
      <c r="C164" s="39" t="s">
        <v>866</v>
      </c>
      <c r="D164" s="34" t="s">
        <v>6491</v>
      </c>
      <c r="E164" s="34" t="s">
        <v>6492</v>
      </c>
      <c r="F164" s="34">
        <v>1</v>
      </c>
      <c r="G164" s="34" t="b">
        <v>1</v>
      </c>
      <c r="H164" s="46">
        <v>4</v>
      </c>
      <c r="I164" s="46">
        <v>4</v>
      </c>
      <c r="J164" s="46"/>
      <c r="K164" s="46"/>
      <c r="L164" s="46"/>
      <c r="M164" s="52"/>
    </row>
    <row r="165" spans="1:13" ht="15.75" customHeight="1" x14ac:dyDescent="0.2">
      <c r="A165" s="46">
        <v>17384</v>
      </c>
      <c r="B165" s="46">
        <v>164</v>
      </c>
      <c r="C165" s="39" t="s">
        <v>869</v>
      </c>
      <c r="D165" s="34" t="s">
        <v>6460</v>
      </c>
      <c r="E165" s="34" t="s">
        <v>6493</v>
      </c>
      <c r="F165" s="34">
        <v>1</v>
      </c>
      <c r="G165" s="34" t="b">
        <v>1</v>
      </c>
      <c r="H165" s="46">
        <v>6</v>
      </c>
      <c r="I165" s="46">
        <v>4</v>
      </c>
      <c r="J165" s="46">
        <v>1</v>
      </c>
      <c r="K165" s="46">
        <v>1</v>
      </c>
      <c r="L165" s="46"/>
      <c r="M165" s="52"/>
    </row>
    <row r="166" spans="1:13" ht="15.75" customHeight="1" x14ac:dyDescent="0.2">
      <c r="A166" s="46">
        <v>17384</v>
      </c>
      <c r="B166" s="46">
        <v>165</v>
      </c>
      <c r="C166" s="39" t="s">
        <v>870</v>
      </c>
      <c r="D166" s="34" t="s">
        <v>6494</v>
      </c>
      <c r="E166" s="34" t="s">
        <v>6495</v>
      </c>
      <c r="F166" s="34">
        <v>1</v>
      </c>
      <c r="G166" s="34" t="b">
        <v>1</v>
      </c>
      <c r="H166" s="46">
        <v>2</v>
      </c>
      <c r="I166" s="46">
        <v>2</v>
      </c>
      <c r="J166" s="46"/>
      <c r="K166" s="46"/>
      <c r="L166" s="46"/>
      <c r="M166" s="52"/>
    </row>
    <row r="167" spans="1:13" ht="15.75" customHeight="1" x14ac:dyDescent="0.2">
      <c r="A167" s="46">
        <v>17384</v>
      </c>
      <c r="B167" s="46">
        <v>166</v>
      </c>
      <c r="C167" s="39" t="s">
        <v>871</v>
      </c>
      <c r="D167" s="34" t="s">
        <v>6496</v>
      </c>
      <c r="E167" s="34" t="s">
        <v>6497</v>
      </c>
      <c r="F167" s="34">
        <v>1</v>
      </c>
      <c r="G167" s="34" t="b">
        <v>1</v>
      </c>
      <c r="H167" s="46">
        <v>4</v>
      </c>
      <c r="I167" s="46">
        <v>4</v>
      </c>
      <c r="J167" s="46"/>
      <c r="K167" s="46"/>
      <c r="L167" s="46"/>
      <c r="M167" s="52"/>
    </row>
    <row r="168" spans="1:13" ht="15.75" customHeight="1" x14ac:dyDescent="0.2">
      <c r="A168" s="46">
        <v>17384</v>
      </c>
      <c r="B168" s="46">
        <v>167</v>
      </c>
      <c r="C168" s="39" t="s">
        <v>874</v>
      </c>
      <c r="D168" s="34" t="s">
        <v>6460</v>
      </c>
      <c r="E168" s="34" t="s">
        <v>6498</v>
      </c>
      <c r="F168" s="34">
        <v>1</v>
      </c>
      <c r="G168" s="34" t="b">
        <v>1</v>
      </c>
      <c r="H168" s="46">
        <v>4</v>
      </c>
      <c r="I168" s="46">
        <v>4</v>
      </c>
      <c r="J168" s="46"/>
      <c r="K168" s="46"/>
      <c r="L168" s="46"/>
      <c r="M168" s="52"/>
    </row>
    <row r="169" spans="1:13" ht="15.75" customHeight="1" x14ac:dyDescent="0.2">
      <c r="A169" s="46">
        <v>17384</v>
      </c>
      <c r="B169" s="46">
        <v>168</v>
      </c>
      <c r="C169" s="39" t="s">
        <v>875</v>
      </c>
      <c r="D169" s="34" t="s">
        <v>6499</v>
      </c>
      <c r="E169" s="34" t="s">
        <v>6500</v>
      </c>
      <c r="F169" s="34">
        <v>1</v>
      </c>
      <c r="G169" s="34" t="b">
        <v>0</v>
      </c>
      <c r="H169" s="46">
        <v>4</v>
      </c>
      <c r="I169" s="46">
        <v>1</v>
      </c>
      <c r="J169" s="46"/>
      <c r="K169" s="46">
        <v>3</v>
      </c>
      <c r="L169" s="46"/>
      <c r="M169" s="52">
        <v>1</v>
      </c>
    </row>
    <row r="170" spans="1:13" ht="15.75" customHeight="1" x14ac:dyDescent="0.2">
      <c r="A170" s="46">
        <v>17384</v>
      </c>
      <c r="B170" s="46">
        <v>169</v>
      </c>
      <c r="C170" s="39" t="s">
        <v>876</v>
      </c>
      <c r="D170" s="34" t="s">
        <v>6460</v>
      </c>
      <c r="E170" s="34" t="s">
        <v>6501</v>
      </c>
      <c r="F170" s="34">
        <v>1</v>
      </c>
      <c r="G170" s="34" t="b">
        <v>1</v>
      </c>
      <c r="H170" s="46">
        <v>4</v>
      </c>
      <c r="I170" s="46">
        <v>1</v>
      </c>
      <c r="J170" s="46">
        <v>3</v>
      </c>
      <c r="K170" s="46"/>
      <c r="L170" s="46"/>
      <c r="M170" s="52">
        <v>2</v>
      </c>
    </row>
    <row r="171" spans="1:13" ht="15.75" customHeight="1" x14ac:dyDescent="0.2">
      <c r="A171" s="46">
        <v>17384</v>
      </c>
      <c r="B171" s="46">
        <v>170</v>
      </c>
      <c r="C171" s="39" t="s">
        <v>879</v>
      </c>
      <c r="D171" s="34" t="s">
        <v>6502</v>
      </c>
      <c r="E171" s="34" t="s">
        <v>6503</v>
      </c>
      <c r="F171" s="34">
        <v>1</v>
      </c>
      <c r="G171" s="34" t="b">
        <v>1</v>
      </c>
      <c r="H171" s="46">
        <v>5</v>
      </c>
      <c r="I171" s="46">
        <v>1</v>
      </c>
      <c r="J171" s="46">
        <v>4</v>
      </c>
      <c r="K171" s="46"/>
      <c r="L171" s="46"/>
      <c r="M171" s="52"/>
    </row>
    <row r="172" spans="1:13" ht="15.75" customHeight="1" x14ac:dyDescent="0.2">
      <c r="A172" s="46">
        <v>17384</v>
      </c>
      <c r="B172" s="46">
        <v>171</v>
      </c>
      <c r="C172" s="39" t="s">
        <v>882</v>
      </c>
      <c r="D172" s="34" t="s">
        <v>6504</v>
      </c>
      <c r="E172" s="34" t="s">
        <v>6505</v>
      </c>
      <c r="F172" s="34">
        <v>1</v>
      </c>
      <c r="G172" s="34" t="b">
        <v>0</v>
      </c>
      <c r="H172" s="46">
        <v>3</v>
      </c>
      <c r="I172" s="46">
        <v>2</v>
      </c>
      <c r="J172" s="46"/>
      <c r="K172" s="46">
        <v>1</v>
      </c>
      <c r="L172" s="46"/>
      <c r="M172" s="52">
        <v>1</v>
      </c>
    </row>
    <row r="173" spans="1:13" ht="15.75" customHeight="1" x14ac:dyDescent="0.2">
      <c r="A173" s="46">
        <v>17384</v>
      </c>
      <c r="B173" s="46">
        <v>172</v>
      </c>
      <c r="C173" s="39" t="s">
        <v>883</v>
      </c>
      <c r="D173" s="34" t="s">
        <v>6506</v>
      </c>
      <c r="E173" s="34" t="s">
        <v>6507</v>
      </c>
      <c r="F173" s="34">
        <v>1</v>
      </c>
      <c r="G173" s="34" t="b">
        <v>1</v>
      </c>
      <c r="H173" s="46">
        <v>3</v>
      </c>
      <c r="I173" s="46">
        <v>3</v>
      </c>
      <c r="J173" s="46"/>
      <c r="K173" s="46"/>
      <c r="L173" s="46"/>
      <c r="M173" s="52"/>
    </row>
    <row r="174" spans="1:13" ht="15.75" customHeight="1" x14ac:dyDescent="0.2">
      <c r="A174" s="46">
        <v>17384</v>
      </c>
      <c r="B174" s="46">
        <v>173</v>
      </c>
      <c r="C174" s="39" t="s">
        <v>884</v>
      </c>
      <c r="D174" s="34" t="s">
        <v>6508</v>
      </c>
      <c r="E174" s="34" t="s">
        <v>6509</v>
      </c>
      <c r="F174" s="34">
        <v>1</v>
      </c>
      <c r="G174" s="34" t="b">
        <v>1</v>
      </c>
      <c r="H174" s="46">
        <v>4</v>
      </c>
      <c r="I174" s="46">
        <v>1</v>
      </c>
      <c r="J174" s="46">
        <v>2</v>
      </c>
      <c r="K174" s="46">
        <v>1</v>
      </c>
      <c r="L174" s="46"/>
      <c r="M174" s="52"/>
    </row>
    <row r="175" spans="1:13" ht="15.75" customHeight="1" x14ac:dyDescent="0.2">
      <c r="A175" s="46">
        <v>17384</v>
      </c>
      <c r="B175" s="46">
        <v>174</v>
      </c>
      <c r="C175" s="39" t="s">
        <v>885</v>
      </c>
      <c r="D175" s="34" t="s">
        <v>6510</v>
      </c>
      <c r="E175" s="34" t="s">
        <v>6511</v>
      </c>
      <c r="F175" s="34">
        <v>1</v>
      </c>
      <c r="G175" s="34" t="b">
        <v>1</v>
      </c>
      <c r="H175" s="46">
        <v>2</v>
      </c>
      <c r="I175" s="46">
        <v>2</v>
      </c>
      <c r="J175" s="46"/>
      <c r="K175" s="46"/>
      <c r="L175" s="46"/>
      <c r="M175" s="52"/>
    </row>
    <row r="176" spans="1:13" ht="15.75" customHeight="1" x14ac:dyDescent="0.2">
      <c r="A176" s="46">
        <v>17384</v>
      </c>
      <c r="B176" s="46">
        <v>175</v>
      </c>
      <c r="C176" s="39" t="s">
        <v>886</v>
      </c>
      <c r="D176" s="34" t="s">
        <v>6512</v>
      </c>
      <c r="E176" s="34" t="s">
        <v>6513</v>
      </c>
      <c r="F176" s="34">
        <v>1</v>
      </c>
      <c r="G176" s="34" t="b">
        <v>0</v>
      </c>
      <c r="H176" s="46">
        <v>2</v>
      </c>
      <c r="I176" s="46">
        <v>1</v>
      </c>
      <c r="J176" s="46"/>
      <c r="K176" s="46">
        <v>1</v>
      </c>
      <c r="L176" s="46"/>
      <c r="M176" s="52"/>
    </row>
    <row r="177" spans="1:13" ht="15.75" customHeight="1" x14ac:dyDescent="0.2">
      <c r="A177" s="46">
        <v>17385</v>
      </c>
      <c r="B177" s="46">
        <v>176</v>
      </c>
      <c r="C177" s="39" t="s">
        <v>887</v>
      </c>
      <c r="D177" s="34" t="s">
        <v>6514</v>
      </c>
      <c r="E177" s="34" t="s">
        <v>6515</v>
      </c>
      <c r="F177" s="34">
        <v>1</v>
      </c>
      <c r="G177" s="34" t="b">
        <v>1</v>
      </c>
      <c r="H177" s="46">
        <v>4</v>
      </c>
      <c r="I177" s="46">
        <v>1</v>
      </c>
      <c r="J177" s="46">
        <v>1</v>
      </c>
      <c r="K177" s="46">
        <v>2</v>
      </c>
      <c r="L177" s="46"/>
      <c r="M177" s="52"/>
    </row>
    <row r="178" spans="1:13" ht="15.75" customHeight="1" x14ac:dyDescent="0.2">
      <c r="A178" s="46">
        <v>17385</v>
      </c>
      <c r="B178" s="46">
        <v>177</v>
      </c>
      <c r="C178" s="39" t="s">
        <v>890</v>
      </c>
      <c r="D178" s="34" t="s">
        <v>6516</v>
      </c>
      <c r="E178" s="34" t="s">
        <v>6517</v>
      </c>
      <c r="F178" s="34">
        <v>1</v>
      </c>
      <c r="G178" s="34" t="b">
        <v>0</v>
      </c>
      <c r="H178" s="46">
        <v>5</v>
      </c>
      <c r="I178" s="46">
        <v>5</v>
      </c>
      <c r="J178" s="46"/>
      <c r="K178" s="46"/>
      <c r="L178" s="46"/>
      <c r="M178" s="52">
        <v>1</v>
      </c>
    </row>
    <row r="179" spans="1:13" ht="15.75" customHeight="1" x14ac:dyDescent="0.2">
      <c r="A179" s="46">
        <v>17385</v>
      </c>
      <c r="B179" s="46">
        <v>178</v>
      </c>
      <c r="C179" s="39" t="s">
        <v>893</v>
      </c>
      <c r="D179" s="34" t="s">
        <v>6518</v>
      </c>
      <c r="E179" s="34" t="s">
        <v>6519</v>
      </c>
      <c r="F179" s="34">
        <v>1</v>
      </c>
      <c r="G179" s="34" t="b">
        <v>1</v>
      </c>
      <c r="H179" s="46">
        <v>3</v>
      </c>
      <c r="I179" s="46">
        <v>1</v>
      </c>
      <c r="J179" s="46"/>
      <c r="K179" s="46"/>
      <c r="L179" s="46">
        <v>2</v>
      </c>
      <c r="M179" s="52">
        <v>3</v>
      </c>
    </row>
    <row r="180" spans="1:13" ht="15.75" customHeight="1" x14ac:dyDescent="0.2">
      <c r="A180" s="46">
        <v>17385</v>
      </c>
      <c r="B180" s="46">
        <v>179</v>
      </c>
      <c r="C180" s="39" t="s">
        <v>896</v>
      </c>
      <c r="D180" s="34" t="s">
        <v>6520</v>
      </c>
      <c r="E180" s="34" t="s">
        <v>6521</v>
      </c>
      <c r="F180" s="34">
        <v>1</v>
      </c>
      <c r="G180" s="34" t="b">
        <v>0</v>
      </c>
      <c r="H180" s="46">
        <v>2</v>
      </c>
      <c r="I180" s="46">
        <v>2</v>
      </c>
      <c r="J180" s="46"/>
      <c r="K180" s="46"/>
      <c r="L180" s="46"/>
      <c r="M180" s="52">
        <v>1</v>
      </c>
    </row>
    <row r="181" spans="1:13" ht="15.75" customHeight="1" x14ac:dyDescent="0.2">
      <c r="A181" s="46">
        <v>17385</v>
      </c>
      <c r="B181" s="46">
        <v>180</v>
      </c>
      <c r="C181" s="39" t="s">
        <v>899</v>
      </c>
      <c r="D181" s="34" t="s">
        <v>6522</v>
      </c>
      <c r="E181" s="34" t="s">
        <v>6523</v>
      </c>
      <c r="F181" s="34">
        <v>1</v>
      </c>
      <c r="G181" s="34" t="b">
        <v>0</v>
      </c>
      <c r="H181" s="46">
        <v>5</v>
      </c>
      <c r="I181" s="46">
        <v>3</v>
      </c>
      <c r="J181" s="46">
        <v>2</v>
      </c>
      <c r="K181" s="46"/>
      <c r="L181" s="46"/>
      <c r="M181" s="52">
        <v>1</v>
      </c>
    </row>
    <row r="182" spans="1:13" ht="15.75" customHeight="1" x14ac:dyDescent="0.2">
      <c r="A182" s="46">
        <v>17385</v>
      </c>
      <c r="B182" s="46">
        <v>181</v>
      </c>
      <c r="C182" s="39" t="s">
        <v>902</v>
      </c>
      <c r="D182" s="34" t="s">
        <v>6524</v>
      </c>
      <c r="E182" s="34" t="s">
        <v>6525</v>
      </c>
      <c r="F182" s="34">
        <v>1</v>
      </c>
      <c r="G182" s="34" t="b">
        <v>0</v>
      </c>
      <c r="H182" s="46">
        <v>1</v>
      </c>
      <c r="I182" s="46">
        <v>1</v>
      </c>
      <c r="J182" s="46"/>
      <c r="K182" s="46"/>
      <c r="L182" s="46"/>
      <c r="M182" s="52"/>
    </row>
    <row r="183" spans="1:13" ht="15.75" customHeight="1" x14ac:dyDescent="0.2">
      <c r="A183" s="46">
        <v>17385</v>
      </c>
      <c r="B183" s="46">
        <v>182</v>
      </c>
      <c r="C183" s="39" t="s">
        <v>905</v>
      </c>
      <c r="D183" s="34" t="s">
        <v>6526</v>
      </c>
      <c r="E183" s="34"/>
      <c r="F183" s="34">
        <v>1</v>
      </c>
      <c r="G183" s="34" t="b">
        <v>0</v>
      </c>
      <c r="H183" s="46">
        <v>0</v>
      </c>
      <c r="I183" s="46"/>
      <c r="J183" s="46"/>
      <c r="K183" s="46"/>
      <c r="L183" s="46"/>
      <c r="M183" s="52"/>
    </row>
    <row r="184" spans="1:13" ht="15.75" customHeight="1" x14ac:dyDescent="0.2">
      <c r="A184" s="46">
        <v>17385</v>
      </c>
      <c r="B184" s="46">
        <v>183</v>
      </c>
      <c r="C184" s="39" t="s">
        <v>908</v>
      </c>
      <c r="D184" s="34" t="s">
        <v>6527</v>
      </c>
      <c r="E184" s="34" t="s">
        <v>6528</v>
      </c>
      <c r="F184" s="34">
        <v>1</v>
      </c>
      <c r="G184" s="34" t="b">
        <v>1</v>
      </c>
      <c r="H184" s="46">
        <v>7</v>
      </c>
      <c r="I184" s="46">
        <v>5</v>
      </c>
      <c r="J184" s="46">
        <v>2</v>
      </c>
      <c r="K184" s="46"/>
      <c r="L184" s="46"/>
      <c r="M184" s="52"/>
    </row>
    <row r="185" spans="1:13" ht="15.75" customHeight="1" x14ac:dyDescent="0.2">
      <c r="A185" s="46">
        <v>17385</v>
      </c>
      <c r="B185" s="46">
        <v>184</v>
      </c>
      <c r="C185" s="39" t="s">
        <v>910</v>
      </c>
      <c r="D185" s="34" t="s">
        <v>6529</v>
      </c>
      <c r="E185" s="34" t="s">
        <v>6530</v>
      </c>
      <c r="F185" s="34">
        <v>1</v>
      </c>
      <c r="G185" s="34" t="b">
        <v>0</v>
      </c>
      <c r="H185" s="46">
        <v>1</v>
      </c>
      <c r="I185" s="46">
        <v>1</v>
      </c>
      <c r="J185" s="46"/>
      <c r="K185" s="46"/>
      <c r="L185" s="46"/>
      <c r="M185" s="52">
        <v>1</v>
      </c>
    </row>
    <row r="186" spans="1:13" ht="15.75" customHeight="1" x14ac:dyDescent="0.2">
      <c r="A186" s="46">
        <v>17385</v>
      </c>
      <c r="B186" s="46">
        <v>185</v>
      </c>
      <c r="C186" s="39" t="s">
        <v>913</v>
      </c>
      <c r="D186" s="34" t="s">
        <v>6531</v>
      </c>
      <c r="E186" s="34" t="s">
        <v>6532</v>
      </c>
      <c r="F186" s="34">
        <v>1</v>
      </c>
      <c r="G186" s="34" t="b">
        <v>0</v>
      </c>
      <c r="H186" s="46">
        <v>6</v>
      </c>
      <c r="I186" s="46">
        <v>6</v>
      </c>
      <c r="J186" s="46"/>
      <c r="K186" s="46"/>
      <c r="L186" s="46"/>
      <c r="M186" s="52"/>
    </row>
    <row r="187" spans="1:13" ht="15.75" customHeight="1" x14ac:dyDescent="0.2">
      <c r="A187" s="46">
        <v>17385</v>
      </c>
      <c r="B187" s="46">
        <v>186</v>
      </c>
      <c r="C187" s="39" t="s">
        <v>916</v>
      </c>
      <c r="D187" s="34" t="s">
        <v>6533</v>
      </c>
      <c r="E187" s="34" t="s">
        <v>6534</v>
      </c>
      <c r="F187" s="34">
        <v>1</v>
      </c>
      <c r="G187" s="34" t="b">
        <v>1</v>
      </c>
      <c r="H187" s="46">
        <v>5</v>
      </c>
      <c r="I187" s="46">
        <v>5</v>
      </c>
      <c r="J187" s="46"/>
      <c r="K187" s="46"/>
      <c r="L187" s="46"/>
      <c r="M187" s="52"/>
    </row>
    <row r="188" spans="1:13" ht="15.75" customHeight="1" x14ac:dyDescent="0.2">
      <c r="A188" s="46">
        <v>17385</v>
      </c>
      <c r="B188" s="46">
        <v>187</v>
      </c>
      <c r="C188" s="39" t="s">
        <v>919</v>
      </c>
      <c r="D188" s="34" t="s">
        <v>6535</v>
      </c>
      <c r="E188" s="34" t="s">
        <v>6536</v>
      </c>
      <c r="F188" s="34">
        <v>1</v>
      </c>
      <c r="G188" s="34" t="b">
        <v>1</v>
      </c>
      <c r="H188" s="46">
        <v>3</v>
      </c>
      <c r="I188" s="46">
        <v>3</v>
      </c>
      <c r="J188" s="46"/>
      <c r="K188" s="46"/>
      <c r="L188" s="46"/>
      <c r="M188" s="52"/>
    </row>
    <row r="189" spans="1:13" ht="15.75" customHeight="1" x14ac:dyDescent="0.2">
      <c r="A189" s="46">
        <v>17385</v>
      </c>
      <c r="B189" s="46">
        <v>188</v>
      </c>
      <c r="C189" s="39" t="s">
        <v>920</v>
      </c>
      <c r="D189" s="34" t="s">
        <v>6537</v>
      </c>
      <c r="E189" s="34"/>
      <c r="F189" s="34">
        <v>1</v>
      </c>
      <c r="G189" s="34" t="b">
        <v>0</v>
      </c>
      <c r="H189" s="46">
        <v>0</v>
      </c>
      <c r="I189" s="46"/>
      <c r="J189" s="46"/>
      <c r="K189" s="46"/>
      <c r="L189" s="46"/>
      <c r="M189" s="52"/>
    </row>
    <row r="190" spans="1:13" ht="15.75" customHeight="1" x14ac:dyDescent="0.2">
      <c r="A190" s="46">
        <v>17385</v>
      </c>
      <c r="B190" s="46">
        <v>189</v>
      </c>
      <c r="C190" s="39" t="s">
        <v>923</v>
      </c>
      <c r="D190" s="34" t="s">
        <v>6538</v>
      </c>
      <c r="E190" s="34" t="s">
        <v>6539</v>
      </c>
      <c r="F190" s="34">
        <v>1</v>
      </c>
      <c r="G190" s="34" t="b">
        <v>1</v>
      </c>
      <c r="H190" s="46">
        <v>1</v>
      </c>
      <c r="I190" s="46"/>
      <c r="J190" s="46">
        <v>1</v>
      </c>
      <c r="K190" s="46"/>
      <c r="L190" s="46"/>
      <c r="M190" s="52">
        <v>1</v>
      </c>
    </row>
    <row r="191" spans="1:13" ht="15.75" customHeight="1" x14ac:dyDescent="0.2">
      <c r="A191" s="46">
        <v>17385</v>
      </c>
      <c r="B191" s="46">
        <v>190</v>
      </c>
      <c r="C191" s="39" t="s">
        <v>926</v>
      </c>
      <c r="D191" s="34" t="s">
        <v>6540</v>
      </c>
      <c r="E191" s="34" t="s">
        <v>6541</v>
      </c>
      <c r="F191" s="34">
        <v>1</v>
      </c>
      <c r="G191" s="34" t="b">
        <v>1</v>
      </c>
      <c r="H191" s="46">
        <v>4</v>
      </c>
      <c r="I191" s="46">
        <v>4</v>
      </c>
      <c r="J191" s="46"/>
      <c r="K191" s="46"/>
      <c r="L191" s="46"/>
      <c r="M191" s="52"/>
    </row>
    <row r="192" spans="1:13" ht="15.75" customHeight="1" x14ac:dyDescent="0.2">
      <c r="A192" s="46">
        <v>17385</v>
      </c>
      <c r="B192" s="46">
        <v>191</v>
      </c>
      <c r="C192" s="39" t="s">
        <v>927</v>
      </c>
      <c r="D192" s="34" t="s">
        <v>6542</v>
      </c>
      <c r="E192" s="34" t="s">
        <v>6543</v>
      </c>
      <c r="F192" s="34">
        <v>1</v>
      </c>
      <c r="G192" s="34" t="b">
        <v>0</v>
      </c>
      <c r="H192" s="46">
        <v>5</v>
      </c>
      <c r="I192" s="46">
        <v>3</v>
      </c>
      <c r="J192" s="46"/>
      <c r="K192" s="46">
        <v>2</v>
      </c>
      <c r="L192" s="46"/>
      <c r="M192" s="52">
        <v>1</v>
      </c>
    </row>
    <row r="193" spans="1:13" ht="15.75" customHeight="1" x14ac:dyDescent="0.2">
      <c r="A193" s="46">
        <v>17385</v>
      </c>
      <c r="B193" s="46">
        <v>192</v>
      </c>
      <c r="C193" s="39" t="s">
        <v>928</v>
      </c>
      <c r="D193" s="34" t="s">
        <v>6544</v>
      </c>
      <c r="E193" s="34" t="s">
        <v>6545</v>
      </c>
      <c r="F193" s="34">
        <v>1</v>
      </c>
      <c r="G193" s="34" t="b">
        <v>1</v>
      </c>
      <c r="H193" s="46">
        <v>5</v>
      </c>
      <c r="I193" s="46">
        <v>5</v>
      </c>
      <c r="J193" s="46"/>
      <c r="K193" s="46"/>
      <c r="L193" s="46"/>
      <c r="M193" s="52"/>
    </row>
    <row r="194" spans="1:13" ht="15.75" customHeight="1" x14ac:dyDescent="0.2">
      <c r="A194" s="46">
        <v>17385</v>
      </c>
      <c r="B194" s="46">
        <v>193</v>
      </c>
      <c r="C194" s="39" t="s">
        <v>931</v>
      </c>
      <c r="D194" s="34" t="s">
        <v>6546</v>
      </c>
      <c r="E194" s="34" t="s">
        <v>6547</v>
      </c>
      <c r="F194" s="34">
        <v>1</v>
      </c>
      <c r="G194" s="34" t="b">
        <v>0</v>
      </c>
      <c r="H194" s="46">
        <v>3</v>
      </c>
      <c r="I194" s="46">
        <v>3</v>
      </c>
      <c r="J194" s="46"/>
      <c r="K194" s="46"/>
      <c r="L194" s="46"/>
      <c r="M194" s="52">
        <v>1</v>
      </c>
    </row>
    <row r="195" spans="1:13" ht="15.75" customHeight="1" x14ac:dyDescent="0.2">
      <c r="A195" s="46">
        <v>17385</v>
      </c>
      <c r="B195" s="46">
        <v>194</v>
      </c>
      <c r="C195" s="39" t="s">
        <v>932</v>
      </c>
      <c r="D195" s="34" t="s">
        <v>6548</v>
      </c>
      <c r="E195" s="34" t="s">
        <v>6549</v>
      </c>
      <c r="F195" s="34">
        <v>1</v>
      </c>
      <c r="G195" s="34" t="b">
        <v>0</v>
      </c>
      <c r="H195" s="46">
        <v>1</v>
      </c>
      <c r="I195" s="46">
        <v>1</v>
      </c>
      <c r="J195" s="46"/>
      <c r="K195" s="46"/>
      <c r="L195" s="46"/>
      <c r="M195" s="52">
        <v>2</v>
      </c>
    </row>
    <row r="196" spans="1:13" ht="15.75" customHeight="1" x14ac:dyDescent="0.2">
      <c r="A196" s="46">
        <v>17386</v>
      </c>
      <c r="B196" s="46">
        <v>195</v>
      </c>
      <c r="C196" s="39" t="s">
        <v>933</v>
      </c>
      <c r="D196" s="34" t="s">
        <v>6550</v>
      </c>
      <c r="E196" s="34" t="s">
        <v>6551</v>
      </c>
      <c r="F196" s="34">
        <v>1</v>
      </c>
      <c r="G196" s="34" t="b">
        <v>1</v>
      </c>
      <c r="H196" s="46">
        <v>3</v>
      </c>
      <c r="I196" s="46">
        <v>3</v>
      </c>
      <c r="J196" s="46"/>
      <c r="K196" s="46"/>
      <c r="L196" s="46"/>
      <c r="M196" s="52"/>
    </row>
    <row r="197" spans="1:13" ht="15.75" customHeight="1" x14ac:dyDescent="0.2">
      <c r="A197" s="46">
        <v>17386</v>
      </c>
      <c r="B197" s="46">
        <v>196</v>
      </c>
      <c r="C197" s="39" t="s">
        <v>936</v>
      </c>
      <c r="D197" s="34" t="s">
        <v>6552</v>
      </c>
      <c r="E197" s="34" t="s">
        <v>6553</v>
      </c>
      <c r="F197" s="34">
        <v>1</v>
      </c>
      <c r="G197" s="34" t="b">
        <v>0</v>
      </c>
      <c r="H197" s="46">
        <v>3</v>
      </c>
      <c r="I197" s="46">
        <v>3</v>
      </c>
      <c r="J197" s="46"/>
      <c r="K197" s="46"/>
      <c r="L197" s="46"/>
      <c r="M197" s="52">
        <v>1</v>
      </c>
    </row>
    <row r="198" spans="1:13" ht="15.75" customHeight="1" x14ac:dyDescent="0.2">
      <c r="A198" s="46">
        <v>17386</v>
      </c>
      <c r="B198" s="46">
        <v>197</v>
      </c>
      <c r="C198" s="39" t="s">
        <v>939</v>
      </c>
      <c r="D198" s="34" t="s">
        <v>6554</v>
      </c>
      <c r="E198" s="34" t="s">
        <v>6555</v>
      </c>
      <c r="F198" s="34">
        <v>1</v>
      </c>
      <c r="G198" s="34" t="b">
        <v>1</v>
      </c>
      <c r="H198" s="46">
        <v>3</v>
      </c>
      <c r="I198" s="46">
        <v>3</v>
      </c>
      <c r="J198" s="46"/>
      <c r="K198" s="46"/>
      <c r="L198" s="46"/>
      <c r="M198" s="52"/>
    </row>
    <row r="199" spans="1:13" ht="15.75" customHeight="1" x14ac:dyDescent="0.2">
      <c r="A199" s="46">
        <v>17386</v>
      </c>
      <c r="B199" s="46">
        <v>198</v>
      </c>
      <c r="C199" s="39" t="s">
        <v>942</v>
      </c>
      <c r="D199" s="34" t="s">
        <v>6556</v>
      </c>
      <c r="E199" s="34" t="s">
        <v>6557</v>
      </c>
      <c r="F199" s="34">
        <v>1</v>
      </c>
      <c r="G199" s="34" t="b">
        <v>1</v>
      </c>
      <c r="H199" s="46">
        <v>3</v>
      </c>
      <c r="I199" s="46">
        <v>3</v>
      </c>
      <c r="J199" s="46"/>
      <c r="K199" s="46"/>
      <c r="L199" s="46"/>
      <c r="M199" s="52"/>
    </row>
    <row r="200" spans="1:13" ht="15.75" customHeight="1" x14ac:dyDescent="0.2">
      <c r="A200" s="46">
        <v>17386</v>
      </c>
      <c r="B200" s="46">
        <v>199</v>
      </c>
      <c r="C200" s="39" t="s">
        <v>945</v>
      </c>
      <c r="D200" s="34" t="s">
        <v>6558</v>
      </c>
      <c r="E200" s="34" t="s">
        <v>6559</v>
      </c>
      <c r="F200" s="34">
        <v>1</v>
      </c>
      <c r="G200" s="34" t="b">
        <v>1</v>
      </c>
      <c r="H200" s="46">
        <v>2</v>
      </c>
      <c r="I200" s="46">
        <v>2</v>
      </c>
      <c r="J200" s="46"/>
      <c r="K200" s="46"/>
      <c r="L200" s="46"/>
      <c r="M200" s="52"/>
    </row>
    <row r="201" spans="1:13" ht="15.75" customHeight="1" x14ac:dyDescent="0.2">
      <c r="A201" s="46">
        <v>17386</v>
      </c>
      <c r="B201" s="46">
        <v>200</v>
      </c>
      <c r="C201" s="39" t="s">
        <v>946</v>
      </c>
      <c r="D201" s="34" t="s">
        <v>6560</v>
      </c>
      <c r="E201" s="34" t="s">
        <v>6561</v>
      </c>
      <c r="F201" s="34">
        <v>1</v>
      </c>
      <c r="G201" s="34" t="b">
        <v>0</v>
      </c>
      <c r="H201" s="46">
        <v>2</v>
      </c>
      <c r="I201" s="46">
        <v>2</v>
      </c>
      <c r="J201" s="46"/>
      <c r="K201" s="46"/>
      <c r="L201" s="46"/>
      <c r="M201" s="52"/>
    </row>
    <row r="202" spans="1:13" ht="15.75" customHeight="1" x14ac:dyDescent="0.2">
      <c r="A202" s="46">
        <v>17386</v>
      </c>
      <c r="B202" s="46">
        <v>201</v>
      </c>
      <c r="C202" s="39" t="s">
        <v>947</v>
      </c>
      <c r="D202" s="34" t="s">
        <v>6562</v>
      </c>
      <c r="E202" s="34" t="s">
        <v>6563</v>
      </c>
      <c r="F202" s="34">
        <v>1</v>
      </c>
      <c r="G202" s="34" t="b">
        <v>0</v>
      </c>
      <c r="H202" s="46">
        <v>3</v>
      </c>
      <c r="I202" s="46">
        <v>3</v>
      </c>
      <c r="J202" s="46"/>
      <c r="K202" s="46"/>
      <c r="L202" s="46"/>
      <c r="M202" s="52"/>
    </row>
    <row r="203" spans="1:13" ht="15.75" customHeight="1" x14ac:dyDescent="0.2">
      <c r="A203" s="46">
        <v>17386</v>
      </c>
      <c r="B203" s="46">
        <v>202</v>
      </c>
      <c r="C203" s="39" t="s">
        <v>949</v>
      </c>
      <c r="D203" s="34" t="s">
        <v>6564</v>
      </c>
      <c r="E203" s="34" t="s">
        <v>6565</v>
      </c>
      <c r="F203" s="34">
        <v>1</v>
      </c>
      <c r="G203" s="34" t="b">
        <v>1</v>
      </c>
      <c r="H203" s="46">
        <v>1</v>
      </c>
      <c r="I203" s="46">
        <v>1</v>
      </c>
      <c r="J203" s="46"/>
      <c r="K203" s="46"/>
      <c r="L203" s="46"/>
      <c r="M203" s="52"/>
    </row>
    <row r="204" spans="1:13" ht="15.75" customHeight="1" x14ac:dyDescent="0.2">
      <c r="A204" s="46">
        <v>17386</v>
      </c>
      <c r="B204" s="46">
        <v>203</v>
      </c>
      <c r="C204" s="39" t="s">
        <v>950</v>
      </c>
      <c r="D204" s="34" t="s">
        <v>6566</v>
      </c>
      <c r="E204" s="34" t="s">
        <v>6567</v>
      </c>
      <c r="F204" s="34">
        <v>1</v>
      </c>
      <c r="G204" s="34" t="b">
        <v>1</v>
      </c>
      <c r="H204" s="46">
        <v>4</v>
      </c>
      <c r="I204" s="46">
        <v>4</v>
      </c>
      <c r="J204" s="46"/>
      <c r="K204" s="46"/>
      <c r="L204" s="46"/>
      <c r="M204" s="52"/>
    </row>
    <row r="205" spans="1:13" ht="15.75" customHeight="1" x14ac:dyDescent="0.2">
      <c r="A205" s="46">
        <v>17386</v>
      </c>
      <c r="B205" s="46">
        <v>204</v>
      </c>
      <c r="C205" s="39" t="s">
        <v>951</v>
      </c>
      <c r="D205" s="34" t="s">
        <v>6568</v>
      </c>
      <c r="E205" s="34" t="s">
        <v>6569</v>
      </c>
      <c r="F205" s="34">
        <v>1</v>
      </c>
      <c r="G205" s="34" t="b">
        <v>1</v>
      </c>
      <c r="H205" s="46">
        <v>1</v>
      </c>
      <c r="I205" s="46">
        <v>1</v>
      </c>
      <c r="J205" s="46"/>
      <c r="K205" s="46"/>
      <c r="L205" s="46"/>
      <c r="M205" s="52"/>
    </row>
    <row r="206" spans="1:13" ht="15.75" customHeight="1" x14ac:dyDescent="0.2">
      <c r="A206" s="46">
        <v>17386</v>
      </c>
      <c r="B206" s="46">
        <v>205</v>
      </c>
      <c r="C206" s="39" t="s">
        <v>952</v>
      </c>
      <c r="D206" s="34" t="s">
        <v>6570</v>
      </c>
      <c r="E206" s="34"/>
      <c r="F206" s="34">
        <v>1</v>
      </c>
      <c r="G206" s="34" t="b">
        <v>1</v>
      </c>
      <c r="H206" s="46">
        <v>0</v>
      </c>
      <c r="I206" s="46"/>
      <c r="J206" s="46"/>
      <c r="K206" s="46"/>
      <c r="L206" s="46"/>
      <c r="M206" s="52"/>
    </row>
    <row r="207" spans="1:13" ht="15.75" customHeight="1" x14ac:dyDescent="0.2">
      <c r="A207" s="46">
        <v>17386</v>
      </c>
      <c r="B207" s="46">
        <v>206</v>
      </c>
      <c r="C207" s="39" t="s">
        <v>953</v>
      </c>
      <c r="D207" s="34" t="s">
        <v>6556</v>
      </c>
      <c r="E207" s="34" t="s">
        <v>6571</v>
      </c>
      <c r="F207" s="34">
        <v>1</v>
      </c>
      <c r="G207" s="34" t="b">
        <v>1</v>
      </c>
      <c r="H207" s="46">
        <v>3</v>
      </c>
      <c r="I207" s="46">
        <v>3</v>
      </c>
      <c r="J207" s="46"/>
      <c r="K207" s="46"/>
      <c r="L207" s="46"/>
      <c r="M207" s="52"/>
    </row>
    <row r="208" spans="1:13" ht="15.75" customHeight="1" x14ac:dyDescent="0.2">
      <c r="A208" s="46">
        <v>17386</v>
      </c>
      <c r="B208" s="46">
        <v>207</v>
      </c>
      <c r="C208" s="39" t="s">
        <v>956</v>
      </c>
      <c r="D208" s="34" t="s">
        <v>6572</v>
      </c>
      <c r="E208" s="34" t="s">
        <v>6573</v>
      </c>
      <c r="F208" s="34">
        <v>1</v>
      </c>
      <c r="G208" s="34" t="b">
        <v>1</v>
      </c>
      <c r="H208" s="46">
        <v>3</v>
      </c>
      <c r="I208" s="46">
        <v>2</v>
      </c>
      <c r="J208" s="46">
        <v>1</v>
      </c>
      <c r="K208" s="46"/>
      <c r="L208" s="46"/>
      <c r="M208" s="52"/>
    </row>
    <row r="209" spans="1:13" ht="15.75" customHeight="1" x14ac:dyDescent="0.2">
      <c r="A209" s="46">
        <v>17386</v>
      </c>
      <c r="B209" s="46">
        <v>208</v>
      </c>
      <c r="C209" s="39" t="s">
        <v>959</v>
      </c>
      <c r="D209" s="34" t="s">
        <v>6574</v>
      </c>
      <c r="E209" s="34" t="s">
        <v>6575</v>
      </c>
      <c r="F209" s="34">
        <v>1</v>
      </c>
      <c r="G209" s="34" t="b">
        <v>1</v>
      </c>
      <c r="H209" s="46">
        <v>4</v>
      </c>
      <c r="I209" s="46">
        <v>4</v>
      </c>
      <c r="J209" s="46"/>
      <c r="K209" s="46"/>
      <c r="L209" s="46"/>
      <c r="M209" s="52"/>
    </row>
    <row r="210" spans="1:13" ht="15.75" customHeight="1" x14ac:dyDescent="0.2">
      <c r="A210" s="46">
        <v>17386</v>
      </c>
      <c r="B210" s="46">
        <v>209</v>
      </c>
      <c r="C210" s="39" t="s">
        <v>962</v>
      </c>
      <c r="D210" s="34" t="s">
        <v>6576</v>
      </c>
      <c r="E210" s="34" t="s">
        <v>6577</v>
      </c>
      <c r="F210" s="34">
        <v>1</v>
      </c>
      <c r="G210" s="34" t="b">
        <v>1</v>
      </c>
      <c r="H210" s="46">
        <v>5</v>
      </c>
      <c r="I210" s="46">
        <v>5</v>
      </c>
      <c r="J210" s="46"/>
      <c r="K210" s="46"/>
      <c r="L210" s="46"/>
      <c r="M210" s="52"/>
    </row>
    <row r="211" spans="1:13" ht="15.75" customHeight="1" x14ac:dyDescent="0.2">
      <c r="A211" s="46">
        <v>17386</v>
      </c>
      <c r="B211" s="46">
        <v>210</v>
      </c>
      <c r="C211" s="39" t="s">
        <v>965</v>
      </c>
      <c r="D211" s="34" t="s">
        <v>6578</v>
      </c>
      <c r="E211" s="34" t="s">
        <v>6579</v>
      </c>
      <c r="F211" s="34">
        <v>1</v>
      </c>
      <c r="G211" s="34" t="b">
        <v>1</v>
      </c>
      <c r="H211" s="46">
        <v>2</v>
      </c>
      <c r="I211" s="46">
        <v>2</v>
      </c>
      <c r="J211" s="46"/>
      <c r="K211" s="46"/>
      <c r="L211" s="46"/>
      <c r="M211" s="52"/>
    </row>
    <row r="212" spans="1:13" ht="15.75" customHeight="1" x14ac:dyDescent="0.2">
      <c r="A212" s="46">
        <v>17387</v>
      </c>
      <c r="B212" s="46">
        <v>211</v>
      </c>
      <c r="C212" s="39" t="s">
        <v>968</v>
      </c>
      <c r="D212" s="34" t="s">
        <v>6580</v>
      </c>
      <c r="E212" s="34" t="s">
        <v>6581</v>
      </c>
      <c r="F212" s="34">
        <v>1</v>
      </c>
      <c r="G212" s="34" t="b">
        <v>0</v>
      </c>
      <c r="H212" s="46">
        <v>2</v>
      </c>
      <c r="I212" s="46">
        <v>2</v>
      </c>
      <c r="J212" s="46"/>
      <c r="K212" s="46"/>
      <c r="L212" s="46"/>
      <c r="M212" s="52">
        <v>3</v>
      </c>
    </row>
    <row r="213" spans="1:13" ht="15.75" customHeight="1" x14ac:dyDescent="0.2">
      <c r="A213" s="46">
        <v>17387</v>
      </c>
      <c r="B213" s="46">
        <v>212</v>
      </c>
      <c r="C213" s="39" t="s">
        <v>971</v>
      </c>
      <c r="D213" s="34" t="s">
        <v>6582</v>
      </c>
      <c r="E213" s="34" t="s">
        <v>6583</v>
      </c>
      <c r="F213" s="34">
        <v>1</v>
      </c>
      <c r="G213" s="34" t="b">
        <v>0</v>
      </c>
      <c r="H213" s="46">
        <v>2</v>
      </c>
      <c r="I213" s="46">
        <v>1</v>
      </c>
      <c r="J213" s="46"/>
      <c r="K213" s="46">
        <v>1</v>
      </c>
      <c r="L213" s="46"/>
      <c r="M213" s="52">
        <v>1</v>
      </c>
    </row>
    <row r="214" spans="1:13" ht="15.75" customHeight="1" x14ac:dyDescent="0.2">
      <c r="A214" s="46">
        <v>17387</v>
      </c>
      <c r="B214" s="46">
        <v>213</v>
      </c>
      <c r="C214" s="39" t="s">
        <v>973</v>
      </c>
      <c r="D214" s="34" t="s">
        <v>6584</v>
      </c>
      <c r="E214" s="34" t="s">
        <v>6585</v>
      </c>
      <c r="F214" s="34">
        <v>1</v>
      </c>
      <c r="G214" s="34" t="b">
        <v>1</v>
      </c>
      <c r="H214" s="46">
        <v>1</v>
      </c>
      <c r="I214" s="46">
        <v>1</v>
      </c>
      <c r="J214" s="46"/>
      <c r="K214" s="46"/>
      <c r="L214" s="46"/>
      <c r="M214" s="52"/>
    </row>
    <row r="215" spans="1:13" ht="15.75" customHeight="1" x14ac:dyDescent="0.2">
      <c r="A215" s="46">
        <v>17387</v>
      </c>
      <c r="B215" s="46">
        <v>214</v>
      </c>
      <c r="C215" s="39" t="s">
        <v>976</v>
      </c>
      <c r="D215" s="34" t="s">
        <v>6586</v>
      </c>
      <c r="E215" s="34" t="s">
        <v>6587</v>
      </c>
      <c r="F215" s="34">
        <v>1</v>
      </c>
      <c r="G215" s="34" t="b">
        <v>1</v>
      </c>
      <c r="H215" s="46">
        <v>1</v>
      </c>
      <c r="I215" s="46">
        <v>1</v>
      </c>
      <c r="J215" s="46"/>
      <c r="K215" s="46"/>
      <c r="L215" s="46"/>
      <c r="M215" s="52"/>
    </row>
    <row r="216" spans="1:13" ht="15.75" customHeight="1" x14ac:dyDescent="0.2">
      <c r="A216" s="46">
        <v>17387</v>
      </c>
      <c r="B216" s="46">
        <v>215</v>
      </c>
      <c r="C216" s="39" t="s">
        <v>977</v>
      </c>
      <c r="D216" s="34" t="s">
        <v>6588</v>
      </c>
      <c r="E216" s="34" t="s">
        <v>6589</v>
      </c>
      <c r="F216" s="34">
        <v>1</v>
      </c>
      <c r="G216" s="34" t="b">
        <v>1</v>
      </c>
      <c r="H216" s="46">
        <v>1</v>
      </c>
      <c r="I216" s="46">
        <v>1</v>
      </c>
      <c r="J216" s="46"/>
      <c r="K216" s="46"/>
      <c r="L216" s="46"/>
      <c r="M216" s="52"/>
    </row>
    <row r="217" spans="1:13" ht="15.75" customHeight="1" x14ac:dyDescent="0.2">
      <c r="A217" s="46">
        <v>17387</v>
      </c>
      <c r="B217" s="46">
        <v>216</v>
      </c>
      <c r="C217" s="39" t="s">
        <v>978</v>
      </c>
      <c r="D217" s="34" t="s">
        <v>6590</v>
      </c>
      <c r="E217" s="34" t="s">
        <v>6591</v>
      </c>
      <c r="F217" s="34">
        <v>1</v>
      </c>
      <c r="G217" s="34" t="b">
        <v>1</v>
      </c>
      <c r="H217" s="46">
        <v>4</v>
      </c>
      <c r="I217" s="46">
        <v>4</v>
      </c>
      <c r="J217" s="46"/>
      <c r="K217" s="46"/>
      <c r="L217" s="46"/>
      <c r="M217" s="52"/>
    </row>
    <row r="218" spans="1:13" ht="15.75" customHeight="1" x14ac:dyDescent="0.2">
      <c r="A218" s="46">
        <v>17387</v>
      </c>
      <c r="B218" s="46">
        <v>217</v>
      </c>
      <c r="C218" s="39" t="s">
        <v>979</v>
      </c>
      <c r="D218" s="34" t="s">
        <v>6592</v>
      </c>
      <c r="E218" s="34" t="s">
        <v>6593</v>
      </c>
      <c r="F218" s="34">
        <v>1</v>
      </c>
      <c r="G218" s="34" t="b">
        <v>0</v>
      </c>
      <c r="H218" s="46">
        <v>3</v>
      </c>
      <c r="I218" s="46"/>
      <c r="J218" s="46">
        <v>1</v>
      </c>
      <c r="K218" s="46">
        <v>1</v>
      </c>
      <c r="L218" s="46">
        <v>1</v>
      </c>
      <c r="M218" s="52">
        <v>1</v>
      </c>
    </row>
    <row r="219" spans="1:13" ht="15.75" customHeight="1" x14ac:dyDescent="0.2">
      <c r="A219" s="46">
        <v>17387</v>
      </c>
      <c r="B219" s="46">
        <v>218</v>
      </c>
      <c r="C219" s="39" t="s">
        <v>980</v>
      </c>
      <c r="D219" s="34" t="s">
        <v>4608</v>
      </c>
      <c r="E219" s="34" t="s">
        <v>6594</v>
      </c>
      <c r="F219" s="34">
        <v>1</v>
      </c>
      <c r="G219" s="34" t="b">
        <v>1</v>
      </c>
      <c r="H219" s="46">
        <v>1</v>
      </c>
      <c r="I219" s="46">
        <v>1</v>
      </c>
      <c r="J219" s="46"/>
      <c r="K219" s="46"/>
      <c r="L219" s="46"/>
      <c r="M219" s="52"/>
    </row>
    <row r="220" spans="1:13" ht="15.75" customHeight="1" x14ac:dyDescent="0.2">
      <c r="A220" s="46">
        <v>17387</v>
      </c>
      <c r="B220" s="46">
        <v>219</v>
      </c>
      <c r="C220" s="39" t="s">
        <v>983</v>
      </c>
      <c r="D220" s="34" t="s">
        <v>6595</v>
      </c>
      <c r="E220" s="34" t="s">
        <v>6596</v>
      </c>
      <c r="F220" s="34">
        <v>1</v>
      </c>
      <c r="G220" s="34" t="b">
        <v>0</v>
      </c>
      <c r="H220" s="46">
        <v>1</v>
      </c>
      <c r="I220" s="46"/>
      <c r="J220" s="46"/>
      <c r="K220" s="46">
        <v>1</v>
      </c>
      <c r="L220" s="46"/>
      <c r="M220" s="52">
        <v>1</v>
      </c>
    </row>
    <row r="221" spans="1:13" ht="15.75" customHeight="1" x14ac:dyDescent="0.2">
      <c r="A221" s="46">
        <v>17387</v>
      </c>
      <c r="B221" s="46">
        <v>220</v>
      </c>
      <c r="C221" s="39" t="s">
        <v>984</v>
      </c>
      <c r="D221" s="34" t="s">
        <v>6597</v>
      </c>
      <c r="E221" s="34" t="s">
        <v>6598</v>
      </c>
      <c r="F221" s="34">
        <v>1</v>
      </c>
      <c r="G221" s="34" t="b">
        <v>0</v>
      </c>
      <c r="H221" s="46">
        <v>3</v>
      </c>
      <c r="I221" s="46">
        <v>3</v>
      </c>
      <c r="J221" s="46"/>
      <c r="K221" s="46"/>
      <c r="L221" s="46"/>
      <c r="M221" s="52">
        <v>1</v>
      </c>
    </row>
    <row r="222" spans="1:13" ht="15.75" customHeight="1" x14ac:dyDescent="0.2">
      <c r="A222" s="46">
        <v>17387</v>
      </c>
      <c r="B222" s="46">
        <v>221</v>
      </c>
      <c r="C222" s="39" t="s">
        <v>985</v>
      </c>
      <c r="D222" s="34" t="s">
        <v>6599</v>
      </c>
      <c r="E222" s="34" t="s">
        <v>6600</v>
      </c>
      <c r="F222" s="34">
        <v>1</v>
      </c>
      <c r="G222" s="34" t="b">
        <v>1</v>
      </c>
      <c r="H222" s="46">
        <v>2</v>
      </c>
      <c r="I222" s="46">
        <v>2</v>
      </c>
      <c r="J222" s="46"/>
      <c r="K222" s="46"/>
      <c r="L222" s="46"/>
      <c r="M222" s="52"/>
    </row>
    <row r="223" spans="1:13" ht="15.75" customHeight="1" x14ac:dyDescent="0.2">
      <c r="A223" s="46">
        <v>17387</v>
      </c>
      <c r="B223" s="46">
        <v>222</v>
      </c>
      <c r="C223" s="39" t="s">
        <v>986</v>
      </c>
      <c r="D223" s="34" t="s">
        <v>6601</v>
      </c>
      <c r="E223" s="34" t="s">
        <v>6602</v>
      </c>
      <c r="F223" s="34">
        <v>1</v>
      </c>
      <c r="G223" s="34" t="b">
        <v>1</v>
      </c>
      <c r="H223" s="46">
        <v>1</v>
      </c>
      <c r="I223" s="46">
        <v>1</v>
      </c>
      <c r="J223" s="46"/>
      <c r="K223" s="46"/>
      <c r="L223" s="46"/>
      <c r="M223" s="52"/>
    </row>
    <row r="224" spans="1:13" ht="15.75" customHeight="1" x14ac:dyDescent="0.2">
      <c r="A224" s="46">
        <v>17387</v>
      </c>
      <c r="B224" s="46">
        <v>223</v>
      </c>
      <c r="C224" s="39" t="s">
        <v>989</v>
      </c>
      <c r="D224" s="34" t="s">
        <v>6603</v>
      </c>
      <c r="E224" s="34" t="s">
        <v>6604</v>
      </c>
      <c r="F224" s="34">
        <v>1</v>
      </c>
      <c r="G224" s="34" t="b">
        <v>1</v>
      </c>
      <c r="H224" s="46">
        <v>3</v>
      </c>
      <c r="I224" s="46">
        <v>2</v>
      </c>
      <c r="J224" s="46">
        <v>1</v>
      </c>
      <c r="K224" s="46"/>
      <c r="L224" s="46"/>
      <c r="M224" s="52"/>
    </row>
    <row r="225" spans="1:13" ht="15.75" customHeight="1" x14ac:dyDescent="0.2">
      <c r="A225" s="46">
        <v>17387</v>
      </c>
      <c r="B225" s="46">
        <v>224</v>
      </c>
      <c r="C225" s="39" t="s">
        <v>990</v>
      </c>
      <c r="D225" s="34" t="s">
        <v>6605</v>
      </c>
      <c r="E225" s="34" t="s">
        <v>6606</v>
      </c>
      <c r="F225" s="34">
        <v>1</v>
      </c>
      <c r="G225" s="34" t="b">
        <v>1</v>
      </c>
      <c r="H225" s="46">
        <v>1</v>
      </c>
      <c r="I225" s="46">
        <v>1</v>
      </c>
      <c r="J225" s="46"/>
      <c r="K225" s="46"/>
      <c r="L225" s="46"/>
      <c r="M225" s="52"/>
    </row>
    <row r="226" spans="1:13" ht="15.75" customHeight="1" x14ac:dyDescent="0.2">
      <c r="A226" s="46">
        <v>17387</v>
      </c>
      <c r="B226" s="46">
        <v>225</v>
      </c>
      <c r="C226" s="39" t="s">
        <v>993</v>
      </c>
      <c r="D226" s="34" t="s">
        <v>6607</v>
      </c>
      <c r="E226" s="34" t="s">
        <v>6608</v>
      </c>
      <c r="F226" s="34">
        <v>1</v>
      </c>
      <c r="G226" s="34" t="b">
        <v>0</v>
      </c>
      <c r="H226" s="46">
        <v>2</v>
      </c>
      <c r="I226" s="46"/>
      <c r="J226" s="46"/>
      <c r="K226" s="46">
        <v>2</v>
      </c>
      <c r="L226" s="46"/>
      <c r="M226" s="52">
        <v>2</v>
      </c>
    </row>
    <row r="227" spans="1:13" ht="15.75" customHeight="1" x14ac:dyDescent="0.2">
      <c r="A227" s="46">
        <v>17387</v>
      </c>
      <c r="B227" s="46">
        <v>226</v>
      </c>
      <c r="C227" s="39" t="s">
        <v>996</v>
      </c>
      <c r="D227" s="34" t="s">
        <v>6609</v>
      </c>
      <c r="E227" s="34" t="s">
        <v>6610</v>
      </c>
      <c r="F227" s="34">
        <v>1</v>
      </c>
      <c r="G227" s="34" t="b">
        <v>0</v>
      </c>
      <c r="H227" s="46">
        <v>1</v>
      </c>
      <c r="I227" s="46"/>
      <c r="J227" s="46"/>
      <c r="K227" s="46">
        <v>1</v>
      </c>
      <c r="L227" s="46"/>
      <c r="M227" s="52">
        <v>1</v>
      </c>
    </row>
    <row r="228" spans="1:13" ht="15.75" customHeight="1" x14ac:dyDescent="0.2">
      <c r="A228" s="46">
        <v>17387</v>
      </c>
      <c r="B228" s="46">
        <v>227</v>
      </c>
      <c r="C228" s="39" t="s">
        <v>997</v>
      </c>
      <c r="D228" s="34" t="s">
        <v>4608</v>
      </c>
      <c r="E228" s="34" t="s">
        <v>6611</v>
      </c>
      <c r="F228" s="34">
        <v>1</v>
      </c>
      <c r="G228" s="34" t="b">
        <v>1</v>
      </c>
      <c r="H228" s="46">
        <v>1</v>
      </c>
      <c r="I228" s="46">
        <v>1</v>
      </c>
      <c r="J228" s="46"/>
      <c r="K228" s="46"/>
      <c r="L228" s="46"/>
      <c r="M228" s="52"/>
    </row>
    <row r="229" spans="1:13" ht="15.75" customHeight="1" x14ac:dyDescent="0.2">
      <c r="A229" s="46">
        <v>17387</v>
      </c>
      <c r="B229" s="46">
        <v>228</v>
      </c>
      <c r="C229" s="39" t="s">
        <v>1000</v>
      </c>
      <c r="D229" s="34" t="s">
        <v>6612</v>
      </c>
      <c r="E229" s="34" t="s">
        <v>6613</v>
      </c>
      <c r="F229" s="34">
        <v>1</v>
      </c>
      <c r="G229" s="34" t="b">
        <v>1</v>
      </c>
      <c r="H229" s="46">
        <v>2</v>
      </c>
      <c r="I229" s="46">
        <v>1</v>
      </c>
      <c r="J229" s="46"/>
      <c r="K229" s="46">
        <v>1</v>
      </c>
      <c r="L229" s="46"/>
      <c r="M229" s="52">
        <v>1</v>
      </c>
    </row>
    <row r="230" spans="1:13" ht="15.75" customHeight="1" x14ac:dyDescent="0.2">
      <c r="A230" s="46">
        <v>17387</v>
      </c>
      <c r="B230" s="46">
        <v>229</v>
      </c>
      <c r="C230" s="39" t="s">
        <v>1003</v>
      </c>
      <c r="D230" s="34" t="s">
        <v>6614</v>
      </c>
      <c r="E230" s="34" t="s">
        <v>6615</v>
      </c>
      <c r="F230" s="34">
        <v>1</v>
      </c>
      <c r="G230" s="34" t="b">
        <v>1</v>
      </c>
      <c r="H230" s="46">
        <v>3</v>
      </c>
      <c r="I230" s="46">
        <v>3</v>
      </c>
      <c r="J230" s="46"/>
      <c r="K230" s="46"/>
      <c r="L230" s="46"/>
      <c r="M230" s="52"/>
    </row>
    <row r="231" spans="1:13" ht="15.75" customHeight="1" x14ac:dyDescent="0.2">
      <c r="A231" s="46">
        <v>17387</v>
      </c>
      <c r="B231" s="46">
        <v>230</v>
      </c>
      <c r="C231" s="39" t="s">
        <v>1004</v>
      </c>
      <c r="D231" s="34" t="s">
        <v>6616</v>
      </c>
      <c r="E231" s="34" t="s">
        <v>6617</v>
      </c>
      <c r="F231" s="34">
        <v>1</v>
      </c>
      <c r="G231" s="34" t="b">
        <v>1</v>
      </c>
      <c r="H231" s="46">
        <v>2</v>
      </c>
      <c r="I231" s="46">
        <v>1</v>
      </c>
      <c r="J231" s="46">
        <v>0</v>
      </c>
      <c r="K231" s="46">
        <v>0</v>
      </c>
      <c r="L231" s="46">
        <v>1</v>
      </c>
      <c r="M231" s="52">
        <v>1</v>
      </c>
    </row>
    <row r="232" spans="1:13" ht="15.75" customHeight="1" x14ac:dyDescent="0.2">
      <c r="A232" s="46">
        <v>17387</v>
      </c>
      <c r="B232" s="46">
        <v>231</v>
      </c>
      <c r="C232" s="39" t="s">
        <v>1005</v>
      </c>
      <c r="D232" s="34" t="s">
        <v>6618</v>
      </c>
      <c r="E232" s="34" t="s">
        <v>6619</v>
      </c>
      <c r="F232" s="34">
        <v>1</v>
      </c>
      <c r="G232" s="34" t="b">
        <v>1</v>
      </c>
      <c r="H232" s="46">
        <v>2</v>
      </c>
      <c r="I232" s="46">
        <v>2</v>
      </c>
      <c r="J232" s="46">
        <v>0</v>
      </c>
      <c r="K232" s="46">
        <v>0</v>
      </c>
      <c r="L232" s="46">
        <v>0</v>
      </c>
      <c r="M232" s="52">
        <v>0</v>
      </c>
    </row>
    <row r="233" spans="1:13" ht="15.75" customHeight="1" x14ac:dyDescent="0.2">
      <c r="A233" s="46">
        <v>17387</v>
      </c>
      <c r="B233" s="46">
        <v>232</v>
      </c>
      <c r="C233" s="39" t="s">
        <v>1008</v>
      </c>
      <c r="D233" s="34" t="s">
        <v>6620</v>
      </c>
      <c r="E233" s="34" t="s">
        <v>6621</v>
      </c>
      <c r="F233" s="34">
        <v>1</v>
      </c>
      <c r="G233" s="34" t="b">
        <v>1</v>
      </c>
      <c r="H233" s="46">
        <v>2</v>
      </c>
      <c r="I233" s="46">
        <v>2</v>
      </c>
      <c r="J233" s="46">
        <v>0</v>
      </c>
      <c r="K233" s="46">
        <v>0</v>
      </c>
      <c r="L233" s="46">
        <v>0</v>
      </c>
      <c r="M233" s="52">
        <v>0</v>
      </c>
    </row>
    <row r="234" spans="1:13" ht="15.75" customHeight="1" x14ac:dyDescent="0.2">
      <c r="A234" s="46">
        <v>17387</v>
      </c>
      <c r="B234" s="46">
        <v>233</v>
      </c>
      <c r="C234" s="39" t="s">
        <v>1009</v>
      </c>
      <c r="D234" s="34" t="s">
        <v>6622</v>
      </c>
      <c r="E234" s="34" t="s">
        <v>6623</v>
      </c>
      <c r="F234" s="34">
        <v>1</v>
      </c>
      <c r="G234" s="34" t="b">
        <v>1</v>
      </c>
      <c r="H234" s="46">
        <v>1</v>
      </c>
      <c r="I234" s="46">
        <v>1</v>
      </c>
      <c r="J234" s="46">
        <v>0</v>
      </c>
      <c r="K234" s="46">
        <v>0</v>
      </c>
      <c r="L234" s="46">
        <v>0</v>
      </c>
      <c r="M234" s="52">
        <v>0</v>
      </c>
    </row>
    <row r="235" spans="1:13" ht="15.75" customHeight="1" x14ac:dyDescent="0.2">
      <c r="A235" s="46">
        <v>17387</v>
      </c>
      <c r="B235" s="46">
        <v>234</v>
      </c>
      <c r="C235" s="39" t="s">
        <v>1010</v>
      </c>
      <c r="D235" s="34" t="s">
        <v>6624</v>
      </c>
      <c r="E235" s="34" t="s">
        <v>6625</v>
      </c>
      <c r="F235" s="34">
        <v>1</v>
      </c>
      <c r="G235" s="34" t="b">
        <v>1</v>
      </c>
      <c r="H235" s="46">
        <v>2</v>
      </c>
      <c r="I235" s="46">
        <v>2</v>
      </c>
      <c r="J235" s="46">
        <v>0</v>
      </c>
      <c r="K235" s="46">
        <v>0</v>
      </c>
      <c r="L235" s="46">
        <v>0</v>
      </c>
      <c r="M235" s="52">
        <v>0</v>
      </c>
    </row>
    <row r="236" spans="1:13" ht="15.75" customHeight="1" x14ac:dyDescent="0.2">
      <c r="A236" s="46">
        <v>17387</v>
      </c>
      <c r="B236" s="46">
        <v>235</v>
      </c>
      <c r="C236" s="39" t="s">
        <v>1011</v>
      </c>
      <c r="D236" s="34" t="s">
        <v>6626</v>
      </c>
      <c r="E236" s="34" t="s">
        <v>6627</v>
      </c>
      <c r="F236" s="34">
        <v>1</v>
      </c>
      <c r="G236" s="34" t="b">
        <v>1</v>
      </c>
      <c r="H236" s="46">
        <v>3</v>
      </c>
      <c r="I236" s="46">
        <v>3</v>
      </c>
      <c r="J236" s="46">
        <v>0</v>
      </c>
      <c r="K236" s="46">
        <v>0</v>
      </c>
      <c r="L236" s="46">
        <v>0</v>
      </c>
      <c r="M236" s="52">
        <v>0</v>
      </c>
    </row>
    <row r="237" spans="1:13" ht="15.75" customHeight="1" x14ac:dyDescent="0.2">
      <c r="A237" s="46">
        <v>17387</v>
      </c>
      <c r="B237" s="46">
        <v>236</v>
      </c>
      <c r="C237" s="39" t="s">
        <v>1012</v>
      </c>
      <c r="D237" s="34" t="s">
        <v>6628</v>
      </c>
      <c r="E237" s="34" t="s">
        <v>6629</v>
      </c>
      <c r="F237" s="34">
        <v>1</v>
      </c>
      <c r="G237" s="34" t="b">
        <v>1</v>
      </c>
      <c r="H237" s="46">
        <v>1</v>
      </c>
      <c r="I237" s="46">
        <v>1</v>
      </c>
      <c r="J237" s="46">
        <v>0</v>
      </c>
      <c r="K237" s="46">
        <v>0</v>
      </c>
      <c r="L237" s="46">
        <v>0</v>
      </c>
      <c r="M237" s="52">
        <v>0</v>
      </c>
    </row>
    <row r="238" spans="1:13" ht="15.75" customHeight="1" x14ac:dyDescent="0.2">
      <c r="A238" s="46">
        <v>17387</v>
      </c>
      <c r="B238" s="46">
        <v>237</v>
      </c>
      <c r="C238" s="39" t="s">
        <v>1013</v>
      </c>
      <c r="D238" s="34" t="s">
        <v>6630</v>
      </c>
      <c r="E238" s="34" t="s">
        <v>6631</v>
      </c>
      <c r="F238" s="34">
        <v>1</v>
      </c>
      <c r="G238" s="34" t="b">
        <v>1</v>
      </c>
      <c r="H238" s="46">
        <v>5</v>
      </c>
      <c r="I238" s="46">
        <v>1</v>
      </c>
      <c r="J238" s="46">
        <v>4</v>
      </c>
      <c r="K238" s="46">
        <v>0</v>
      </c>
      <c r="L238" s="46">
        <v>0</v>
      </c>
      <c r="M238" s="52">
        <v>0</v>
      </c>
    </row>
    <row r="239" spans="1:13" ht="15.75" customHeight="1" x14ac:dyDescent="0.2">
      <c r="A239" s="46">
        <v>17387</v>
      </c>
      <c r="B239" s="46">
        <v>238</v>
      </c>
      <c r="C239" s="39" t="s">
        <v>1016</v>
      </c>
      <c r="D239" s="34" t="s">
        <v>4608</v>
      </c>
      <c r="E239" s="34" t="s">
        <v>6632</v>
      </c>
      <c r="F239" s="34">
        <v>1</v>
      </c>
      <c r="G239" s="34" t="b">
        <v>1</v>
      </c>
      <c r="H239" s="46">
        <v>4</v>
      </c>
      <c r="I239" s="46">
        <v>3</v>
      </c>
      <c r="J239" s="46">
        <v>1</v>
      </c>
      <c r="K239" s="46">
        <v>0</v>
      </c>
      <c r="L239" s="46">
        <v>0</v>
      </c>
      <c r="M239" s="52">
        <v>0</v>
      </c>
    </row>
    <row r="240" spans="1:13" ht="15.75" customHeight="1" x14ac:dyDescent="0.2">
      <c r="A240" s="46">
        <v>17387</v>
      </c>
      <c r="B240" s="46">
        <v>239</v>
      </c>
      <c r="C240" s="39" t="s">
        <v>1019</v>
      </c>
      <c r="D240" s="34" t="s">
        <v>6633</v>
      </c>
      <c r="E240" s="34" t="s">
        <v>6634</v>
      </c>
      <c r="F240" s="34">
        <v>1</v>
      </c>
      <c r="G240" s="34" t="b">
        <v>0</v>
      </c>
      <c r="H240" s="46">
        <v>1</v>
      </c>
      <c r="I240" s="46"/>
      <c r="J240" s="46"/>
      <c r="K240" s="46">
        <v>1</v>
      </c>
      <c r="L240" s="46"/>
      <c r="M240" s="52">
        <v>1</v>
      </c>
    </row>
    <row r="241" spans="1:13" ht="15.75" customHeight="1" x14ac:dyDescent="0.2">
      <c r="A241" s="46">
        <v>17387</v>
      </c>
      <c r="B241" s="46">
        <v>240</v>
      </c>
      <c r="C241" s="39" t="s">
        <v>1020</v>
      </c>
      <c r="D241" s="34" t="s">
        <v>6635</v>
      </c>
      <c r="E241" s="34" t="s">
        <v>6636</v>
      </c>
      <c r="F241" s="34">
        <v>1</v>
      </c>
      <c r="G241" s="34" t="b">
        <v>1</v>
      </c>
      <c r="H241" s="46">
        <v>2</v>
      </c>
      <c r="I241" s="46">
        <v>1</v>
      </c>
      <c r="J241" s="46">
        <v>1</v>
      </c>
      <c r="K241" s="46">
        <v>0</v>
      </c>
      <c r="L241" s="46">
        <v>0</v>
      </c>
      <c r="M241" s="52">
        <v>0</v>
      </c>
    </row>
    <row r="242" spans="1:13" ht="15.75" customHeight="1" x14ac:dyDescent="0.2">
      <c r="A242" s="46">
        <v>17388</v>
      </c>
      <c r="B242" s="46">
        <v>241</v>
      </c>
      <c r="C242" s="39" t="s">
        <v>1021</v>
      </c>
      <c r="D242" s="34" t="s">
        <v>6637</v>
      </c>
      <c r="E242" s="34" t="s">
        <v>6638</v>
      </c>
      <c r="F242" s="34">
        <v>1</v>
      </c>
      <c r="G242" s="34" t="b">
        <v>0</v>
      </c>
      <c r="H242" s="46">
        <v>7</v>
      </c>
      <c r="I242" s="46">
        <v>5</v>
      </c>
      <c r="J242" s="46">
        <v>2</v>
      </c>
      <c r="K242" s="46">
        <v>0</v>
      </c>
      <c r="L242" s="46">
        <v>0</v>
      </c>
      <c r="M242" s="52">
        <v>0</v>
      </c>
    </row>
    <row r="243" spans="1:13" ht="15.75" customHeight="1" x14ac:dyDescent="0.2">
      <c r="A243" s="46">
        <v>17388</v>
      </c>
      <c r="B243" s="46">
        <v>242</v>
      </c>
      <c r="C243" s="39" t="s">
        <v>1023</v>
      </c>
      <c r="D243" s="34" t="s">
        <v>6639</v>
      </c>
      <c r="E243" s="34" t="s">
        <v>6640</v>
      </c>
      <c r="F243" s="34">
        <v>1</v>
      </c>
      <c r="G243" s="34" t="b">
        <v>1</v>
      </c>
      <c r="H243" s="46">
        <v>2</v>
      </c>
      <c r="I243" s="46">
        <v>1</v>
      </c>
      <c r="J243" s="46">
        <v>1</v>
      </c>
      <c r="K243" s="46">
        <v>0</v>
      </c>
      <c r="L243" s="46">
        <v>0</v>
      </c>
      <c r="M243" s="52">
        <v>1</v>
      </c>
    </row>
    <row r="244" spans="1:13" ht="15.75" customHeight="1" x14ac:dyDescent="0.2">
      <c r="A244" s="46">
        <v>17388</v>
      </c>
      <c r="B244" s="46">
        <v>243</v>
      </c>
      <c r="C244" s="39" t="s">
        <v>1026</v>
      </c>
      <c r="D244" s="34" t="s">
        <v>6641</v>
      </c>
      <c r="E244" s="34" t="s">
        <v>6642</v>
      </c>
      <c r="F244" s="34">
        <v>1</v>
      </c>
      <c r="G244" s="34" t="b">
        <v>0</v>
      </c>
      <c r="H244" s="46">
        <v>6</v>
      </c>
      <c r="I244" s="46">
        <v>2</v>
      </c>
      <c r="J244" s="46">
        <v>3</v>
      </c>
      <c r="K244" s="46">
        <v>0</v>
      </c>
      <c r="L244" s="46">
        <v>1</v>
      </c>
      <c r="M244" s="52">
        <v>0</v>
      </c>
    </row>
    <row r="245" spans="1:13" ht="15.75" customHeight="1" x14ac:dyDescent="0.2">
      <c r="A245" s="46">
        <v>17388</v>
      </c>
      <c r="B245" s="46">
        <v>244</v>
      </c>
      <c r="C245" s="39" t="s">
        <v>1029</v>
      </c>
      <c r="D245" s="34" t="s">
        <v>6643</v>
      </c>
      <c r="E245" s="34" t="s">
        <v>6644</v>
      </c>
      <c r="F245" s="34">
        <v>1</v>
      </c>
      <c r="G245" s="34" t="b">
        <v>1</v>
      </c>
      <c r="H245" s="46">
        <v>4</v>
      </c>
      <c r="I245" s="46">
        <v>3</v>
      </c>
      <c r="J245" s="46">
        <v>1</v>
      </c>
      <c r="K245" s="46">
        <v>0</v>
      </c>
      <c r="L245" s="46">
        <v>0</v>
      </c>
      <c r="M245" s="52">
        <v>0</v>
      </c>
    </row>
    <row r="246" spans="1:13" ht="15.75" customHeight="1" x14ac:dyDescent="0.2">
      <c r="A246" s="46">
        <v>17388</v>
      </c>
      <c r="B246" s="46">
        <v>245</v>
      </c>
      <c r="C246" s="39" t="s">
        <v>1032</v>
      </c>
      <c r="D246" s="34" t="s">
        <v>6645</v>
      </c>
      <c r="E246" s="34" t="s">
        <v>6646</v>
      </c>
      <c r="F246" s="34">
        <v>1</v>
      </c>
      <c r="G246" s="34" t="b">
        <v>1</v>
      </c>
      <c r="H246" s="46">
        <v>1</v>
      </c>
      <c r="I246" s="46">
        <v>1</v>
      </c>
      <c r="J246" s="46">
        <v>0</v>
      </c>
      <c r="K246" s="46">
        <v>0</v>
      </c>
      <c r="L246" s="46">
        <v>0</v>
      </c>
      <c r="M246" s="52">
        <v>0</v>
      </c>
    </row>
    <row r="247" spans="1:13" ht="15.75" customHeight="1" x14ac:dyDescent="0.2">
      <c r="A247" s="46">
        <v>17388</v>
      </c>
      <c r="B247" s="46">
        <v>246</v>
      </c>
      <c r="C247" s="39" t="s">
        <v>1035</v>
      </c>
      <c r="D247" s="34" t="s">
        <v>6647</v>
      </c>
      <c r="E247" s="34" t="s">
        <v>6648</v>
      </c>
      <c r="F247" s="34">
        <v>1</v>
      </c>
      <c r="G247" s="34" t="b">
        <v>1</v>
      </c>
      <c r="H247" s="46">
        <v>2</v>
      </c>
      <c r="I247" s="46">
        <v>2</v>
      </c>
      <c r="J247" s="46">
        <v>0</v>
      </c>
      <c r="K247" s="46">
        <v>0</v>
      </c>
      <c r="L247" s="46">
        <v>0</v>
      </c>
      <c r="M247" s="52">
        <v>0</v>
      </c>
    </row>
    <row r="248" spans="1:13" ht="15.75" customHeight="1" x14ac:dyDescent="0.2">
      <c r="A248" s="46">
        <v>17388</v>
      </c>
      <c r="B248" s="46">
        <v>247</v>
      </c>
      <c r="C248" s="39" t="s">
        <v>1038</v>
      </c>
      <c r="D248" s="34" t="s">
        <v>6649</v>
      </c>
      <c r="E248" s="34" t="s">
        <v>6650</v>
      </c>
      <c r="F248" s="34">
        <v>1</v>
      </c>
      <c r="G248" s="34" t="b">
        <v>1</v>
      </c>
      <c r="H248" s="46">
        <v>1</v>
      </c>
      <c r="I248" s="46">
        <v>0</v>
      </c>
      <c r="J248" s="46">
        <v>0</v>
      </c>
      <c r="K248" s="46">
        <v>0</v>
      </c>
      <c r="L248" s="46">
        <v>1</v>
      </c>
      <c r="M248" s="52">
        <v>1</v>
      </c>
    </row>
    <row r="249" spans="1:13" ht="15.75" customHeight="1" x14ac:dyDescent="0.2">
      <c r="A249" s="46">
        <v>17388</v>
      </c>
      <c r="B249" s="46">
        <v>248</v>
      </c>
      <c r="C249" s="39" t="s">
        <v>1039</v>
      </c>
      <c r="D249" s="34" t="s">
        <v>6651</v>
      </c>
      <c r="E249" s="34" t="s">
        <v>6652</v>
      </c>
      <c r="F249" s="34">
        <v>1</v>
      </c>
      <c r="G249" s="34" t="b">
        <v>0</v>
      </c>
      <c r="H249" s="46">
        <v>5</v>
      </c>
      <c r="I249" s="46">
        <v>0</v>
      </c>
      <c r="J249" s="46">
        <v>4</v>
      </c>
      <c r="K249" s="46">
        <v>0</v>
      </c>
      <c r="L249" s="46">
        <v>1</v>
      </c>
      <c r="M249" s="52">
        <v>1</v>
      </c>
    </row>
    <row r="250" spans="1:13" ht="15.75" customHeight="1" x14ac:dyDescent="0.2">
      <c r="A250" s="46">
        <v>17388</v>
      </c>
      <c r="B250" s="46">
        <v>249</v>
      </c>
      <c r="C250" s="39" t="s">
        <v>1040</v>
      </c>
      <c r="D250" s="34" t="s">
        <v>6653</v>
      </c>
      <c r="E250" s="34" t="s">
        <v>6654</v>
      </c>
      <c r="F250" s="34">
        <v>1</v>
      </c>
      <c r="G250" s="34" t="b">
        <v>1</v>
      </c>
      <c r="H250" s="46">
        <v>1</v>
      </c>
      <c r="I250" s="46">
        <v>1</v>
      </c>
      <c r="J250" s="46">
        <v>0</v>
      </c>
      <c r="K250" s="46">
        <v>0</v>
      </c>
      <c r="L250" s="46">
        <v>0</v>
      </c>
      <c r="M250" s="52">
        <v>0</v>
      </c>
    </row>
    <row r="251" spans="1:13" ht="15.75" customHeight="1" x14ac:dyDescent="0.2">
      <c r="A251" s="46">
        <v>17388</v>
      </c>
      <c r="B251" s="46">
        <v>250</v>
      </c>
      <c r="C251" s="39" t="s">
        <v>1043</v>
      </c>
      <c r="D251" s="34" t="s">
        <v>6655</v>
      </c>
      <c r="E251" s="34"/>
      <c r="F251" s="34">
        <v>1</v>
      </c>
      <c r="G251" s="34" t="b">
        <v>0</v>
      </c>
      <c r="H251" s="46">
        <v>0</v>
      </c>
      <c r="I251" s="46"/>
      <c r="J251" s="46"/>
      <c r="K251" s="46"/>
      <c r="L251" s="46"/>
      <c r="M251" s="52"/>
    </row>
    <row r="252" spans="1:13" ht="15.75" customHeight="1" x14ac:dyDescent="0.2">
      <c r="A252" s="46">
        <v>17388</v>
      </c>
      <c r="B252" s="46">
        <v>251</v>
      </c>
      <c r="C252" s="39" t="s">
        <v>1046</v>
      </c>
      <c r="D252" s="34" t="s">
        <v>6656</v>
      </c>
      <c r="E252" s="48" t="s">
        <v>6657</v>
      </c>
      <c r="F252" s="34">
        <v>1</v>
      </c>
      <c r="G252" s="34" t="b">
        <v>1</v>
      </c>
      <c r="H252" s="46">
        <v>7</v>
      </c>
      <c r="I252" s="46">
        <v>6</v>
      </c>
      <c r="J252" s="46"/>
      <c r="K252" s="46"/>
      <c r="L252" s="46">
        <v>1</v>
      </c>
      <c r="M252" s="52"/>
    </row>
    <row r="253" spans="1:13" ht="15.75" customHeight="1" x14ac:dyDescent="0.2">
      <c r="A253" s="46">
        <v>17388</v>
      </c>
      <c r="B253" s="46">
        <v>252</v>
      </c>
      <c r="C253" s="39" t="s">
        <v>1047</v>
      </c>
      <c r="D253" s="34" t="s">
        <v>6655</v>
      </c>
      <c r="E253" s="34" t="s">
        <v>6658</v>
      </c>
      <c r="F253" s="34">
        <v>1</v>
      </c>
      <c r="G253" s="34" t="b">
        <v>0</v>
      </c>
      <c r="H253" s="46">
        <v>5</v>
      </c>
      <c r="I253" s="46">
        <v>4</v>
      </c>
      <c r="J253" s="46"/>
      <c r="K253" s="46"/>
      <c r="L253" s="46">
        <v>1</v>
      </c>
      <c r="M253" s="52"/>
    </row>
    <row r="254" spans="1:13" ht="15.75" customHeight="1" x14ac:dyDescent="0.2">
      <c r="A254" s="46">
        <v>17388</v>
      </c>
      <c r="B254" s="46">
        <v>253</v>
      </c>
      <c r="C254" s="39" t="s">
        <v>1048</v>
      </c>
      <c r="D254" s="34" t="s">
        <v>6659</v>
      </c>
      <c r="E254" s="34" t="s">
        <v>6660</v>
      </c>
      <c r="F254" s="34">
        <v>1</v>
      </c>
      <c r="G254" s="34" t="b">
        <v>1</v>
      </c>
      <c r="H254" s="46">
        <v>2</v>
      </c>
      <c r="I254" s="46">
        <v>1</v>
      </c>
      <c r="J254" s="46">
        <v>1</v>
      </c>
      <c r="K254" s="46">
        <v>0</v>
      </c>
      <c r="L254" s="46">
        <v>0</v>
      </c>
      <c r="M254" s="52">
        <v>0</v>
      </c>
    </row>
    <row r="255" spans="1:13" ht="15.75" customHeight="1" x14ac:dyDescent="0.2">
      <c r="A255" s="46">
        <v>17388</v>
      </c>
      <c r="B255" s="46">
        <v>254</v>
      </c>
      <c r="C255" s="39" t="s">
        <v>1051</v>
      </c>
      <c r="D255" s="34" t="s">
        <v>6661</v>
      </c>
      <c r="E255" s="34" t="s">
        <v>6662</v>
      </c>
      <c r="F255" s="34">
        <v>1</v>
      </c>
      <c r="G255" s="34" t="b">
        <v>1</v>
      </c>
      <c r="H255" s="46">
        <v>6</v>
      </c>
      <c r="I255" s="46">
        <v>5</v>
      </c>
      <c r="J255" s="46">
        <v>0</v>
      </c>
      <c r="K255" s="46">
        <v>0</v>
      </c>
      <c r="L255" s="46">
        <v>1</v>
      </c>
      <c r="M255" s="52">
        <v>0</v>
      </c>
    </row>
    <row r="256" spans="1:13" ht="15.75" customHeight="1" x14ac:dyDescent="0.2">
      <c r="A256" s="46">
        <v>17388</v>
      </c>
      <c r="B256" s="46">
        <v>255</v>
      </c>
      <c r="C256" s="39" t="s">
        <v>1054</v>
      </c>
      <c r="D256" s="34" t="s">
        <v>6663</v>
      </c>
      <c r="E256" s="34" t="s">
        <v>6664</v>
      </c>
      <c r="F256" s="34">
        <v>1</v>
      </c>
      <c r="G256" s="34" t="b">
        <v>1</v>
      </c>
      <c r="H256" s="46">
        <v>5</v>
      </c>
      <c r="I256" s="46">
        <v>3</v>
      </c>
      <c r="J256" s="46">
        <v>0</v>
      </c>
      <c r="K256" s="46">
        <v>2</v>
      </c>
      <c r="L256" s="46">
        <v>0</v>
      </c>
      <c r="M256" s="52">
        <v>1</v>
      </c>
    </row>
    <row r="257" spans="1:13" ht="15.75" customHeight="1" x14ac:dyDescent="0.2">
      <c r="A257" s="46">
        <v>17388</v>
      </c>
      <c r="B257" s="46">
        <v>256</v>
      </c>
      <c r="C257" s="39" t="s">
        <v>1057</v>
      </c>
      <c r="D257" s="34" t="s">
        <v>6665</v>
      </c>
      <c r="E257" s="34" t="s">
        <v>6666</v>
      </c>
      <c r="F257" s="34">
        <v>1</v>
      </c>
      <c r="G257" s="34" t="b">
        <v>0</v>
      </c>
      <c r="H257" s="46">
        <v>4</v>
      </c>
      <c r="I257" s="46">
        <v>3</v>
      </c>
      <c r="J257" s="46">
        <v>1</v>
      </c>
      <c r="K257" s="46">
        <v>0</v>
      </c>
      <c r="L257" s="46">
        <v>0</v>
      </c>
      <c r="M257" s="52">
        <v>0</v>
      </c>
    </row>
    <row r="258" spans="1:13" ht="15.75" customHeight="1" x14ac:dyDescent="0.2">
      <c r="A258" s="46">
        <v>17388</v>
      </c>
      <c r="B258" s="46">
        <v>257</v>
      </c>
      <c r="C258" s="39" t="s">
        <v>1058</v>
      </c>
      <c r="D258" s="34" t="s">
        <v>6643</v>
      </c>
      <c r="E258" s="34" t="s">
        <v>6667</v>
      </c>
      <c r="F258" s="34">
        <v>1</v>
      </c>
      <c r="G258" s="34" t="b">
        <v>1</v>
      </c>
      <c r="H258" s="46">
        <v>5</v>
      </c>
      <c r="I258" s="46">
        <v>2</v>
      </c>
      <c r="J258" s="46">
        <v>0</v>
      </c>
      <c r="K258" s="46">
        <v>2</v>
      </c>
      <c r="L258" s="46">
        <v>1</v>
      </c>
      <c r="M258" s="52">
        <v>0</v>
      </c>
    </row>
    <row r="259" spans="1:13" ht="15.75" customHeight="1" x14ac:dyDescent="0.2">
      <c r="A259" s="46">
        <v>17388</v>
      </c>
      <c r="B259" s="46">
        <v>258</v>
      </c>
      <c r="C259" s="39" t="s">
        <v>1059</v>
      </c>
      <c r="D259" s="34" t="s">
        <v>6668</v>
      </c>
      <c r="E259" s="34" t="s">
        <v>6669</v>
      </c>
      <c r="F259" s="34">
        <v>1</v>
      </c>
      <c r="G259" s="34" t="b">
        <v>1</v>
      </c>
      <c r="H259" s="46">
        <v>1</v>
      </c>
      <c r="I259" s="46">
        <v>1</v>
      </c>
      <c r="J259" s="46">
        <v>0</v>
      </c>
      <c r="K259" s="46">
        <v>0</v>
      </c>
      <c r="L259" s="46">
        <v>0</v>
      </c>
      <c r="M259" s="52">
        <v>0</v>
      </c>
    </row>
    <row r="260" spans="1:13" ht="15.75" customHeight="1" x14ac:dyDescent="0.2">
      <c r="A260" s="46">
        <v>17389</v>
      </c>
      <c r="B260" s="46">
        <v>259</v>
      </c>
      <c r="C260" s="39" t="s">
        <v>1060</v>
      </c>
      <c r="D260" s="34" t="s">
        <v>6670</v>
      </c>
      <c r="E260" s="34" t="s">
        <v>6671</v>
      </c>
      <c r="F260" s="34">
        <v>1</v>
      </c>
      <c r="G260" s="34" t="b">
        <v>1</v>
      </c>
      <c r="H260" s="46">
        <v>4</v>
      </c>
      <c r="I260" s="46">
        <v>1</v>
      </c>
      <c r="J260" s="46">
        <v>3</v>
      </c>
      <c r="K260" s="46">
        <v>0</v>
      </c>
      <c r="L260" s="46">
        <v>0</v>
      </c>
      <c r="M260" s="52">
        <v>0</v>
      </c>
    </row>
    <row r="261" spans="1:13" ht="15.75" customHeight="1" x14ac:dyDescent="0.2">
      <c r="A261" s="46">
        <v>17389</v>
      </c>
      <c r="B261" s="46">
        <v>260</v>
      </c>
      <c r="C261" s="39" t="s">
        <v>1063</v>
      </c>
      <c r="D261" s="34" t="s">
        <v>6672</v>
      </c>
      <c r="E261" s="34" t="s">
        <v>6673</v>
      </c>
      <c r="F261" s="34">
        <v>1</v>
      </c>
      <c r="G261" s="34" t="b">
        <v>0</v>
      </c>
      <c r="H261" s="46">
        <v>2</v>
      </c>
      <c r="I261" s="46">
        <v>2</v>
      </c>
      <c r="J261" s="46">
        <v>0</v>
      </c>
      <c r="K261" s="46">
        <v>0</v>
      </c>
      <c r="L261" s="46">
        <v>0</v>
      </c>
      <c r="M261" s="52">
        <v>0</v>
      </c>
    </row>
    <row r="262" spans="1:13" ht="15.75" customHeight="1" x14ac:dyDescent="0.2">
      <c r="A262" s="46">
        <v>17389</v>
      </c>
      <c r="B262" s="46">
        <v>261</v>
      </c>
      <c r="C262" s="39" t="s">
        <v>1065</v>
      </c>
      <c r="D262" s="34" t="s">
        <v>6674</v>
      </c>
      <c r="E262" s="34" t="s">
        <v>6675</v>
      </c>
      <c r="F262" s="34">
        <v>1</v>
      </c>
      <c r="G262" s="34" t="b">
        <v>1</v>
      </c>
      <c r="H262" s="46">
        <v>2</v>
      </c>
      <c r="I262" s="46">
        <v>1</v>
      </c>
      <c r="J262" s="46">
        <v>0</v>
      </c>
      <c r="K262" s="46">
        <v>1</v>
      </c>
      <c r="L262" s="46">
        <v>0</v>
      </c>
      <c r="M262" s="52">
        <v>0</v>
      </c>
    </row>
    <row r="263" spans="1:13" ht="15.75" customHeight="1" x14ac:dyDescent="0.2">
      <c r="A263" s="46">
        <v>17389</v>
      </c>
      <c r="B263" s="46">
        <v>262</v>
      </c>
      <c r="C263" s="39" t="s">
        <v>1066</v>
      </c>
      <c r="D263" s="34" t="s">
        <v>6676</v>
      </c>
      <c r="E263" s="34" t="s">
        <v>6677</v>
      </c>
      <c r="F263" s="34">
        <v>1</v>
      </c>
      <c r="G263" s="34" t="b">
        <v>0</v>
      </c>
      <c r="H263" s="46">
        <v>4</v>
      </c>
      <c r="I263" s="46">
        <v>4</v>
      </c>
      <c r="J263" s="46">
        <v>0</v>
      </c>
      <c r="K263" s="46">
        <v>0</v>
      </c>
      <c r="L263" s="46">
        <v>0</v>
      </c>
      <c r="M263" s="52">
        <v>0</v>
      </c>
    </row>
    <row r="264" spans="1:13" ht="15.75" customHeight="1" x14ac:dyDescent="0.2">
      <c r="A264" s="46">
        <v>17389</v>
      </c>
      <c r="B264" s="46">
        <v>263</v>
      </c>
      <c r="C264" s="39" t="s">
        <v>1067</v>
      </c>
      <c r="D264" s="34" t="s">
        <v>6678</v>
      </c>
      <c r="E264" s="34" t="s">
        <v>6679</v>
      </c>
      <c r="F264" s="34">
        <v>1</v>
      </c>
      <c r="G264" s="34" t="b">
        <v>0</v>
      </c>
      <c r="H264" s="46">
        <v>4</v>
      </c>
      <c r="I264" s="46">
        <v>4</v>
      </c>
      <c r="J264" s="46"/>
      <c r="K264" s="46"/>
      <c r="L264" s="46"/>
      <c r="M264" s="52">
        <v>1</v>
      </c>
    </row>
    <row r="265" spans="1:13" ht="15.75" customHeight="1" x14ac:dyDescent="0.2">
      <c r="A265" s="46">
        <v>17389</v>
      </c>
      <c r="B265" s="46">
        <v>264</v>
      </c>
      <c r="C265" s="39" t="s">
        <v>1068</v>
      </c>
      <c r="D265" s="34" t="s">
        <v>6680</v>
      </c>
      <c r="E265" s="34" t="s">
        <v>6681</v>
      </c>
      <c r="F265" s="34">
        <v>1</v>
      </c>
      <c r="G265" s="34" t="b">
        <v>1</v>
      </c>
      <c r="H265" s="46">
        <v>4</v>
      </c>
      <c r="I265" s="46">
        <v>3</v>
      </c>
      <c r="J265" s="46">
        <v>1</v>
      </c>
      <c r="K265" s="46">
        <v>0</v>
      </c>
      <c r="L265" s="46">
        <v>0</v>
      </c>
      <c r="M265" s="52">
        <v>0</v>
      </c>
    </row>
    <row r="266" spans="1:13" ht="15.75" customHeight="1" x14ac:dyDescent="0.2">
      <c r="A266" s="46">
        <v>17389</v>
      </c>
      <c r="B266" s="46">
        <v>265</v>
      </c>
      <c r="C266" s="39" t="s">
        <v>1071</v>
      </c>
      <c r="D266" s="34" t="s">
        <v>6682</v>
      </c>
      <c r="E266" s="34" t="s">
        <v>6683</v>
      </c>
      <c r="F266" s="34">
        <v>1</v>
      </c>
      <c r="G266" s="34" t="b">
        <v>1</v>
      </c>
      <c r="H266" s="46">
        <v>6</v>
      </c>
      <c r="I266" s="46">
        <v>4</v>
      </c>
      <c r="J266" s="46">
        <v>1</v>
      </c>
      <c r="K266" s="46">
        <v>0</v>
      </c>
      <c r="L266" s="46">
        <v>1</v>
      </c>
      <c r="M266" s="52">
        <v>0</v>
      </c>
    </row>
    <row r="267" spans="1:13" ht="15.75" customHeight="1" x14ac:dyDescent="0.2">
      <c r="A267" s="46">
        <v>17389</v>
      </c>
      <c r="B267" s="46">
        <v>266</v>
      </c>
      <c r="C267" s="39" t="s">
        <v>1072</v>
      </c>
      <c r="D267" s="34" t="s">
        <v>6684</v>
      </c>
      <c r="E267" s="34" t="s">
        <v>6685</v>
      </c>
      <c r="F267" s="34">
        <v>1</v>
      </c>
      <c r="G267" s="34" t="b">
        <v>0</v>
      </c>
      <c r="H267" s="46">
        <v>4</v>
      </c>
      <c r="I267" s="46"/>
      <c r="J267" s="46">
        <v>2</v>
      </c>
      <c r="K267" s="46">
        <v>2</v>
      </c>
      <c r="L267" s="46"/>
      <c r="M267" s="52">
        <v>2</v>
      </c>
    </row>
    <row r="268" spans="1:13" ht="15.75" customHeight="1" x14ac:dyDescent="0.2">
      <c r="A268" s="46">
        <v>17390</v>
      </c>
      <c r="B268" s="46">
        <v>267</v>
      </c>
      <c r="C268" s="39" t="s">
        <v>1075</v>
      </c>
      <c r="D268" s="34" t="s">
        <v>6686</v>
      </c>
      <c r="E268" s="34" t="s">
        <v>6687</v>
      </c>
      <c r="F268" s="34">
        <v>1</v>
      </c>
      <c r="G268" s="34" t="b">
        <v>0</v>
      </c>
      <c r="H268" s="46">
        <v>1</v>
      </c>
      <c r="I268" s="46">
        <v>1</v>
      </c>
      <c r="J268" s="46">
        <v>0</v>
      </c>
      <c r="K268" s="46">
        <v>0</v>
      </c>
      <c r="L268" s="46">
        <v>0</v>
      </c>
      <c r="M268" s="52">
        <v>1</v>
      </c>
    </row>
    <row r="269" spans="1:13" ht="15.75" customHeight="1" x14ac:dyDescent="0.2">
      <c r="A269" s="46">
        <v>17390</v>
      </c>
      <c r="B269" s="46">
        <v>268</v>
      </c>
      <c r="C269" s="39" t="s">
        <v>1077</v>
      </c>
      <c r="D269" s="34" t="s">
        <v>6688</v>
      </c>
      <c r="E269" s="34" t="s">
        <v>6689</v>
      </c>
      <c r="F269" s="34">
        <v>1</v>
      </c>
      <c r="G269" s="34" t="b">
        <v>0</v>
      </c>
      <c r="H269" s="46">
        <v>4</v>
      </c>
      <c r="I269" s="46">
        <v>2</v>
      </c>
      <c r="J269" s="46">
        <v>1</v>
      </c>
      <c r="K269" s="46">
        <v>1</v>
      </c>
      <c r="L269" s="46">
        <v>0</v>
      </c>
      <c r="M269" s="52">
        <v>1</v>
      </c>
    </row>
    <row r="270" spans="1:13" ht="15.75" customHeight="1" x14ac:dyDescent="0.2">
      <c r="A270" s="46">
        <v>17390</v>
      </c>
      <c r="B270" s="46">
        <v>269</v>
      </c>
      <c r="C270" s="39" t="s">
        <v>1078</v>
      </c>
      <c r="D270" s="34" t="s">
        <v>6690</v>
      </c>
      <c r="E270" s="34" t="s">
        <v>6691</v>
      </c>
      <c r="F270" s="34">
        <v>1</v>
      </c>
      <c r="G270" s="34" t="b">
        <v>0</v>
      </c>
      <c r="H270" s="46">
        <v>1</v>
      </c>
      <c r="I270" s="46">
        <v>1</v>
      </c>
      <c r="J270" s="46">
        <v>0</v>
      </c>
      <c r="K270" s="46">
        <v>0</v>
      </c>
      <c r="L270" s="46">
        <v>0</v>
      </c>
      <c r="M270" s="52">
        <v>2</v>
      </c>
    </row>
    <row r="271" spans="1:13" ht="15.75" customHeight="1" x14ac:dyDescent="0.2">
      <c r="A271" s="46">
        <v>17390</v>
      </c>
      <c r="B271" s="46">
        <v>270</v>
      </c>
      <c r="C271" s="39" t="s">
        <v>1079</v>
      </c>
      <c r="D271" s="34" t="s">
        <v>6692</v>
      </c>
      <c r="E271" s="34" t="s">
        <v>6693</v>
      </c>
      <c r="F271" s="34">
        <v>1</v>
      </c>
      <c r="G271" s="34" t="b">
        <v>1</v>
      </c>
      <c r="H271" s="46">
        <v>1</v>
      </c>
      <c r="I271" s="46">
        <v>0</v>
      </c>
      <c r="J271" s="46">
        <v>0</v>
      </c>
      <c r="K271" s="46">
        <v>0</v>
      </c>
      <c r="L271" s="46">
        <v>1</v>
      </c>
      <c r="M271" s="52">
        <v>2</v>
      </c>
    </row>
    <row r="272" spans="1:13" ht="15.75" customHeight="1" x14ac:dyDescent="0.2">
      <c r="A272" s="46">
        <v>17390</v>
      </c>
      <c r="B272" s="46">
        <v>271</v>
      </c>
      <c r="C272" s="39" t="s">
        <v>1080</v>
      </c>
      <c r="D272" s="34" t="s">
        <v>6694</v>
      </c>
      <c r="E272" s="34" t="s">
        <v>6695</v>
      </c>
      <c r="F272" s="34">
        <v>1</v>
      </c>
      <c r="G272" s="34" t="b">
        <v>1</v>
      </c>
      <c r="H272" s="46">
        <v>1</v>
      </c>
      <c r="I272" s="46">
        <v>1</v>
      </c>
      <c r="J272" s="46">
        <v>0</v>
      </c>
      <c r="K272" s="46">
        <v>0</v>
      </c>
      <c r="L272" s="46">
        <v>0</v>
      </c>
      <c r="M272" s="52">
        <v>1</v>
      </c>
    </row>
    <row r="273" spans="1:13" ht="15.75" customHeight="1" x14ac:dyDescent="0.2">
      <c r="A273" s="46">
        <v>17390</v>
      </c>
      <c r="B273" s="46">
        <v>272</v>
      </c>
      <c r="C273" s="39" t="s">
        <v>1081</v>
      </c>
      <c r="D273" s="34" t="s">
        <v>1081</v>
      </c>
      <c r="E273" s="34" t="s">
        <v>6696</v>
      </c>
      <c r="F273" s="34">
        <v>1</v>
      </c>
      <c r="G273" s="34" t="b">
        <v>0</v>
      </c>
      <c r="H273" s="46">
        <v>1</v>
      </c>
      <c r="I273" s="46"/>
      <c r="J273" s="46"/>
      <c r="K273" s="46"/>
      <c r="L273" s="46">
        <v>1</v>
      </c>
      <c r="M273" s="52">
        <v>1</v>
      </c>
    </row>
    <row r="274" spans="1:13" ht="15.75" customHeight="1" x14ac:dyDescent="0.2">
      <c r="A274" s="46">
        <v>17391</v>
      </c>
      <c r="B274" s="46">
        <v>273</v>
      </c>
      <c r="C274" s="39" t="s">
        <v>1084</v>
      </c>
      <c r="D274" s="34" t="s">
        <v>4829</v>
      </c>
      <c r="E274" s="34" t="s">
        <v>6697</v>
      </c>
      <c r="F274" s="34">
        <v>1</v>
      </c>
      <c r="G274" s="34" t="b">
        <v>1</v>
      </c>
      <c r="H274" s="46">
        <v>2</v>
      </c>
      <c r="I274" s="46">
        <v>2</v>
      </c>
      <c r="J274" s="46">
        <v>0</v>
      </c>
      <c r="K274" s="46">
        <v>0</v>
      </c>
      <c r="L274" s="46">
        <v>0</v>
      </c>
      <c r="M274" s="52">
        <v>0</v>
      </c>
    </row>
    <row r="275" spans="1:13" ht="15.75" customHeight="1" x14ac:dyDescent="0.2">
      <c r="A275" s="46">
        <v>17391</v>
      </c>
      <c r="B275" s="46">
        <v>274</v>
      </c>
      <c r="C275" s="39" t="s">
        <v>1086</v>
      </c>
      <c r="D275" s="34" t="s">
        <v>6698</v>
      </c>
      <c r="E275" s="34" t="s">
        <v>6699</v>
      </c>
      <c r="F275" s="34">
        <v>1</v>
      </c>
      <c r="G275" s="34" t="b">
        <v>1</v>
      </c>
      <c r="H275" s="46">
        <v>3</v>
      </c>
      <c r="I275" s="46">
        <v>3</v>
      </c>
      <c r="J275" s="46">
        <v>0</v>
      </c>
      <c r="K275" s="46">
        <v>0</v>
      </c>
      <c r="L275" s="46">
        <v>0</v>
      </c>
      <c r="M275" s="52">
        <v>0</v>
      </c>
    </row>
    <row r="276" spans="1:13" ht="15.75" customHeight="1" x14ac:dyDescent="0.2">
      <c r="A276" s="46">
        <v>17391</v>
      </c>
      <c r="B276" s="46">
        <v>275</v>
      </c>
      <c r="C276" s="39" t="s">
        <v>1087</v>
      </c>
      <c r="D276" s="34" t="s">
        <v>6700</v>
      </c>
      <c r="E276" s="34" t="s">
        <v>6701</v>
      </c>
      <c r="F276" s="34">
        <v>1</v>
      </c>
      <c r="G276" s="34" t="b">
        <v>1</v>
      </c>
      <c r="H276" s="46">
        <v>1</v>
      </c>
      <c r="I276" s="46">
        <v>1</v>
      </c>
      <c r="J276" s="46">
        <v>0</v>
      </c>
      <c r="K276" s="46">
        <v>0</v>
      </c>
      <c r="L276" s="46">
        <v>0</v>
      </c>
      <c r="M276" s="52">
        <v>0</v>
      </c>
    </row>
    <row r="277" spans="1:13" ht="15.75" customHeight="1" x14ac:dyDescent="0.2">
      <c r="A277" s="46">
        <v>17392</v>
      </c>
      <c r="B277" s="46">
        <v>276</v>
      </c>
      <c r="C277" s="39" t="s">
        <v>1090</v>
      </c>
      <c r="D277" s="34" t="s">
        <v>6702</v>
      </c>
      <c r="E277" s="34" t="s">
        <v>6703</v>
      </c>
      <c r="F277" s="34">
        <v>1</v>
      </c>
      <c r="G277" s="34" t="b">
        <v>1</v>
      </c>
      <c r="H277" s="46">
        <v>4</v>
      </c>
      <c r="I277" s="46">
        <v>1</v>
      </c>
      <c r="J277" s="46">
        <v>1</v>
      </c>
      <c r="K277" s="46">
        <v>0</v>
      </c>
      <c r="L277" s="46">
        <v>2</v>
      </c>
      <c r="M277" s="52">
        <v>0</v>
      </c>
    </row>
    <row r="278" spans="1:13" ht="15.75" customHeight="1" x14ac:dyDescent="0.2">
      <c r="A278" s="46">
        <v>17392</v>
      </c>
      <c r="B278" s="46">
        <v>277</v>
      </c>
      <c r="C278" s="39" t="s">
        <v>1092</v>
      </c>
      <c r="D278" s="34" t="s">
        <v>6704</v>
      </c>
      <c r="E278" s="34" t="s">
        <v>6705</v>
      </c>
      <c r="F278" s="34">
        <v>1</v>
      </c>
      <c r="G278" s="34" t="b">
        <v>1</v>
      </c>
      <c r="H278" s="46">
        <v>2</v>
      </c>
      <c r="I278" s="46">
        <v>2</v>
      </c>
      <c r="J278" s="46">
        <v>0</v>
      </c>
      <c r="K278" s="46">
        <v>0</v>
      </c>
      <c r="L278" s="46">
        <v>0</v>
      </c>
      <c r="M278" s="52">
        <v>0</v>
      </c>
    </row>
    <row r="279" spans="1:13" ht="15.75" customHeight="1" x14ac:dyDescent="0.2">
      <c r="A279" s="46">
        <v>17392</v>
      </c>
      <c r="B279" s="46">
        <v>278</v>
      </c>
      <c r="C279" s="39" t="s">
        <v>1093</v>
      </c>
      <c r="D279" s="34" t="s">
        <v>6706</v>
      </c>
      <c r="E279" s="34" t="s">
        <v>6707</v>
      </c>
      <c r="F279" s="34">
        <v>1</v>
      </c>
      <c r="G279" s="34" t="b">
        <v>1</v>
      </c>
      <c r="H279" s="46">
        <v>2</v>
      </c>
      <c r="I279" s="46">
        <v>2</v>
      </c>
      <c r="J279" s="46">
        <v>0</v>
      </c>
      <c r="K279" s="46">
        <v>0</v>
      </c>
      <c r="L279" s="46">
        <v>0</v>
      </c>
      <c r="M279" s="52">
        <v>0</v>
      </c>
    </row>
    <row r="280" spans="1:13" ht="15.75" customHeight="1" x14ac:dyDescent="0.2">
      <c r="A280" s="46">
        <v>17392</v>
      </c>
      <c r="B280" s="46">
        <v>279</v>
      </c>
      <c r="C280" s="39" t="s">
        <v>1094</v>
      </c>
      <c r="D280" s="34" t="s">
        <v>6708</v>
      </c>
      <c r="E280" s="34" t="s">
        <v>6709</v>
      </c>
      <c r="F280" s="34">
        <v>1</v>
      </c>
      <c r="G280" s="34" t="b">
        <v>1</v>
      </c>
      <c r="H280" s="46">
        <v>2</v>
      </c>
      <c r="I280" s="46">
        <v>2</v>
      </c>
      <c r="J280" s="46">
        <v>0</v>
      </c>
      <c r="K280" s="46">
        <v>0</v>
      </c>
      <c r="L280" s="46">
        <v>0</v>
      </c>
      <c r="M280" s="52">
        <v>0</v>
      </c>
    </row>
    <row r="281" spans="1:13" ht="15.75" customHeight="1" x14ac:dyDescent="0.2">
      <c r="A281" s="46">
        <v>17392</v>
      </c>
      <c r="B281" s="46">
        <v>280</v>
      </c>
      <c r="C281" s="39" t="s">
        <v>1097</v>
      </c>
      <c r="D281" s="34" t="s">
        <v>6710</v>
      </c>
      <c r="E281" s="34" t="s">
        <v>6711</v>
      </c>
      <c r="F281" s="34">
        <v>1</v>
      </c>
      <c r="G281" s="34" t="b">
        <v>1</v>
      </c>
      <c r="H281" s="46">
        <v>3</v>
      </c>
      <c r="I281" s="46">
        <v>2</v>
      </c>
      <c r="J281" s="46">
        <v>1</v>
      </c>
      <c r="K281" s="46">
        <v>0</v>
      </c>
      <c r="L281" s="46">
        <v>0</v>
      </c>
      <c r="M281" s="52">
        <v>1</v>
      </c>
    </row>
    <row r="282" spans="1:13" ht="15.75" customHeight="1" x14ac:dyDescent="0.2">
      <c r="A282" s="46">
        <v>17393</v>
      </c>
      <c r="B282" s="46">
        <v>281</v>
      </c>
      <c r="C282" s="39" t="s">
        <v>1098</v>
      </c>
      <c r="D282" s="34" t="s">
        <v>6712</v>
      </c>
      <c r="E282" s="34" t="s">
        <v>6713</v>
      </c>
      <c r="F282" s="34">
        <v>1</v>
      </c>
      <c r="G282" s="34" t="b">
        <v>1</v>
      </c>
      <c r="H282" s="46">
        <v>1</v>
      </c>
      <c r="I282" s="46">
        <v>1</v>
      </c>
      <c r="J282" s="46">
        <v>0</v>
      </c>
      <c r="K282" s="46">
        <v>0</v>
      </c>
      <c r="L282" s="46">
        <v>0</v>
      </c>
      <c r="M282" s="52">
        <v>0</v>
      </c>
    </row>
    <row r="283" spans="1:13" ht="15.75" customHeight="1" x14ac:dyDescent="0.2">
      <c r="A283" s="46">
        <v>17393</v>
      </c>
      <c r="B283" s="46">
        <v>282</v>
      </c>
      <c r="C283" s="39" t="s">
        <v>1100</v>
      </c>
      <c r="D283" s="34" t="s">
        <v>6714</v>
      </c>
      <c r="E283" s="34" t="s">
        <v>6715</v>
      </c>
      <c r="F283" s="34">
        <v>1</v>
      </c>
      <c r="G283" s="34" t="b">
        <v>1</v>
      </c>
      <c r="H283" s="46">
        <v>3</v>
      </c>
      <c r="I283" s="46">
        <v>3</v>
      </c>
      <c r="J283" s="46">
        <v>0</v>
      </c>
      <c r="K283" s="46">
        <v>0</v>
      </c>
      <c r="L283" s="46">
        <v>0</v>
      </c>
      <c r="M283" s="52">
        <v>0</v>
      </c>
    </row>
    <row r="284" spans="1:13" ht="15.75" customHeight="1" x14ac:dyDescent="0.2">
      <c r="A284" s="46">
        <v>17393</v>
      </c>
      <c r="B284" s="46">
        <v>283</v>
      </c>
      <c r="C284" s="39" t="s">
        <v>1101</v>
      </c>
      <c r="D284" s="34" t="s">
        <v>5004</v>
      </c>
      <c r="E284" s="34" t="s">
        <v>6716</v>
      </c>
      <c r="F284" s="34">
        <v>1</v>
      </c>
      <c r="G284" s="34" t="b">
        <v>1</v>
      </c>
      <c r="H284" s="46">
        <v>2</v>
      </c>
      <c r="I284" s="46">
        <v>2</v>
      </c>
      <c r="J284" s="46">
        <v>0</v>
      </c>
      <c r="K284" s="46">
        <v>0</v>
      </c>
      <c r="L284" s="46">
        <v>0</v>
      </c>
      <c r="M284" s="52">
        <v>0</v>
      </c>
    </row>
    <row r="285" spans="1:13" ht="15.75" customHeight="1" x14ac:dyDescent="0.2">
      <c r="A285" s="46">
        <v>17393</v>
      </c>
      <c r="B285" s="46">
        <v>284</v>
      </c>
      <c r="C285" s="39" t="s">
        <v>1102</v>
      </c>
      <c r="D285" s="34" t="s">
        <v>6717</v>
      </c>
      <c r="E285" s="34" t="s">
        <v>6718</v>
      </c>
      <c r="F285" s="34">
        <v>1</v>
      </c>
      <c r="G285" s="34" t="b">
        <v>1</v>
      </c>
      <c r="H285" s="46">
        <v>2</v>
      </c>
      <c r="I285" s="46">
        <v>1</v>
      </c>
      <c r="J285" s="46">
        <v>1</v>
      </c>
      <c r="K285" s="46">
        <v>0</v>
      </c>
      <c r="L285" s="46">
        <v>0</v>
      </c>
      <c r="M285" s="52">
        <v>0</v>
      </c>
    </row>
    <row r="286" spans="1:13" ht="15.75" customHeight="1" x14ac:dyDescent="0.2">
      <c r="A286" s="46">
        <v>17393</v>
      </c>
      <c r="B286" s="46">
        <v>285</v>
      </c>
      <c r="C286" s="39" t="s">
        <v>1103</v>
      </c>
      <c r="D286" s="34" t="s">
        <v>5057</v>
      </c>
      <c r="E286" s="34" t="s">
        <v>6719</v>
      </c>
      <c r="F286" s="34">
        <v>1</v>
      </c>
      <c r="G286" s="34" t="b">
        <v>1</v>
      </c>
      <c r="H286" s="46">
        <v>2</v>
      </c>
      <c r="I286" s="46">
        <v>1</v>
      </c>
      <c r="J286" s="46">
        <v>1</v>
      </c>
      <c r="K286" s="46">
        <v>0</v>
      </c>
      <c r="L286" s="46">
        <v>0</v>
      </c>
      <c r="M286" s="52">
        <v>0</v>
      </c>
    </row>
    <row r="287" spans="1:13" ht="15.75" customHeight="1" x14ac:dyDescent="0.2">
      <c r="A287" s="46">
        <v>17393</v>
      </c>
      <c r="B287" s="46">
        <v>286</v>
      </c>
      <c r="C287" s="39" t="s">
        <v>1104</v>
      </c>
      <c r="D287" s="34" t="s">
        <v>6720</v>
      </c>
      <c r="E287" s="34" t="s">
        <v>6721</v>
      </c>
      <c r="F287" s="34">
        <v>1</v>
      </c>
      <c r="G287" s="34" t="b">
        <v>1</v>
      </c>
      <c r="H287" s="46">
        <v>1</v>
      </c>
      <c r="I287" s="46">
        <v>1</v>
      </c>
      <c r="J287" s="46">
        <v>0</v>
      </c>
      <c r="K287" s="46">
        <v>0</v>
      </c>
      <c r="L287" s="46">
        <v>0</v>
      </c>
      <c r="M287" s="52">
        <v>1</v>
      </c>
    </row>
    <row r="288" spans="1:13" ht="15.75" customHeight="1" x14ac:dyDescent="0.2">
      <c r="A288" s="46">
        <v>17397</v>
      </c>
      <c r="B288" s="46">
        <v>287</v>
      </c>
      <c r="C288" s="39" t="s">
        <v>1107</v>
      </c>
      <c r="D288" s="34" t="s">
        <v>6722</v>
      </c>
      <c r="E288" s="34" t="s">
        <v>6723</v>
      </c>
      <c r="F288" s="34">
        <v>1</v>
      </c>
      <c r="G288" s="34" t="b">
        <v>1</v>
      </c>
      <c r="H288" s="46">
        <v>1</v>
      </c>
      <c r="I288" s="46">
        <v>1</v>
      </c>
      <c r="J288" s="46">
        <v>0</v>
      </c>
      <c r="K288" s="46">
        <v>0</v>
      </c>
      <c r="L288" s="46">
        <v>0</v>
      </c>
      <c r="M288" s="52">
        <v>1</v>
      </c>
    </row>
    <row r="289" spans="1:13" ht="15.75" customHeight="1" x14ac:dyDescent="0.2">
      <c r="A289" s="46">
        <v>17397</v>
      </c>
      <c r="B289" s="46">
        <v>288</v>
      </c>
      <c r="C289" s="39" t="s">
        <v>1109</v>
      </c>
      <c r="D289" s="34" t="s">
        <v>6724</v>
      </c>
      <c r="E289" s="34" t="s">
        <v>6725</v>
      </c>
      <c r="F289" s="34">
        <v>1</v>
      </c>
      <c r="G289" s="34" t="b">
        <v>1</v>
      </c>
      <c r="H289" s="46">
        <v>4</v>
      </c>
      <c r="I289" s="46">
        <v>4</v>
      </c>
      <c r="J289" s="46">
        <v>0</v>
      </c>
      <c r="K289" s="46">
        <v>0</v>
      </c>
      <c r="L289" s="46">
        <v>0</v>
      </c>
      <c r="M289" s="52">
        <v>0</v>
      </c>
    </row>
    <row r="290" spans="1:13" ht="15.75" customHeight="1" x14ac:dyDescent="0.2">
      <c r="A290" s="46">
        <v>17397</v>
      </c>
      <c r="B290" s="46">
        <v>289</v>
      </c>
      <c r="C290" s="39" t="s">
        <v>1110</v>
      </c>
      <c r="D290" s="34" t="s">
        <v>6726</v>
      </c>
      <c r="E290" s="34" t="s">
        <v>6727</v>
      </c>
      <c r="F290" s="34">
        <v>1</v>
      </c>
      <c r="G290" s="34" t="b">
        <v>1</v>
      </c>
      <c r="H290" s="46">
        <v>1</v>
      </c>
      <c r="I290" s="46">
        <v>1</v>
      </c>
      <c r="J290" s="46">
        <v>0</v>
      </c>
      <c r="K290" s="46">
        <v>0</v>
      </c>
      <c r="L290" s="46">
        <v>0</v>
      </c>
      <c r="M290" s="52">
        <v>0</v>
      </c>
    </row>
    <row r="291" spans="1:13" ht="15.75" customHeight="1" x14ac:dyDescent="0.2">
      <c r="A291" s="46">
        <v>17397</v>
      </c>
      <c r="B291" s="46">
        <v>290</v>
      </c>
      <c r="C291" s="39" t="s">
        <v>1111</v>
      </c>
      <c r="D291" s="34" t="s">
        <v>6728</v>
      </c>
      <c r="E291" s="34" t="s">
        <v>6729</v>
      </c>
      <c r="F291" s="34">
        <v>1</v>
      </c>
      <c r="G291" s="34" t="b">
        <v>1</v>
      </c>
      <c r="H291" s="46">
        <v>2</v>
      </c>
      <c r="I291" s="46">
        <v>1</v>
      </c>
      <c r="J291" s="46">
        <v>1</v>
      </c>
      <c r="K291" s="46">
        <v>0</v>
      </c>
      <c r="L291" s="46">
        <v>0</v>
      </c>
      <c r="M291" s="52">
        <v>0</v>
      </c>
    </row>
    <row r="292" spans="1:13" ht="15.75" customHeight="1" x14ac:dyDescent="0.2">
      <c r="A292" s="46">
        <v>17398</v>
      </c>
      <c r="B292" s="46">
        <v>291</v>
      </c>
      <c r="C292" s="39" t="s">
        <v>1114</v>
      </c>
      <c r="D292" s="34" t="s">
        <v>6730</v>
      </c>
      <c r="E292" s="34" t="s">
        <v>6731</v>
      </c>
      <c r="F292" s="34">
        <v>1</v>
      </c>
      <c r="G292" s="34" t="b">
        <v>0</v>
      </c>
      <c r="H292" s="46">
        <v>2</v>
      </c>
      <c r="I292" s="46">
        <v>2</v>
      </c>
      <c r="J292" s="46"/>
      <c r="K292" s="46"/>
      <c r="L292" s="46"/>
      <c r="M292" s="52">
        <v>1</v>
      </c>
    </row>
    <row r="293" spans="1:13" ht="15.75" customHeight="1" x14ac:dyDescent="0.2">
      <c r="A293" s="46">
        <v>17398</v>
      </c>
      <c r="B293" s="46">
        <v>292</v>
      </c>
      <c r="C293" s="39" t="s">
        <v>1116</v>
      </c>
      <c r="D293" s="34" t="s">
        <v>6732</v>
      </c>
      <c r="E293" s="34" t="s">
        <v>6733</v>
      </c>
      <c r="F293" s="34">
        <v>1</v>
      </c>
      <c r="G293" s="34" t="b">
        <v>1</v>
      </c>
      <c r="H293" s="46">
        <v>1</v>
      </c>
      <c r="I293" s="46">
        <v>1</v>
      </c>
      <c r="J293" s="46">
        <v>0</v>
      </c>
      <c r="K293" s="46">
        <v>0</v>
      </c>
      <c r="L293" s="46">
        <v>0</v>
      </c>
      <c r="M293" s="52">
        <v>0</v>
      </c>
    </row>
    <row r="294" spans="1:13" ht="15.75" customHeight="1" x14ac:dyDescent="0.2">
      <c r="A294" s="46">
        <v>17398</v>
      </c>
      <c r="B294" s="46">
        <v>293</v>
      </c>
      <c r="C294" s="39" t="s">
        <v>1117</v>
      </c>
      <c r="D294" s="34" t="s">
        <v>6734</v>
      </c>
      <c r="E294" s="34" t="s">
        <v>6735</v>
      </c>
      <c r="F294" s="34">
        <v>1</v>
      </c>
      <c r="G294" s="34" t="b">
        <v>1</v>
      </c>
      <c r="H294" s="46">
        <v>2</v>
      </c>
      <c r="I294" s="46">
        <v>1</v>
      </c>
      <c r="J294" s="46">
        <v>0</v>
      </c>
      <c r="K294" s="46">
        <v>1</v>
      </c>
      <c r="L294" s="46">
        <v>0</v>
      </c>
      <c r="M294" s="52">
        <v>1</v>
      </c>
    </row>
    <row r="295" spans="1:13" ht="15.75" customHeight="1" x14ac:dyDescent="0.2">
      <c r="A295" s="46">
        <v>17398</v>
      </c>
      <c r="B295" s="46">
        <v>294</v>
      </c>
      <c r="C295" s="39" t="s">
        <v>1118</v>
      </c>
      <c r="D295" s="34" t="s">
        <v>6736</v>
      </c>
      <c r="E295" s="34" t="s">
        <v>6737</v>
      </c>
      <c r="F295" s="34">
        <v>1</v>
      </c>
      <c r="G295" s="34" t="b">
        <v>1</v>
      </c>
      <c r="H295" s="46">
        <v>1</v>
      </c>
      <c r="I295" s="46">
        <v>1</v>
      </c>
      <c r="J295" s="46">
        <v>0</v>
      </c>
      <c r="K295" s="46">
        <v>0</v>
      </c>
      <c r="L295" s="46">
        <v>0</v>
      </c>
      <c r="M295" s="52">
        <v>0</v>
      </c>
    </row>
    <row r="296" spans="1:13" ht="15.75" customHeight="1" x14ac:dyDescent="0.2">
      <c r="A296" s="46">
        <v>17398</v>
      </c>
      <c r="B296" s="46">
        <v>295</v>
      </c>
      <c r="C296" s="39" t="s">
        <v>1119</v>
      </c>
      <c r="D296" s="34" t="s">
        <v>6738</v>
      </c>
      <c r="E296" s="34" t="s">
        <v>6739</v>
      </c>
      <c r="F296" s="34">
        <v>1</v>
      </c>
      <c r="G296" s="34" t="b">
        <v>0</v>
      </c>
      <c r="H296" s="46">
        <v>2</v>
      </c>
      <c r="I296" s="46">
        <v>1</v>
      </c>
      <c r="J296" s="46">
        <v>1</v>
      </c>
      <c r="K296" s="46"/>
      <c r="L296" s="46"/>
      <c r="M296" s="52">
        <v>1</v>
      </c>
    </row>
    <row r="297" spans="1:13" ht="15.75" customHeight="1" x14ac:dyDescent="0.2">
      <c r="A297" s="46">
        <v>17398</v>
      </c>
      <c r="B297" s="46">
        <v>296</v>
      </c>
      <c r="C297" s="39" t="s">
        <v>1120</v>
      </c>
      <c r="D297" s="34" t="s">
        <v>6740</v>
      </c>
      <c r="E297" s="34" t="s">
        <v>6741</v>
      </c>
      <c r="F297" s="34">
        <v>1</v>
      </c>
      <c r="G297" s="34" t="b">
        <v>1</v>
      </c>
      <c r="H297" s="46">
        <v>1</v>
      </c>
      <c r="I297" s="46">
        <v>1</v>
      </c>
      <c r="J297" s="46">
        <v>0</v>
      </c>
      <c r="K297" s="46">
        <v>0</v>
      </c>
      <c r="L297" s="46">
        <v>0</v>
      </c>
      <c r="M297" s="52">
        <v>0</v>
      </c>
    </row>
    <row r="298" spans="1:13" ht="15.75" customHeight="1" x14ac:dyDescent="0.2">
      <c r="A298" s="46">
        <v>17398</v>
      </c>
      <c r="B298" s="46">
        <v>297</v>
      </c>
      <c r="C298" s="39" t="s">
        <v>1123</v>
      </c>
      <c r="D298" s="34" t="s">
        <v>6742</v>
      </c>
      <c r="E298" s="34" t="s">
        <v>6743</v>
      </c>
      <c r="F298" s="34">
        <v>1</v>
      </c>
      <c r="G298" s="34" t="b">
        <v>1</v>
      </c>
      <c r="H298" s="46">
        <v>3</v>
      </c>
      <c r="I298" s="46">
        <v>3</v>
      </c>
      <c r="J298" s="46">
        <v>0</v>
      </c>
      <c r="K298" s="46">
        <v>0</v>
      </c>
      <c r="L298" s="46">
        <v>0</v>
      </c>
      <c r="M298" s="52">
        <v>0</v>
      </c>
    </row>
    <row r="299" spans="1:13" ht="15.75" customHeight="1" x14ac:dyDescent="0.2">
      <c r="A299" s="46">
        <v>17398</v>
      </c>
      <c r="B299" s="46">
        <v>298</v>
      </c>
      <c r="C299" s="39" t="s">
        <v>1124</v>
      </c>
      <c r="D299" s="34" t="s">
        <v>6744</v>
      </c>
      <c r="E299" s="34" t="s">
        <v>6745</v>
      </c>
      <c r="F299" s="34">
        <v>1</v>
      </c>
      <c r="G299" s="34" t="b">
        <v>1</v>
      </c>
      <c r="H299" s="46">
        <v>4</v>
      </c>
      <c r="I299" s="46">
        <v>2</v>
      </c>
      <c r="J299" s="46">
        <v>1</v>
      </c>
      <c r="K299" s="46">
        <v>0</v>
      </c>
      <c r="L299" s="46">
        <v>1</v>
      </c>
      <c r="M299" s="52">
        <v>0</v>
      </c>
    </row>
    <row r="300" spans="1:13" ht="15.75" customHeight="1" x14ac:dyDescent="0.2">
      <c r="A300" s="46">
        <v>17398</v>
      </c>
      <c r="B300" s="46">
        <v>299</v>
      </c>
      <c r="C300" s="39" t="s">
        <v>1125</v>
      </c>
      <c r="D300" s="34" t="s">
        <v>6746</v>
      </c>
      <c r="E300" s="34" t="s">
        <v>6747</v>
      </c>
      <c r="F300" s="34">
        <v>1</v>
      </c>
      <c r="G300" s="34" t="b">
        <v>0</v>
      </c>
      <c r="H300" s="46">
        <v>2</v>
      </c>
      <c r="I300" s="46">
        <v>1</v>
      </c>
      <c r="J300" s="46"/>
      <c r="K300" s="46">
        <v>1</v>
      </c>
      <c r="L300" s="46"/>
      <c r="M300" s="52">
        <v>2</v>
      </c>
    </row>
    <row r="301" spans="1:13" ht="15.75" customHeight="1" x14ac:dyDescent="0.2">
      <c r="A301" s="46">
        <v>17398</v>
      </c>
      <c r="B301" s="46">
        <v>300</v>
      </c>
      <c r="C301" s="39" t="s">
        <v>1126</v>
      </c>
      <c r="D301" s="34" t="s">
        <v>6748</v>
      </c>
      <c r="E301" s="34" t="s">
        <v>6749</v>
      </c>
      <c r="F301" s="34">
        <v>1</v>
      </c>
      <c r="G301" s="34" t="b">
        <v>1</v>
      </c>
      <c r="H301" s="46">
        <v>1</v>
      </c>
      <c r="I301" s="46">
        <v>1</v>
      </c>
      <c r="J301" s="46">
        <v>0</v>
      </c>
      <c r="K301" s="46">
        <v>0</v>
      </c>
      <c r="L301" s="46">
        <v>0</v>
      </c>
      <c r="M301" s="52">
        <v>0</v>
      </c>
    </row>
    <row r="302" spans="1:13" ht="15.75" customHeight="1" x14ac:dyDescent="0.2">
      <c r="A302" s="46">
        <v>17399</v>
      </c>
      <c r="B302" s="46">
        <v>301</v>
      </c>
      <c r="C302" s="39" t="s">
        <v>1127</v>
      </c>
      <c r="D302" s="34" t="s">
        <v>6750</v>
      </c>
      <c r="E302" s="34" t="s">
        <v>6751</v>
      </c>
      <c r="F302" s="34">
        <v>1</v>
      </c>
      <c r="G302" s="34" t="b">
        <v>1</v>
      </c>
      <c r="H302" s="46">
        <v>1</v>
      </c>
      <c r="I302" s="46">
        <v>1</v>
      </c>
      <c r="J302" s="46">
        <v>0</v>
      </c>
      <c r="K302" s="46">
        <v>0</v>
      </c>
      <c r="L302" s="46">
        <v>0</v>
      </c>
      <c r="M302" s="52">
        <v>0</v>
      </c>
    </row>
    <row r="303" spans="1:13" ht="15.75" customHeight="1" x14ac:dyDescent="0.2">
      <c r="A303" s="46">
        <v>17399</v>
      </c>
      <c r="B303" s="46">
        <v>302</v>
      </c>
      <c r="C303" s="39" t="s">
        <v>1129</v>
      </c>
      <c r="D303" s="34" t="s">
        <v>6752</v>
      </c>
      <c r="E303" s="34" t="s">
        <v>6753</v>
      </c>
      <c r="F303" s="34">
        <v>1</v>
      </c>
      <c r="G303" s="34" t="b">
        <v>0</v>
      </c>
      <c r="H303" s="46">
        <v>2</v>
      </c>
      <c r="I303" s="46">
        <v>2</v>
      </c>
      <c r="J303" s="46"/>
      <c r="K303" s="46"/>
      <c r="L303" s="46"/>
      <c r="M303" s="52">
        <v>2</v>
      </c>
    </row>
    <row r="304" spans="1:13" ht="15.75" customHeight="1" x14ac:dyDescent="0.2">
      <c r="A304" s="46">
        <v>17399</v>
      </c>
      <c r="B304" s="46">
        <v>303</v>
      </c>
      <c r="C304" s="39" t="s">
        <v>1130</v>
      </c>
      <c r="D304" s="34" t="s">
        <v>6754</v>
      </c>
      <c r="E304" s="34" t="s">
        <v>6755</v>
      </c>
      <c r="F304" s="34">
        <v>1</v>
      </c>
      <c r="G304" s="34" t="b">
        <v>1</v>
      </c>
      <c r="H304" s="46">
        <v>4</v>
      </c>
      <c r="I304" s="46">
        <v>3</v>
      </c>
      <c r="J304" s="46">
        <v>1</v>
      </c>
      <c r="K304" s="46">
        <v>0</v>
      </c>
      <c r="L304" s="46">
        <v>0</v>
      </c>
      <c r="M304" s="52">
        <v>0</v>
      </c>
    </row>
    <row r="305" spans="1:13" ht="15.75" customHeight="1" x14ac:dyDescent="0.2">
      <c r="A305" s="46">
        <v>17399</v>
      </c>
      <c r="B305" s="46">
        <v>304</v>
      </c>
      <c r="C305" s="39" t="s">
        <v>1131</v>
      </c>
      <c r="D305" s="34" t="s">
        <v>6756</v>
      </c>
      <c r="E305" s="34" t="s">
        <v>6757</v>
      </c>
      <c r="F305" s="34">
        <v>1</v>
      </c>
      <c r="G305" s="34" t="b">
        <v>1</v>
      </c>
      <c r="H305" s="46">
        <v>4</v>
      </c>
      <c r="I305" s="46">
        <v>2</v>
      </c>
      <c r="J305" s="46">
        <v>1</v>
      </c>
      <c r="K305" s="46">
        <v>0</v>
      </c>
      <c r="L305" s="46">
        <v>1</v>
      </c>
      <c r="M305" s="52">
        <v>0</v>
      </c>
    </row>
    <row r="306" spans="1:13" ht="15.75" customHeight="1" x14ac:dyDescent="0.2">
      <c r="A306" s="46">
        <v>17399</v>
      </c>
      <c r="B306" s="46">
        <v>305</v>
      </c>
      <c r="C306" s="39" t="s">
        <v>1134</v>
      </c>
      <c r="D306" s="34" t="s">
        <v>6758</v>
      </c>
      <c r="E306" s="34" t="s">
        <v>6759</v>
      </c>
      <c r="F306" s="34">
        <v>1</v>
      </c>
      <c r="G306" s="34" t="b">
        <v>1</v>
      </c>
      <c r="H306" s="46">
        <v>3</v>
      </c>
      <c r="I306" s="46">
        <v>3</v>
      </c>
      <c r="J306" s="46">
        <v>0</v>
      </c>
      <c r="K306" s="46">
        <v>0</v>
      </c>
      <c r="L306" s="46">
        <v>0</v>
      </c>
      <c r="M306" s="52">
        <v>0</v>
      </c>
    </row>
    <row r="307" spans="1:13" ht="15.75" customHeight="1" x14ac:dyDescent="0.2">
      <c r="A307" s="46">
        <v>17399</v>
      </c>
      <c r="B307" s="46">
        <v>306</v>
      </c>
      <c r="C307" s="39" t="s">
        <v>1135</v>
      </c>
      <c r="D307" s="34" t="s">
        <v>6760</v>
      </c>
      <c r="E307" s="34" t="s">
        <v>6761</v>
      </c>
      <c r="F307" s="34">
        <v>1</v>
      </c>
      <c r="G307" s="34" t="b">
        <v>1</v>
      </c>
      <c r="H307" s="46">
        <v>1</v>
      </c>
      <c r="I307" s="46">
        <v>1</v>
      </c>
      <c r="J307" s="46">
        <v>0</v>
      </c>
      <c r="K307" s="46">
        <v>0</v>
      </c>
      <c r="L307" s="46">
        <v>0</v>
      </c>
      <c r="M307" s="52">
        <v>0</v>
      </c>
    </row>
    <row r="308" spans="1:13" ht="15.75" customHeight="1" x14ac:dyDescent="0.2">
      <c r="A308" s="46">
        <v>17399</v>
      </c>
      <c r="B308" s="46">
        <v>307</v>
      </c>
      <c r="C308" s="39" t="s">
        <v>1136</v>
      </c>
      <c r="D308" s="34" t="s">
        <v>6762</v>
      </c>
      <c r="E308" s="34" t="s">
        <v>6763</v>
      </c>
      <c r="F308" s="34">
        <v>1</v>
      </c>
      <c r="G308" s="34" t="b">
        <v>1</v>
      </c>
      <c r="H308" s="46">
        <v>6</v>
      </c>
      <c r="I308" s="46">
        <v>5</v>
      </c>
      <c r="J308" s="46">
        <v>0</v>
      </c>
      <c r="K308" s="46">
        <v>0</v>
      </c>
      <c r="L308" s="46">
        <v>1</v>
      </c>
      <c r="M308" s="52">
        <v>0</v>
      </c>
    </row>
    <row r="309" spans="1:13" ht="15.75" customHeight="1" x14ac:dyDescent="0.2">
      <c r="A309" s="46">
        <v>17399</v>
      </c>
      <c r="B309" s="46">
        <v>308</v>
      </c>
      <c r="C309" s="39" t="s">
        <v>1137</v>
      </c>
      <c r="D309" s="34" t="s">
        <v>6764</v>
      </c>
      <c r="E309" s="34" t="s">
        <v>6765</v>
      </c>
      <c r="F309" s="34">
        <v>1</v>
      </c>
      <c r="G309" s="34" t="b">
        <v>1</v>
      </c>
      <c r="H309" s="46">
        <v>6</v>
      </c>
      <c r="I309" s="46">
        <v>5</v>
      </c>
      <c r="J309" s="46">
        <v>0</v>
      </c>
      <c r="K309" s="46">
        <v>0</v>
      </c>
      <c r="L309" s="46">
        <v>1</v>
      </c>
      <c r="M309" s="52">
        <v>0</v>
      </c>
    </row>
    <row r="310" spans="1:13" ht="15.75" customHeight="1" x14ac:dyDescent="0.2">
      <c r="A310" s="46">
        <v>17399</v>
      </c>
      <c r="B310" s="46">
        <v>309</v>
      </c>
      <c r="C310" s="39" t="s">
        <v>1138</v>
      </c>
      <c r="D310" s="34" t="s">
        <v>6766</v>
      </c>
      <c r="E310" s="34" t="s">
        <v>6767</v>
      </c>
      <c r="F310" s="34">
        <v>1</v>
      </c>
      <c r="G310" s="34" t="b">
        <v>0</v>
      </c>
      <c r="H310" s="46">
        <v>5</v>
      </c>
      <c r="I310" s="46">
        <v>2</v>
      </c>
      <c r="J310" s="46">
        <v>2</v>
      </c>
      <c r="K310" s="46"/>
      <c r="L310" s="46">
        <v>1</v>
      </c>
      <c r="M310" s="52"/>
    </row>
    <row r="311" spans="1:13" ht="15.75" customHeight="1" x14ac:dyDescent="0.2">
      <c r="A311" s="46">
        <v>17400</v>
      </c>
      <c r="B311" s="46">
        <v>310</v>
      </c>
      <c r="C311" s="39" t="s">
        <v>1139</v>
      </c>
      <c r="D311" s="34" t="s">
        <v>6768</v>
      </c>
      <c r="E311" s="34" t="s">
        <v>6769</v>
      </c>
      <c r="F311" s="34">
        <v>1</v>
      </c>
      <c r="G311" s="34" t="b">
        <v>1</v>
      </c>
      <c r="H311" s="46">
        <v>1</v>
      </c>
      <c r="I311" s="46">
        <v>1</v>
      </c>
      <c r="J311" s="46">
        <v>0</v>
      </c>
      <c r="K311" s="46">
        <v>0</v>
      </c>
      <c r="L311" s="46">
        <v>0</v>
      </c>
      <c r="M311" s="52">
        <v>0</v>
      </c>
    </row>
    <row r="312" spans="1:13" ht="15.75" customHeight="1" x14ac:dyDescent="0.2">
      <c r="A312" s="46">
        <v>17400</v>
      </c>
      <c r="B312" s="46">
        <v>311</v>
      </c>
      <c r="C312" s="39" t="s">
        <v>1142</v>
      </c>
      <c r="D312" s="34" t="s">
        <v>6770</v>
      </c>
      <c r="E312" s="34" t="s">
        <v>6771</v>
      </c>
      <c r="F312" s="34">
        <v>1</v>
      </c>
      <c r="G312" s="34" t="b">
        <v>1</v>
      </c>
      <c r="H312" s="46">
        <v>1</v>
      </c>
      <c r="I312" s="46">
        <v>1</v>
      </c>
      <c r="J312" s="46">
        <v>0</v>
      </c>
      <c r="K312" s="46">
        <v>0</v>
      </c>
      <c r="L312" s="46">
        <v>0</v>
      </c>
      <c r="M312" s="52">
        <v>0</v>
      </c>
    </row>
    <row r="313" spans="1:13" ht="15.75" customHeight="1" x14ac:dyDescent="0.2">
      <c r="A313" s="46">
        <v>17400</v>
      </c>
      <c r="B313" s="46">
        <v>312</v>
      </c>
      <c r="C313" s="39" t="s">
        <v>1144</v>
      </c>
      <c r="D313" s="34" t="s">
        <v>6772</v>
      </c>
      <c r="E313" s="34" t="s">
        <v>6773</v>
      </c>
      <c r="F313" s="34">
        <v>1</v>
      </c>
      <c r="G313" s="34" t="b">
        <v>1</v>
      </c>
      <c r="H313" s="46">
        <v>1</v>
      </c>
      <c r="I313" s="46">
        <v>1</v>
      </c>
      <c r="J313" s="46">
        <v>0</v>
      </c>
      <c r="K313" s="46">
        <v>0</v>
      </c>
      <c r="L313" s="46">
        <v>0</v>
      </c>
      <c r="M313" s="52">
        <v>0</v>
      </c>
    </row>
    <row r="314" spans="1:13" ht="15.75" customHeight="1" x14ac:dyDescent="0.2">
      <c r="A314" s="46">
        <v>17405</v>
      </c>
      <c r="B314" s="46">
        <v>313</v>
      </c>
      <c r="C314" s="39" t="s">
        <v>1145</v>
      </c>
      <c r="D314" s="34" t="s">
        <v>6774</v>
      </c>
      <c r="E314" s="34" t="s">
        <v>6775</v>
      </c>
      <c r="F314" s="34">
        <v>1</v>
      </c>
      <c r="G314" s="34" t="b">
        <v>0</v>
      </c>
      <c r="H314" s="46">
        <v>3</v>
      </c>
      <c r="I314" s="46">
        <v>1</v>
      </c>
      <c r="J314" s="46">
        <v>1</v>
      </c>
      <c r="K314" s="46">
        <v>1</v>
      </c>
      <c r="L314" s="46"/>
      <c r="M314" s="52">
        <v>1</v>
      </c>
    </row>
    <row r="315" spans="1:13" ht="15.75" customHeight="1" x14ac:dyDescent="0.2">
      <c r="A315" s="46">
        <v>17405</v>
      </c>
      <c r="B315" s="46">
        <v>314</v>
      </c>
      <c r="C315" s="39" t="s">
        <v>1148</v>
      </c>
      <c r="D315" s="34" t="s">
        <v>6776</v>
      </c>
      <c r="E315" s="34" t="s">
        <v>6777</v>
      </c>
      <c r="F315" s="34">
        <v>1</v>
      </c>
      <c r="G315" s="34" t="b">
        <v>1</v>
      </c>
      <c r="H315" s="46">
        <v>3</v>
      </c>
      <c r="I315" s="46">
        <v>3</v>
      </c>
      <c r="J315" s="46">
        <v>0</v>
      </c>
      <c r="K315" s="46">
        <v>0</v>
      </c>
      <c r="L315" s="46">
        <v>0</v>
      </c>
      <c r="M315" s="52">
        <v>0</v>
      </c>
    </row>
    <row r="316" spans="1:13" ht="15.75" customHeight="1" x14ac:dyDescent="0.2">
      <c r="A316" s="46">
        <v>17405</v>
      </c>
      <c r="B316" s="46">
        <v>315</v>
      </c>
      <c r="C316" s="39" t="s">
        <v>1151</v>
      </c>
      <c r="D316" s="34" t="s">
        <v>6778</v>
      </c>
      <c r="E316" s="34" t="s">
        <v>6779</v>
      </c>
      <c r="F316" s="34">
        <v>1</v>
      </c>
      <c r="G316" s="34" t="b">
        <v>0</v>
      </c>
      <c r="H316" s="46">
        <v>3</v>
      </c>
      <c r="I316" s="46"/>
      <c r="J316" s="46">
        <v>2</v>
      </c>
      <c r="K316" s="46">
        <v>1</v>
      </c>
      <c r="L316" s="46"/>
      <c r="M316" s="52">
        <v>1</v>
      </c>
    </row>
    <row r="317" spans="1:13" ht="15.75" customHeight="1" x14ac:dyDescent="0.2">
      <c r="A317" s="46">
        <v>17405</v>
      </c>
      <c r="B317" s="46">
        <v>316</v>
      </c>
      <c r="C317" s="39" t="s">
        <v>1154</v>
      </c>
      <c r="D317" s="34" t="s">
        <v>6780</v>
      </c>
      <c r="E317" s="34" t="s">
        <v>6781</v>
      </c>
      <c r="F317" s="34">
        <v>1</v>
      </c>
      <c r="G317" s="34" t="b">
        <v>1</v>
      </c>
      <c r="H317" s="46">
        <v>3</v>
      </c>
      <c r="I317" s="46">
        <v>3</v>
      </c>
      <c r="J317" s="46">
        <v>0</v>
      </c>
      <c r="K317" s="46">
        <v>0</v>
      </c>
      <c r="L317" s="46">
        <v>0</v>
      </c>
      <c r="M317" s="52">
        <v>0</v>
      </c>
    </row>
    <row r="318" spans="1:13" ht="15.75" customHeight="1" x14ac:dyDescent="0.2">
      <c r="A318" s="46">
        <v>17405</v>
      </c>
      <c r="B318" s="46">
        <v>317</v>
      </c>
      <c r="C318" s="39" t="s">
        <v>1157</v>
      </c>
      <c r="D318" s="34" t="s">
        <v>6782</v>
      </c>
      <c r="E318" s="34" t="s">
        <v>6783</v>
      </c>
      <c r="F318" s="34">
        <v>1</v>
      </c>
      <c r="G318" s="34" t="b">
        <v>1</v>
      </c>
      <c r="H318" s="46">
        <v>2</v>
      </c>
      <c r="I318" s="46">
        <v>2</v>
      </c>
      <c r="J318" s="46">
        <v>0</v>
      </c>
      <c r="K318" s="46">
        <v>0</v>
      </c>
      <c r="L318" s="46">
        <v>0</v>
      </c>
      <c r="M318" s="52">
        <v>0</v>
      </c>
    </row>
    <row r="319" spans="1:13" ht="15.75" customHeight="1" x14ac:dyDescent="0.2">
      <c r="A319" s="46">
        <v>17405</v>
      </c>
      <c r="B319" s="46">
        <v>318</v>
      </c>
      <c r="C319" s="39" t="s">
        <v>1160</v>
      </c>
      <c r="D319" s="34" t="s">
        <v>6784</v>
      </c>
      <c r="E319" s="34" t="s">
        <v>6785</v>
      </c>
      <c r="F319" s="34">
        <v>1</v>
      </c>
      <c r="G319" s="34" t="b">
        <v>1</v>
      </c>
      <c r="H319" s="46">
        <v>3</v>
      </c>
      <c r="I319" s="46">
        <v>1</v>
      </c>
      <c r="J319" s="46">
        <v>2</v>
      </c>
      <c r="K319" s="46">
        <v>0</v>
      </c>
      <c r="L319" s="46">
        <v>0</v>
      </c>
      <c r="M319" s="52">
        <v>1</v>
      </c>
    </row>
    <row r="320" spans="1:13" ht="15.75" customHeight="1" x14ac:dyDescent="0.2">
      <c r="A320" s="46">
        <v>17406</v>
      </c>
      <c r="B320" s="46">
        <v>319</v>
      </c>
      <c r="C320" s="39" t="s">
        <v>1162</v>
      </c>
      <c r="D320" s="34" t="s">
        <v>6786</v>
      </c>
      <c r="E320" s="34" t="s">
        <v>6787</v>
      </c>
      <c r="F320" s="34">
        <v>1</v>
      </c>
      <c r="G320" s="34" t="b">
        <v>1</v>
      </c>
      <c r="H320" s="46">
        <v>4</v>
      </c>
      <c r="I320" s="46">
        <v>4</v>
      </c>
      <c r="J320" s="46">
        <v>0</v>
      </c>
      <c r="K320" s="46">
        <v>0</v>
      </c>
      <c r="L320" s="46">
        <v>0</v>
      </c>
      <c r="M320" s="52">
        <v>0</v>
      </c>
    </row>
    <row r="321" spans="1:13" ht="15.75" customHeight="1" x14ac:dyDescent="0.2">
      <c r="A321" s="46">
        <v>17406</v>
      </c>
      <c r="B321" s="46">
        <v>320</v>
      </c>
      <c r="C321" s="39" t="s">
        <v>1165</v>
      </c>
      <c r="D321" s="34" t="s">
        <v>6788</v>
      </c>
      <c r="E321" s="34" t="s">
        <v>6789</v>
      </c>
      <c r="F321" s="34">
        <v>1</v>
      </c>
      <c r="G321" s="34" t="b">
        <v>1</v>
      </c>
      <c r="H321" s="46">
        <v>3</v>
      </c>
      <c r="I321" s="46">
        <v>1</v>
      </c>
      <c r="J321" s="46">
        <v>2</v>
      </c>
      <c r="K321" s="46">
        <v>0</v>
      </c>
      <c r="L321" s="46">
        <v>0</v>
      </c>
      <c r="M321" s="52">
        <v>0</v>
      </c>
    </row>
    <row r="322" spans="1:13" ht="15.75" customHeight="1" x14ac:dyDescent="0.2">
      <c r="A322" s="46">
        <v>17406</v>
      </c>
      <c r="B322" s="46">
        <v>321</v>
      </c>
      <c r="C322" s="39" t="s">
        <v>1168</v>
      </c>
      <c r="D322" s="34" t="s">
        <v>6790</v>
      </c>
      <c r="E322" s="34" t="s">
        <v>6791</v>
      </c>
      <c r="F322" s="34">
        <v>1</v>
      </c>
      <c r="G322" s="34" t="b">
        <v>1</v>
      </c>
      <c r="H322" s="46">
        <v>4</v>
      </c>
      <c r="I322" s="46">
        <v>4</v>
      </c>
      <c r="J322" s="46">
        <v>0</v>
      </c>
      <c r="K322" s="46">
        <v>0</v>
      </c>
      <c r="L322" s="46">
        <v>0</v>
      </c>
      <c r="M322" s="52">
        <v>0</v>
      </c>
    </row>
    <row r="323" spans="1:13" ht="15.75" customHeight="1" x14ac:dyDescent="0.2">
      <c r="A323" s="46">
        <v>17406</v>
      </c>
      <c r="B323" s="46">
        <v>322</v>
      </c>
      <c r="C323" s="39" t="s">
        <v>1171</v>
      </c>
      <c r="D323" s="34" t="s">
        <v>6792</v>
      </c>
      <c r="E323" s="34" t="s">
        <v>6793</v>
      </c>
      <c r="F323" s="34">
        <v>1</v>
      </c>
      <c r="G323" s="34" t="b">
        <v>1</v>
      </c>
      <c r="H323" s="46">
        <v>3</v>
      </c>
      <c r="I323" s="46">
        <v>1</v>
      </c>
      <c r="J323" s="46">
        <v>2</v>
      </c>
      <c r="K323" s="46">
        <v>0</v>
      </c>
      <c r="L323" s="46">
        <v>0</v>
      </c>
      <c r="M323" s="52">
        <v>0</v>
      </c>
    </row>
    <row r="324" spans="1:13" ht="15.75" customHeight="1" x14ac:dyDescent="0.2">
      <c r="A324" s="46">
        <v>17406</v>
      </c>
      <c r="B324" s="46">
        <v>323</v>
      </c>
      <c r="C324" s="39" t="s">
        <v>1172</v>
      </c>
      <c r="D324" s="34" t="s">
        <v>6794</v>
      </c>
      <c r="E324" s="34" t="s">
        <v>6795</v>
      </c>
      <c r="F324" s="34">
        <v>1</v>
      </c>
      <c r="G324" s="34" t="b">
        <v>1</v>
      </c>
      <c r="H324" s="46">
        <v>3</v>
      </c>
      <c r="I324" s="46">
        <v>3</v>
      </c>
      <c r="J324" s="46">
        <v>0</v>
      </c>
      <c r="K324" s="46">
        <v>0</v>
      </c>
      <c r="L324" s="46">
        <v>0</v>
      </c>
      <c r="M324" s="52">
        <v>0</v>
      </c>
    </row>
    <row r="325" spans="1:13" ht="15.75" customHeight="1" x14ac:dyDescent="0.2">
      <c r="A325" s="46">
        <v>17407</v>
      </c>
      <c r="B325" s="46">
        <v>324</v>
      </c>
      <c r="C325" s="39" t="s">
        <v>1175</v>
      </c>
      <c r="D325" s="34" t="s">
        <v>6796</v>
      </c>
      <c r="E325" s="34" t="s">
        <v>6797</v>
      </c>
      <c r="F325" s="34">
        <v>1</v>
      </c>
      <c r="G325" s="34" t="b">
        <v>1</v>
      </c>
      <c r="H325" s="46">
        <v>1</v>
      </c>
      <c r="I325" s="46">
        <v>1</v>
      </c>
      <c r="J325" s="46">
        <v>0</v>
      </c>
      <c r="K325" s="46">
        <v>0</v>
      </c>
      <c r="L325" s="46">
        <v>0</v>
      </c>
      <c r="M325" s="52">
        <v>0</v>
      </c>
    </row>
    <row r="326" spans="1:13" ht="15.75" customHeight="1" x14ac:dyDescent="0.2">
      <c r="A326" s="46">
        <v>17407</v>
      </c>
      <c r="B326" s="46">
        <v>325</v>
      </c>
      <c r="C326" s="39" t="s">
        <v>1177</v>
      </c>
      <c r="D326" s="34" t="s">
        <v>6798</v>
      </c>
      <c r="E326" s="34" t="s">
        <v>6799</v>
      </c>
      <c r="F326" s="34">
        <v>1</v>
      </c>
      <c r="G326" s="34" t="b">
        <v>1</v>
      </c>
      <c r="H326" s="46">
        <v>1</v>
      </c>
      <c r="I326" s="46">
        <v>1</v>
      </c>
      <c r="J326" s="46">
        <v>0</v>
      </c>
      <c r="K326" s="46">
        <v>0</v>
      </c>
      <c r="L326" s="46">
        <v>0</v>
      </c>
      <c r="M326" s="52">
        <v>0</v>
      </c>
    </row>
    <row r="327" spans="1:13" ht="15.75" customHeight="1" x14ac:dyDescent="0.2">
      <c r="A327" s="46">
        <v>17407</v>
      </c>
      <c r="B327" s="46">
        <v>326</v>
      </c>
      <c r="C327" s="39" t="s">
        <v>1178</v>
      </c>
      <c r="D327" s="34" t="s">
        <v>6800</v>
      </c>
      <c r="E327" s="34" t="s">
        <v>6801</v>
      </c>
      <c r="F327" s="34">
        <v>1</v>
      </c>
      <c r="G327" s="34" t="b">
        <v>0</v>
      </c>
      <c r="H327" s="46">
        <v>2</v>
      </c>
      <c r="I327" s="46">
        <v>2</v>
      </c>
      <c r="J327" s="46"/>
      <c r="K327" s="46"/>
      <c r="L327" s="46"/>
      <c r="M327" s="52">
        <v>1</v>
      </c>
    </row>
    <row r="328" spans="1:13" ht="15.75" customHeight="1" x14ac:dyDescent="0.2">
      <c r="A328" s="46">
        <v>17407</v>
      </c>
      <c r="B328" s="46">
        <v>327</v>
      </c>
      <c r="C328" s="39" t="s">
        <v>1179</v>
      </c>
      <c r="D328" s="34" t="s">
        <v>6802</v>
      </c>
      <c r="E328" s="34" t="s">
        <v>6803</v>
      </c>
      <c r="F328" s="34">
        <v>1</v>
      </c>
      <c r="G328" s="34" t="b">
        <v>1</v>
      </c>
      <c r="H328" s="46">
        <v>1</v>
      </c>
      <c r="I328" s="46">
        <v>1</v>
      </c>
      <c r="J328" s="46">
        <v>0</v>
      </c>
      <c r="K328" s="46">
        <v>0</v>
      </c>
      <c r="L328" s="46">
        <v>0</v>
      </c>
      <c r="M328" s="52">
        <v>0</v>
      </c>
    </row>
    <row r="329" spans="1:13" ht="15.75" customHeight="1" x14ac:dyDescent="0.2">
      <c r="A329" s="46">
        <v>17407</v>
      </c>
      <c r="B329" s="46">
        <v>328</v>
      </c>
      <c r="C329" s="39" t="s">
        <v>1180</v>
      </c>
      <c r="D329" s="34" t="s">
        <v>6804</v>
      </c>
      <c r="E329" s="34" t="s">
        <v>6805</v>
      </c>
      <c r="F329" s="34">
        <v>1</v>
      </c>
      <c r="G329" s="34" t="b">
        <v>1</v>
      </c>
      <c r="H329" s="46">
        <v>2</v>
      </c>
      <c r="I329" s="46">
        <v>2</v>
      </c>
      <c r="J329" s="46">
        <v>0</v>
      </c>
      <c r="K329" s="46">
        <v>0</v>
      </c>
      <c r="L329" s="46">
        <v>0</v>
      </c>
      <c r="M329" s="52">
        <v>1</v>
      </c>
    </row>
    <row r="330" spans="1:13" ht="15.75" customHeight="1" x14ac:dyDescent="0.2">
      <c r="A330" s="46">
        <v>17407</v>
      </c>
      <c r="B330" s="46">
        <v>329</v>
      </c>
      <c r="C330" s="39" t="s">
        <v>1181</v>
      </c>
      <c r="D330" s="34" t="s">
        <v>6806</v>
      </c>
      <c r="E330" s="34" t="s">
        <v>6807</v>
      </c>
      <c r="F330" s="34">
        <v>1</v>
      </c>
      <c r="G330" s="34" t="b">
        <v>1</v>
      </c>
      <c r="H330" s="46">
        <v>4</v>
      </c>
      <c r="I330" s="46">
        <v>3</v>
      </c>
      <c r="J330" s="46">
        <v>0</v>
      </c>
      <c r="K330" s="46">
        <v>1</v>
      </c>
      <c r="L330" s="46">
        <v>0</v>
      </c>
      <c r="M330" s="52">
        <v>0</v>
      </c>
    </row>
    <row r="331" spans="1:13" ht="15.75" customHeight="1" x14ac:dyDescent="0.2">
      <c r="A331" s="46">
        <v>17407</v>
      </c>
      <c r="B331" s="46">
        <v>330</v>
      </c>
      <c r="C331" s="39" t="s">
        <v>1182</v>
      </c>
      <c r="D331" s="34" t="s">
        <v>6808</v>
      </c>
      <c r="E331" s="34" t="s">
        <v>6809</v>
      </c>
      <c r="F331" s="34">
        <v>1</v>
      </c>
      <c r="G331" s="34" t="b">
        <v>1</v>
      </c>
      <c r="H331" s="46">
        <v>1</v>
      </c>
      <c r="I331" s="46">
        <v>1</v>
      </c>
      <c r="J331" s="46">
        <v>0</v>
      </c>
      <c r="K331" s="46">
        <v>0</v>
      </c>
      <c r="L331" s="46">
        <v>0</v>
      </c>
      <c r="M331" s="52">
        <v>0</v>
      </c>
    </row>
    <row r="332" spans="1:13" ht="15.75" customHeight="1" x14ac:dyDescent="0.2">
      <c r="A332" s="46">
        <v>17407</v>
      </c>
      <c r="B332" s="46">
        <v>331</v>
      </c>
      <c r="C332" s="39" t="s">
        <v>1183</v>
      </c>
      <c r="D332" s="34" t="s">
        <v>6810</v>
      </c>
      <c r="E332" s="34" t="s">
        <v>6811</v>
      </c>
      <c r="F332" s="34">
        <v>1</v>
      </c>
      <c r="G332" s="34" t="b">
        <v>1</v>
      </c>
      <c r="H332" s="46">
        <v>1</v>
      </c>
      <c r="I332" s="46">
        <v>1</v>
      </c>
      <c r="J332" s="46">
        <v>0</v>
      </c>
      <c r="K332" s="46">
        <v>0</v>
      </c>
      <c r="L332" s="46">
        <v>0</v>
      </c>
      <c r="M332" s="52">
        <v>0</v>
      </c>
    </row>
    <row r="333" spans="1:13" ht="15.75" customHeight="1" x14ac:dyDescent="0.2">
      <c r="A333" s="46">
        <v>17407</v>
      </c>
      <c r="B333" s="46">
        <v>332</v>
      </c>
      <c r="C333" s="39" t="s">
        <v>1184</v>
      </c>
      <c r="D333" s="34" t="s">
        <v>6812</v>
      </c>
      <c r="E333" s="34" t="s">
        <v>6813</v>
      </c>
      <c r="F333" s="34">
        <v>1</v>
      </c>
      <c r="G333" s="34" t="b">
        <v>1</v>
      </c>
      <c r="H333" s="46">
        <v>1</v>
      </c>
      <c r="I333" s="46">
        <v>1</v>
      </c>
      <c r="J333" s="46">
        <v>0</v>
      </c>
      <c r="K333" s="46">
        <v>0</v>
      </c>
      <c r="L333" s="46">
        <v>0</v>
      </c>
      <c r="M333" s="52">
        <v>0</v>
      </c>
    </row>
    <row r="334" spans="1:13" ht="15.75" customHeight="1" x14ac:dyDescent="0.2">
      <c r="A334" s="46">
        <v>17407</v>
      </c>
      <c r="B334" s="46">
        <v>333</v>
      </c>
      <c r="C334" s="39" t="s">
        <v>1185</v>
      </c>
      <c r="D334" s="34" t="s">
        <v>6814</v>
      </c>
      <c r="E334" s="34" t="s">
        <v>6815</v>
      </c>
      <c r="F334" s="34">
        <v>1</v>
      </c>
      <c r="G334" s="34" t="b">
        <v>1</v>
      </c>
      <c r="H334" s="46">
        <v>3</v>
      </c>
      <c r="I334" s="46">
        <v>3</v>
      </c>
      <c r="J334" s="46">
        <v>0</v>
      </c>
      <c r="K334" s="46">
        <v>0</v>
      </c>
      <c r="L334" s="46">
        <v>0</v>
      </c>
      <c r="M334" s="52">
        <v>0</v>
      </c>
    </row>
    <row r="335" spans="1:13" ht="15.75" customHeight="1" x14ac:dyDescent="0.2">
      <c r="A335" s="46">
        <v>17407</v>
      </c>
      <c r="B335" s="46">
        <v>334</v>
      </c>
      <c r="C335" s="39" t="s">
        <v>1186</v>
      </c>
      <c r="D335" s="34" t="s">
        <v>6816</v>
      </c>
      <c r="E335" s="34" t="s">
        <v>6817</v>
      </c>
      <c r="F335" s="34">
        <v>1</v>
      </c>
      <c r="G335" s="34" t="b">
        <v>1</v>
      </c>
      <c r="H335" s="46">
        <v>1</v>
      </c>
      <c r="I335" s="46">
        <v>1</v>
      </c>
      <c r="J335" s="46">
        <v>0</v>
      </c>
      <c r="K335" s="46">
        <v>0</v>
      </c>
      <c r="L335" s="46">
        <v>0</v>
      </c>
      <c r="M335" s="52">
        <v>0</v>
      </c>
    </row>
    <row r="336" spans="1:13" ht="15.75" customHeight="1" x14ac:dyDescent="0.2">
      <c r="A336" s="46">
        <v>17408</v>
      </c>
      <c r="B336" s="46">
        <v>335</v>
      </c>
      <c r="C336" s="39" t="s">
        <v>1187</v>
      </c>
      <c r="D336" s="34" t="s">
        <v>6818</v>
      </c>
      <c r="E336" s="34" t="s">
        <v>6819</v>
      </c>
      <c r="F336" s="34">
        <v>1</v>
      </c>
      <c r="G336" s="34" t="b">
        <v>0</v>
      </c>
      <c r="H336" s="46">
        <v>3</v>
      </c>
      <c r="I336" s="46">
        <v>2</v>
      </c>
      <c r="J336" s="46"/>
      <c r="K336" s="46">
        <v>1</v>
      </c>
      <c r="L336" s="46"/>
      <c r="M336" s="52"/>
    </row>
    <row r="337" spans="1:13" ht="15.75" customHeight="1" x14ac:dyDescent="0.2">
      <c r="A337" s="46">
        <v>17408</v>
      </c>
      <c r="B337" s="46">
        <v>336</v>
      </c>
      <c r="C337" s="39" t="s">
        <v>1189</v>
      </c>
      <c r="D337" s="34" t="s">
        <v>6820</v>
      </c>
      <c r="E337" s="34" t="s">
        <v>6821</v>
      </c>
      <c r="F337" s="34">
        <v>1</v>
      </c>
      <c r="G337" s="34" t="b">
        <v>0</v>
      </c>
      <c r="H337" s="46">
        <v>3</v>
      </c>
      <c r="I337" s="46">
        <v>2</v>
      </c>
      <c r="J337" s="46"/>
      <c r="K337" s="46">
        <v>1</v>
      </c>
      <c r="L337" s="46"/>
      <c r="M337" s="52"/>
    </row>
    <row r="338" spans="1:13" ht="15.75" customHeight="1" x14ac:dyDescent="0.2">
      <c r="A338" s="46">
        <v>17408</v>
      </c>
      <c r="B338" s="46">
        <v>337</v>
      </c>
      <c r="C338" s="39" t="s">
        <v>1190</v>
      </c>
      <c r="D338" s="34" t="s">
        <v>6822</v>
      </c>
      <c r="E338" s="34" t="s">
        <v>6823</v>
      </c>
      <c r="F338" s="34">
        <v>1</v>
      </c>
      <c r="G338" s="34" t="b">
        <v>0</v>
      </c>
      <c r="H338" s="46">
        <v>3</v>
      </c>
      <c r="I338" s="46">
        <v>2</v>
      </c>
      <c r="J338" s="46"/>
      <c r="K338" s="46">
        <v>1</v>
      </c>
      <c r="L338" s="46"/>
      <c r="M338" s="52">
        <v>1</v>
      </c>
    </row>
    <row r="339" spans="1:13" ht="15.75" customHeight="1" x14ac:dyDescent="0.2">
      <c r="A339" s="46">
        <v>17409</v>
      </c>
      <c r="B339" s="46">
        <v>338</v>
      </c>
      <c r="C339" s="39" t="s">
        <v>1191</v>
      </c>
      <c r="D339" s="34" t="s">
        <v>6824</v>
      </c>
      <c r="E339" s="34" t="s">
        <v>6825</v>
      </c>
      <c r="F339" s="34">
        <v>1</v>
      </c>
      <c r="G339" s="34" t="b">
        <v>0</v>
      </c>
      <c r="H339" s="46">
        <v>4</v>
      </c>
      <c r="I339" s="46">
        <v>1</v>
      </c>
      <c r="J339" s="46">
        <v>2</v>
      </c>
      <c r="K339" s="46">
        <v>1</v>
      </c>
      <c r="L339" s="46">
        <v>0</v>
      </c>
      <c r="M339" s="52">
        <v>0</v>
      </c>
    </row>
    <row r="340" spans="1:13" ht="15.75" customHeight="1" x14ac:dyDescent="0.2">
      <c r="A340" s="46">
        <v>17409</v>
      </c>
      <c r="B340" s="46">
        <v>339</v>
      </c>
      <c r="C340" s="39" t="s">
        <v>1193</v>
      </c>
      <c r="D340" s="34" t="s">
        <v>6826</v>
      </c>
      <c r="E340" s="34" t="s">
        <v>6827</v>
      </c>
      <c r="F340" s="34">
        <v>1</v>
      </c>
      <c r="G340" s="34" t="b">
        <v>0</v>
      </c>
      <c r="H340" s="46">
        <v>2</v>
      </c>
      <c r="I340" s="46">
        <v>0</v>
      </c>
      <c r="J340" s="46">
        <v>1</v>
      </c>
      <c r="K340" s="46">
        <v>1</v>
      </c>
      <c r="L340" s="46">
        <v>0</v>
      </c>
      <c r="M340" s="52">
        <v>1</v>
      </c>
    </row>
    <row r="341" spans="1:13" ht="15.75" customHeight="1" x14ac:dyDescent="0.2">
      <c r="A341" s="46">
        <v>17409</v>
      </c>
      <c r="B341" s="46">
        <v>340</v>
      </c>
      <c r="C341" s="39" t="s">
        <v>1196</v>
      </c>
      <c r="D341" s="34" t="s">
        <v>6828</v>
      </c>
      <c r="E341" s="34" t="s">
        <v>6829</v>
      </c>
      <c r="F341" s="34">
        <v>1</v>
      </c>
      <c r="G341" s="34" t="b">
        <v>0</v>
      </c>
      <c r="H341" s="47">
        <v>3</v>
      </c>
      <c r="I341" s="47">
        <v>0</v>
      </c>
      <c r="J341" s="47">
        <v>1</v>
      </c>
      <c r="K341" s="47">
        <v>2</v>
      </c>
      <c r="L341" s="47">
        <v>0</v>
      </c>
      <c r="M341" s="52">
        <v>2</v>
      </c>
    </row>
    <row r="342" spans="1:13" ht="15.75" customHeight="1" x14ac:dyDescent="0.2">
      <c r="A342" s="46">
        <v>17410</v>
      </c>
      <c r="B342" s="46">
        <v>341</v>
      </c>
      <c r="C342" s="39" t="s">
        <v>1197</v>
      </c>
      <c r="D342" s="34" t="s">
        <v>6830</v>
      </c>
      <c r="E342" s="34" t="s">
        <v>6831</v>
      </c>
      <c r="F342" s="34">
        <v>1</v>
      </c>
      <c r="G342" s="34" t="b">
        <v>0</v>
      </c>
      <c r="H342" s="46">
        <v>4</v>
      </c>
      <c r="I342" s="46">
        <v>3</v>
      </c>
      <c r="J342" s="46">
        <v>0</v>
      </c>
      <c r="K342" s="46">
        <v>1</v>
      </c>
      <c r="L342" s="46">
        <v>0</v>
      </c>
      <c r="M342" s="52">
        <v>1</v>
      </c>
    </row>
    <row r="343" spans="1:13" ht="15.75" customHeight="1" x14ac:dyDescent="0.2">
      <c r="A343" s="46">
        <v>17412</v>
      </c>
      <c r="B343" s="46">
        <v>342</v>
      </c>
      <c r="C343" s="39" t="s">
        <v>1199</v>
      </c>
      <c r="D343" s="34" t="s">
        <v>6832</v>
      </c>
      <c r="E343" s="34" t="s">
        <v>6833</v>
      </c>
      <c r="F343" s="34">
        <v>1</v>
      </c>
      <c r="G343" s="34" t="b">
        <v>1</v>
      </c>
      <c r="H343" s="46">
        <v>1</v>
      </c>
      <c r="I343" s="46">
        <v>0</v>
      </c>
      <c r="J343" s="46">
        <v>0</v>
      </c>
      <c r="K343" s="46">
        <v>0</v>
      </c>
      <c r="L343" s="46">
        <v>1</v>
      </c>
      <c r="M343" s="52">
        <v>1</v>
      </c>
    </row>
    <row r="344" spans="1:13" ht="15.75" customHeight="1" x14ac:dyDescent="0.2">
      <c r="A344" s="46">
        <v>17415</v>
      </c>
      <c r="B344" s="46">
        <v>343</v>
      </c>
      <c r="C344" s="39" t="s">
        <v>1201</v>
      </c>
      <c r="D344" s="34" t="s">
        <v>5834</v>
      </c>
      <c r="E344" s="34" t="s">
        <v>6834</v>
      </c>
      <c r="F344" s="34">
        <v>1</v>
      </c>
      <c r="G344" s="34" t="b">
        <v>1</v>
      </c>
      <c r="H344" s="46">
        <v>1</v>
      </c>
      <c r="I344" s="46">
        <v>1</v>
      </c>
      <c r="J344" s="46">
        <v>0</v>
      </c>
      <c r="K344" s="46">
        <v>0</v>
      </c>
      <c r="L344" s="46">
        <v>0</v>
      </c>
      <c r="M344" s="52">
        <v>0</v>
      </c>
    </row>
    <row r="345" spans="1:13" ht="15.75" customHeight="1" x14ac:dyDescent="0.2">
      <c r="A345" s="46">
        <v>17416</v>
      </c>
      <c r="B345" s="46">
        <v>344</v>
      </c>
      <c r="C345" s="39" t="s">
        <v>1203</v>
      </c>
      <c r="D345" s="34" t="s">
        <v>6835</v>
      </c>
      <c r="E345" s="34" t="s">
        <v>6836</v>
      </c>
      <c r="F345" s="34">
        <v>1</v>
      </c>
      <c r="G345" s="34" t="b">
        <v>1</v>
      </c>
      <c r="H345" s="46">
        <v>1</v>
      </c>
      <c r="I345" s="46">
        <v>0</v>
      </c>
      <c r="J345" s="46">
        <v>0</v>
      </c>
      <c r="K345" s="46">
        <v>0</v>
      </c>
      <c r="L345" s="46">
        <v>1</v>
      </c>
      <c r="M345" s="52">
        <v>1</v>
      </c>
    </row>
    <row r="346" spans="1:13" ht="15.75" customHeight="1" x14ac:dyDescent="0.2">
      <c r="A346" s="46">
        <v>17417</v>
      </c>
      <c r="B346" s="46">
        <v>345</v>
      </c>
      <c r="C346" s="39" t="s">
        <v>1205</v>
      </c>
      <c r="D346" s="34" t="s">
        <v>6837</v>
      </c>
      <c r="E346" s="34" t="s">
        <v>6838</v>
      </c>
      <c r="F346" s="34">
        <v>1</v>
      </c>
      <c r="G346" s="34" t="b">
        <v>0</v>
      </c>
      <c r="H346" s="46">
        <v>1</v>
      </c>
      <c r="I346" s="46">
        <v>1</v>
      </c>
      <c r="J346" s="46"/>
      <c r="K346" s="46"/>
      <c r="L346" s="46"/>
      <c r="M346" s="52">
        <v>1</v>
      </c>
    </row>
    <row r="347" spans="1:13" ht="15.75" customHeight="1" x14ac:dyDescent="0.2">
      <c r="A347" s="46">
        <v>17417</v>
      </c>
      <c r="B347" s="46">
        <v>346</v>
      </c>
      <c r="C347" s="39" t="s">
        <v>1208</v>
      </c>
      <c r="D347" s="34" t="s">
        <v>6839</v>
      </c>
      <c r="E347" s="34" t="s">
        <v>6840</v>
      </c>
      <c r="F347" s="34">
        <v>1</v>
      </c>
      <c r="G347" s="34" t="b">
        <v>0</v>
      </c>
      <c r="H347" s="46">
        <v>5</v>
      </c>
      <c r="I347" s="46"/>
      <c r="J347" s="46">
        <v>5</v>
      </c>
      <c r="K347" s="46"/>
      <c r="L347" s="46"/>
      <c r="M347" s="52">
        <v>1</v>
      </c>
    </row>
    <row r="348" spans="1:13" ht="15.75" customHeight="1" x14ac:dyDescent="0.2">
      <c r="A348" s="46">
        <v>17418</v>
      </c>
      <c r="B348" s="46">
        <v>347</v>
      </c>
      <c r="C348" s="39" t="s">
        <v>1210</v>
      </c>
      <c r="D348" s="34" t="s">
        <v>6841</v>
      </c>
      <c r="E348" s="34" t="s">
        <v>6842</v>
      </c>
      <c r="F348" s="34">
        <v>1</v>
      </c>
      <c r="G348" s="34" t="b">
        <v>1</v>
      </c>
      <c r="H348" s="46">
        <v>1</v>
      </c>
      <c r="I348" s="46">
        <v>1</v>
      </c>
      <c r="J348" s="46">
        <v>0</v>
      </c>
      <c r="K348" s="46">
        <v>0</v>
      </c>
      <c r="L348" s="46">
        <v>0</v>
      </c>
      <c r="M348" s="52">
        <v>0</v>
      </c>
    </row>
    <row r="349" spans="1:13" ht="15.75" customHeight="1" x14ac:dyDescent="0.2">
      <c r="A349" s="46">
        <v>17418</v>
      </c>
      <c r="B349" s="46">
        <v>348</v>
      </c>
      <c r="C349" s="39" t="s">
        <v>1212</v>
      </c>
      <c r="D349" s="34" t="s">
        <v>6843</v>
      </c>
      <c r="E349" s="34" t="s">
        <v>6844</v>
      </c>
      <c r="F349" s="34">
        <v>1</v>
      </c>
      <c r="G349" s="34" t="b">
        <v>1</v>
      </c>
      <c r="H349" s="46">
        <v>1</v>
      </c>
      <c r="I349" s="46">
        <v>1</v>
      </c>
      <c r="J349" s="46">
        <v>0</v>
      </c>
      <c r="K349" s="46">
        <v>0</v>
      </c>
      <c r="L349" s="46">
        <v>0</v>
      </c>
      <c r="M349" s="52">
        <v>0</v>
      </c>
    </row>
    <row r="350" spans="1:13" ht="15.75" customHeight="1" x14ac:dyDescent="0.2">
      <c r="A350" s="46">
        <v>17418</v>
      </c>
      <c r="B350" s="46">
        <v>349</v>
      </c>
      <c r="C350" s="39" t="s">
        <v>1213</v>
      </c>
      <c r="D350" s="34" t="s">
        <v>5906</v>
      </c>
      <c r="E350" s="34" t="s">
        <v>6845</v>
      </c>
      <c r="F350" s="34">
        <v>1</v>
      </c>
      <c r="G350" s="34" t="b">
        <v>1</v>
      </c>
      <c r="H350" s="46">
        <v>1</v>
      </c>
      <c r="I350" s="46">
        <v>1</v>
      </c>
      <c r="J350" s="46">
        <v>0</v>
      </c>
      <c r="K350" s="46">
        <v>0</v>
      </c>
      <c r="L350" s="46">
        <v>0</v>
      </c>
      <c r="M350" s="52">
        <v>0</v>
      </c>
    </row>
    <row r="351" spans="1:13" ht="15.75" customHeight="1" x14ac:dyDescent="0.2">
      <c r="A351" s="46">
        <v>17418</v>
      </c>
      <c r="B351" s="46">
        <v>350</v>
      </c>
      <c r="C351" s="39" t="s">
        <v>1214</v>
      </c>
      <c r="D351" s="34" t="s">
        <v>6841</v>
      </c>
      <c r="E351" s="34" t="s">
        <v>6846</v>
      </c>
      <c r="F351" s="34">
        <v>1</v>
      </c>
      <c r="G351" s="34" t="b">
        <v>1</v>
      </c>
      <c r="H351" s="46">
        <v>1</v>
      </c>
      <c r="I351" s="46">
        <v>1</v>
      </c>
      <c r="J351" s="46">
        <v>0</v>
      </c>
      <c r="K351" s="46">
        <v>0</v>
      </c>
      <c r="L351" s="46">
        <v>0</v>
      </c>
      <c r="M351" s="52">
        <v>0</v>
      </c>
    </row>
    <row r="352" spans="1:13" ht="15.75" customHeight="1" x14ac:dyDescent="0.2">
      <c r="A352" s="46">
        <v>17418</v>
      </c>
      <c r="B352" s="46">
        <v>351</v>
      </c>
      <c r="C352" s="39" t="s">
        <v>1215</v>
      </c>
      <c r="D352" s="34" t="s">
        <v>6847</v>
      </c>
      <c r="E352" s="34" t="s">
        <v>6848</v>
      </c>
      <c r="F352" s="34">
        <v>1</v>
      </c>
      <c r="G352" s="34" t="b">
        <v>1</v>
      </c>
      <c r="H352" s="46">
        <v>1</v>
      </c>
      <c r="I352" s="46">
        <v>1</v>
      </c>
      <c r="J352" s="46">
        <v>0</v>
      </c>
      <c r="K352" s="46">
        <v>0</v>
      </c>
      <c r="L352" s="46">
        <v>0</v>
      </c>
      <c r="M352" s="52">
        <v>0</v>
      </c>
    </row>
    <row r="353" spans="1:13" ht="15.75" customHeight="1" x14ac:dyDescent="0.2">
      <c r="A353" s="46">
        <v>17418</v>
      </c>
      <c r="B353" s="46">
        <v>352</v>
      </c>
      <c r="C353" s="39" t="s">
        <v>1216</v>
      </c>
      <c r="D353" s="34" t="s">
        <v>5880</v>
      </c>
      <c r="E353" s="34" t="s">
        <v>6849</v>
      </c>
      <c r="F353" s="34">
        <v>1</v>
      </c>
      <c r="G353" s="34" t="b">
        <v>1</v>
      </c>
      <c r="H353" s="46">
        <v>1</v>
      </c>
      <c r="I353" s="46">
        <v>1</v>
      </c>
      <c r="J353" s="46">
        <v>0</v>
      </c>
      <c r="K353" s="46">
        <v>0</v>
      </c>
      <c r="L353" s="46">
        <v>0</v>
      </c>
      <c r="M353" s="52">
        <v>0</v>
      </c>
    </row>
    <row r="354" spans="1:13" ht="15.75" customHeight="1" x14ac:dyDescent="0.2">
      <c r="A354" s="46">
        <v>17418</v>
      </c>
      <c r="B354" s="46">
        <v>353</v>
      </c>
      <c r="C354" s="39" t="s">
        <v>1217</v>
      </c>
      <c r="D354" s="34" t="s">
        <v>6850</v>
      </c>
      <c r="E354" s="34" t="s">
        <v>6851</v>
      </c>
      <c r="F354" s="34">
        <v>1</v>
      </c>
      <c r="G354" s="34" t="b">
        <v>1</v>
      </c>
      <c r="H354" s="46">
        <v>1</v>
      </c>
      <c r="I354" s="46">
        <v>1</v>
      </c>
      <c r="J354" s="46">
        <v>0</v>
      </c>
      <c r="K354" s="46">
        <v>0</v>
      </c>
      <c r="L354" s="46">
        <v>0</v>
      </c>
      <c r="M354" s="52">
        <v>0</v>
      </c>
    </row>
    <row r="355" spans="1:13" ht="15.75" customHeight="1" x14ac:dyDescent="0.2">
      <c r="A355" s="46">
        <v>17420</v>
      </c>
      <c r="B355" s="46">
        <v>354</v>
      </c>
      <c r="C355" s="39" t="s">
        <v>1218</v>
      </c>
      <c r="D355" s="34" t="s">
        <v>6852</v>
      </c>
      <c r="E355" s="34" t="s">
        <v>6853</v>
      </c>
      <c r="F355" s="34">
        <v>1</v>
      </c>
      <c r="G355" s="34" t="b">
        <v>1</v>
      </c>
      <c r="H355" s="46">
        <v>3</v>
      </c>
      <c r="I355" s="46">
        <v>3</v>
      </c>
      <c r="J355" s="46">
        <v>0</v>
      </c>
      <c r="K355" s="46">
        <v>0</v>
      </c>
      <c r="L355" s="46">
        <v>0</v>
      </c>
      <c r="M355" s="52">
        <v>0</v>
      </c>
    </row>
    <row r="356" spans="1:13" ht="15.75" customHeight="1" x14ac:dyDescent="0.2">
      <c r="A356" s="46">
        <v>17420</v>
      </c>
      <c r="B356" s="46">
        <v>355</v>
      </c>
      <c r="C356" s="39" t="s">
        <v>1220</v>
      </c>
      <c r="D356" s="34" t="s">
        <v>6854</v>
      </c>
      <c r="E356" s="34" t="s">
        <v>6855</v>
      </c>
      <c r="F356" s="34">
        <v>1</v>
      </c>
      <c r="G356" s="34" t="b">
        <v>1</v>
      </c>
      <c r="H356" s="46">
        <v>2</v>
      </c>
      <c r="I356" s="46">
        <v>2</v>
      </c>
      <c r="J356" s="46">
        <v>0</v>
      </c>
      <c r="K356" s="46">
        <v>0</v>
      </c>
      <c r="L356" s="46">
        <v>0</v>
      </c>
      <c r="M356" s="52">
        <v>0</v>
      </c>
    </row>
    <row r="357" spans="1:13" ht="15.75" customHeight="1" x14ac:dyDescent="0.2">
      <c r="A357" s="46">
        <v>17420</v>
      </c>
      <c r="B357" s="46">
        <v>356</v>
      </c>
      <c r="C357" s="39" t="s">
        <v>1221</v>
      </c>
      <c r="D357" s="34" t="s">
        <v>6856</v>
      </c>
      <c r="E357" s="34" t="s">
        <v>6857</v>
      </c>
      <c r="F357" s="34">
        <v>1</v>
      </c>
      <c r="G357" s="34" t="b">
        <v>1</v>
      </c>
      <c r="H357" s="46">
        <v>2</v>
      </c>
      <c r="I357" s="46">
        <v>2</v>
      </c>
      <c r="J357" s="46">
        <v>0</v>
      </c>
      <c r="K357" s="46">
        <v>0</v>
      </c>
      <c r="L357" s="46">
        <v>0</v>
      </c>
      <c r="M357" s="52">
        <v>1</v>
      </c>
    </row>
    <row r="358" spans="1:13" ht="15.75" customHeight="1" x14ac:dyDescent="0.2">
      <c r="A358" s="46">
        <v>17420</v>
      </c>
      <c r="B358" s="46">
        <v>357</v>
      </c>
      <c r="C358" s="39" t="s">
        <v>1222</v>
      </c>
      <c r="D358" s="34" t="s">
        <v>6858</v>
      </c>
      <c r="E358" s="34" t="s">
        <v>6859</v>
      </c>
      <c r="F358" s="34">
        <v>1</v>
      </c>
      <c r="G358" s="34" t="b">
        <v>1</v>
      </c>
      <c r="H358" s="46">
        <v>5</v>
      </c>
      <c r="I358" s="46">
        <v>5</v>
      </c>
      <c r="J358" s="46">
        <v>0</v>
      </c>
      <c r="K358" s="46">
        <v>0</v>
      </c>
      <c r="L358" s="46">
        <v>0</v>
      </c>
      <c r="M358" s="52">
        <v>0</v>
      </c>
    </row>
    <row r="359" spans="1:13" ht="15.75" customHeight="1" x14ac:dyDescent="0.2">
      <c r="A359" s="46">
        <v>17420</v>
      </c>
      <c r="B359" s="46">
        <v>358</v>
      </c>
      <c r="C359" s="39" t="s">
        <v>1223</v>
      </c>
      <c r="D359" s="34" t="s">
        <v>6860</v>
      </c>
      <c r="E359" s="34" t="s">
        <v>6861</v>
      </c>
      <c r="F359" s="34">
        <v>1</v>
      </c>
      <c r="G359" s="34" t="b">
        <v>1</v>
      </c>
      <c r="H359" s="46">
        <v>2</v>
      </c>
      <c r="I359" s="46">
        <v>2</v>
      </c>
      <c r="J359" s="46">
        <v>0</v>
      </c>
      <c r="K359" s="46">
        <v>0</v>
      </c>
      <c r="L359" s="46">
        <v>0</v>
      </c>
      <c r="M359" s="52">
        <v>0</v>
      </c>
    </row>
    <row r="360" spans="1:13" ht="15.75" customHeight="1" x14ac:dyDescent="0.2">
      <c r="A360" s="46">
        <v>17420</v>
      </c>
      <c r="B360" s="46">
        <v>359</v>
      </c>
      <c r="C360" s="39" t="s">
        <v>1224</v>
      </c>
      <c r="D360" s="34" t="s">
        <v>6862</v>
      </c>
      <c r="E360" s="34" t="s">
        <v>6863</v>
      </c>
      <c r="F360" s="34">
        <v>1</v>
      </c>
      <c r="G360" s="34" t="b">
        <v>1</v>
      </c>
      <c r="H360" s="46">
        <v>5</v>
      </c>
      <c r="I360" s="46">
        <v>4</v>
      </c>
      <c r="J360" s="46">
        <v>0</v>
      </c>
      <c r="K360" s="46">
        <v>1</v>
      </c>
      <c r="L360" s="46">
        <v>0</v>
      </c>
      <c r="M360" s="52">
        <v>1</v>
      </c>
    </row>
    <row r="361" spans="1:13" ht="15.75" customHeight="1" x14ac:dyDescent="0.2">
      <c r="A361" s="46">
        <v>17420</v>
      </c>
      <c r="B361" s="46">
        <v>360</v>
      </c>
      <c r="C361" s="39" t="s">
        <v>1225</v>
      </c>
      <c r="D361" s="34" t="s">
        <v>6864</v>
      </c>
      <c r="E361" s="34" t="s">
        <v>6865</v>
      </c>
      <c r="F361" s="34">
        <v>1</v>
      </c>
      <c r="G361" s="34" t="b">
        <v>1</v>
      </c>
      <c r="H361" s="46">
        <v>2</v>
      </c>
      <c r="I361" s="46">
        <v>1</v>
      </c>
      <c r="J361" s="46">
        <v>0</v>
      </c>
      <c r="K361" s="46">
        <v>1</v>
      </c>
      <c r="L361" s="46">
        <v>0</v>
      </c>
      <c r="M361" s="52">
        <v>0</v>
      </c>
    </row>
    <row r="362" spans="1:13" ht="15.75" customHeight="1" x14ac:dyDescent="0.2">
      <c r="A362" s="46">
        <v>17421</v>
      </c>
      <c r="B362" s="46">
        <v>361</v>
      </c>
      <c r="C362" s="39" t="s">
        <v>1226</v>
      </c>
      <c r="D362" s="34" t="s">
        <v>6866</v>
      </c>
      <c r="E362" s="34" t="s">
        <v>6867</v>
      </c>
      <c r="F362" s="34">
        <v>1</v>
      </c>
      <c r="G362" s="34" t="b">
        <v>0</v>
      </c>
      <c r="H362" s="46">
        <v>4</v>
      </c>
      <c r="I362" s="46"/>
      <c r="J362" s="46">
        <v>2</v>
      </c>
      <c r="K362" s="46">
        <v>2</v>
      </c>
      <c r="L362" s="46"/>
      <c r="M362" s="52">
        <v>2</v>
      </c>
    </row>
    <row r="363" spans="1:13" ht="15.75" customHeight="1" x14ac:dyDescent="0.2">
      <c r="A363" s="46">
        <v>17421</v>
      </c>
      <c r="B363" s="46">
        <v>362</v>
      </c>
      <c r="C363" s="39" t="s">
        <v>1228</v>
      </c>
      <c r="D363" s="34" t="s">
        <v>6868</v>
      </c>
      <c r="E363" s="34" t="s">
        <v>6869</v>
      </c>
      <c r="F363" s="34">
        <v>1</v>
      </c>
      <c r="G363" s="34" t="b">
        <v>0</v>
      </c>
      <c r="H363" s="46">
        <v>2</v>
      </c>
      <c r="I363" s="46"/>
      <c r="J363" s="46">
        <v>2</v>
      </c>
      <c r="K363" s="46"/>
      <c r="L363" s="46"/>
      <c r="M363" s="52">
        <v>1</v>
      </c>
    </row>
    <row r="364" spans="1:13" ht="15.75" customHeight="1" x14ac:dyDescent="0.2">
      <c r="A364" s="46">
        <v>17421</v>
      </c>
      <c r="B364" s="46">
        <v>363</v>
      </c>
      <c r="C364" s="39" t="s">
        <v>1231</v>
      </c>
      <c r="D364" s="34" t="s">
        <v>6870</v>
      </c>
      <c r="E364" s="34" t="s">
        <v>6871</v>
      </c>
      <c r="F364" s="34">
        <v>1</v>
      </c>
      <c r="G364" s="34" t="b">
        <v>1</v>
      </c>
      <c r="H364" s="46">
        <v>2</v>
      </c>
      <c r="I364" s="46">
        <v>2</v>
      </c>
      <c r="J364" s="46"/>
      <c r="K364" s="46">
        <v>0</v>
      </c>
      <c r="L364" s="46">
        <v>0</v>
      </c>
      <c r="M364" s="52">
        <v>1</v>
      </c>
    </row>
    <row r="365" spans="1:13" ht="15.75" customHeight="1" x14ac:dyDescent="0.2">
      <c r="A365" s="46">
        <v>17421</v>
      </c>
      <c r="B365" s="46">
        <v>364</v>
      </c>
      <c r="C365" s="39" t="s">
        <v>1234</v>
      </c>
      <c r="D365" s="34" t="s">
        <v>6872</v>
      </c>
      <c r="E365" s="34" t="s">
        <v>6873</v>
      </c>
      <c r="F365" s="34">
        <v>1</v>
      </c>
      <c r="G365" s="34" t="b">
        <v>1</v>
      </c>
      <c r="H365" s="46">
        <v>2</v>
      </c>
      <c r="I365" s="46">
        <v>2</v>
      </c>
      <c r="J365" s="46">
        <v>0</v>
      </c>
      <c r="K365" s="46">
        <v>0</v>
      </c>
      <c r="L365" s="46">
        <v>0</v>
      </c>
      <c r="M365" s="52">
        <v>0</v>
      </c>
    </row>
    <row r="366" spans="1:13" ht="15.75" customHeight="1" x14ac:dyDescent="0.2">
      <c r="A366" s="46">
        <v>17422</v>
      </c>
      <c r="B366" s="46">
        <v>365</v>
      </c>
      <c r="C366" s="39" t="s">
        <v>1235</v>
      </c>
      <c r="D366" s="34" t="s">
        <v>6874</v>
      </c>
      <c r="E366" s="34" t="s">
        <v>6875</v>
      </c>
      <c r="F366" s="34">
        <v>1</v>
      </c>
      <c r="G366" s="34" t="b">
        <v>1</v>
      </c>
      <c r="H366" s="46">
        <v>2</v>
      </c>
      <c r="I366" s="46">
        <v>1</v>
      </c>
      <c r="J366" s="46">
        <v>1</v>
      </c>
      <c r="K366" s="46">
        <v>0</v>
      </c>
      <c r="L366" s="46">
        <v>0</v>
      </c>
      <c r="M366" s="52">
        <v>0</v>
      </c>
    </row>
    <row r="367" spans="1:13" ht="15.75" customHeight="1" x14ac:dyDescent="0.2">
      <c r="A367" s="46">
        <v>17422</v>
      </c>
      <c r="B367" s="46">
        <v>366</v>
      </c>
      <c r="C367" s="39" t="s">
        <v>1237</v>
      </c>
      <c r="D367" s="34" t="s">
        <v>6876</v>
      </c>
      <c r="E367" s="34" t="s">
        <v>6877</v>
      </c>
      <c r="F367" s="34">
        <v>1</v>
      </c>
      <c r="G367" s="34" t="b">
        <v>1</v>
      </c>
      <c r="H367" s="46">
        <v>1</v>
      </c>
      <c r="I367" s="46">
        <v>1</v>
      </c>
      <c r="J367" s="46">
        <v>0</v>
      </c>
      <c r="K367" s="46">
        <v>0</v>
      </c>
      <c r="L367" s="46">
        <v>0</v>
      </c>
      <c r="M367" s="52">
        <v>0</v>
      </c>
    </row>
    <row r="368" spans="1:13" ht="15.75" customHeight="1" x14ac:dyDescent="0.2">
      <c r="A368" s="49"/>
      <c r="B368" s="49"/>
      <c r="C368" s="39"/>
      <c r="D368" s="39"/>
      <c r="E368" s="39"/>
      <c r="G368" s="34"/>
      <c r="H368" s="49"/>
      <c r="I368" s="49"/>
      <c r="J368" s="49"/>
      <c r="K368" s="49"/>
      <c r="L368" s="49"/>
      <c r="M368" s="52"/>
    </row>
    <row r="369" spans="1:13" ht="15.75" customHeight="1" x14ac:dyDescent="0.2">
      <c r="A369" s="49"/>
      <c r="B369" s="49"/>
      <c r="C369" s="39"/>
      <c r="D369" s="39"/>
      <c r="E369" s="39"/>
      <c r="G369" s="34"/>
      <c r="H369" s="49"/>
      <c r="I369" s="49"/>
      <c r="J369" s="49"/>
      <c r="K369" s="49"/>
      <c r="L369" s="49"/>
      <c r="M369" s="52"/>
    </row>
    <row r="370" spans="1:13" ht="15.75" customHeight="1" x14ac:dyDescent="0.2">
      <c r="A370" s="49"/>
      <c r="B370" s="49"/>
      <c r="C370" s="39"/>
      <c r="D370" s="39"/>
      <c r="E370" s="39"/>
      <c r="G370" s="34"/>
      <c r="H370" s="49"/>
      <c r="I370" s="49"/>
      <c r="J370" s="49"/>
      <c r="K370" s="49"/>
      <c r="L370" s="49"/>
      <c r="M370" s="52"/>
    </row>
    <row r="371" spans="1:13" ht="15.75" customHeight="1" x14ac:dyDescent="0.2">
      <c r="A371" s="49"/>
      <c r="B371" s="49"/>
      <c r="C371" s="39"/>
      <c r="D371" s="39"/>
      <c r="E371" s="39"/>
      <c r="G371" s="34"/>
      <c r="H371" s="49"/>
      <c r="I371" s="49"/>
      <c r="J371" s="49"/>
      <c r="K371" s="49"/>
      <c r="L371" s="49"/>
      <c r="M371" s="52"/>
    </row>
    <row r="372" spans="1:13" ht="15.75" customHeight="1" x14ac:dyDescent="0.2">
      <c r="A372" s="49"/>
      <c r="B372" s="49"/>
      <c r="C372" s="39"/>
      <c r="D372" s="39"/>
      <c r="E372" s="39"/>
      <c r="G372" s="34"/>
      <c r="H372" s="49"/>
      <c r="I372" s="49"/>
      <c r="J372" s="49"/>
      <c r="K372" s="49"/>
      <c r="L372" s="49"/>
      <c r="M372" s="52"/>
    </row>
    <row r="373" spans="1:13" ht="15.75" customHeight="1" x14ac:dyDescent="0.2">
      <c r="A373" s="49"/>
      <c r="B373" s="49"/>
      <c r="C373" s="39"/>
      <c r="D373" s="39"/>
      <c r="E373" s="39"/>
      <c r="G373" s="34"/>
      <c r="H373" s="49"/>
      <c r="I373" s="49"/>
      <c r="J373" s="49"/>
      <c r="K373" s="49"/>
      <c r="L373" s="49"/>
      <c r="M373" s="52"/>
    </row>
    <row r="374" spans="1:13" ht="15.75" customHeight="1" x14ac:dyDescent="0.2">
      <c r="A374" s="49"/>
      <c r="B374" s="49"/>
      <c r="C374" s="39"/>
      <c r="D374" s="39"/>
      <c r="E374" s="39"/>
      <c r="G374" s="34"/>
      <c r="H374" s="49"/>
      <c r="I374" s="49"/>
      <c r="J374" s="49"/>
      <c r="K374" s="49"/>
      <c r="L374" s="49"/>
      <c r="M374" s="52"/>
    </row>
    <row r="375" spans="1:13" ht="15.75" customHeight="1" x14ac:dyDescent="0.2">
      <c r="A375" s="49"/>
      <c r="B375" s="49"/>
      <c r="C375" s="39"/>
      <c r="D375" s="39"/>
      <c r="E375" s="39"/>
      <c r="G375" s="34"/>
      <c r="H375" s="49"/>
      <c r="I375" s="49"/>
      <c r="J375" s="49"/>
      <c r="K375" s="49"/>
      <c r="L375" s="49"/>
      <c r="M375" s="52"/>
    </row>
    <row r="376" spans="1:13" ht="15.75" customHeight="1" x14ac:dyDescent="0.2">
      <c r="A376" s="49"/>
      <c r="B376" s="49"/>
      <c r="C376" s="39"/>
      <c r="D376" s="39"/>
      <c r="E376" s="39"/>
      <c r="G376" s="34"/>
      <c r="H376" s="49"/>
      <c r="I376" s="49"/>
      <c r="J376" s="49"/>
      <c r="K376" s="49"/>
      <c r="L376" s="49"/>
      <c r="M376" s="52"/>
    </row>
    <row r="377" spans="1:13" ht="15.75" customHeight="1" x14ac:dyDescent="0.2">
      <c r="A377" s="49"/>
      <c r="B377" s="49"/>
      <c r="C377" s="39"/>
      <c r="D377" s="39"/>
      <c r="E377" s="39"/>
      <c r="G377" s="34"/>
      <c r="H377" s="49"/>
      <c r="I377" s="49"/>
      <c r="J377" s="49"/>
      <c r="K377" s="49"/>
      <c r="L377" s="49"/>
      <c r="M377" s="52"/>
    </row>
    <row r="378" spans="1:13" ht="15.75" customHeight="1" x14ac:dyDescent="0.2">
      <c r="A378" s="49"/>
      <c r="B378" s="49"/>
      <c r="C378" s="39"/>
      <c r="D378" s="39"/>
      <c r="E378" s="39"/>
      <c r="G378" s="34"/>
      <c r="H378" s="49"/>
      <c r="I378" s="49"/>
      <c r="J378" s="49"/>
      <c r="K378" s="49"/>
      <c r="L378" s="49"/>
      <c r="M378" s="52"/>
    </row>
    <row r="379" spans="1:13" ht="15.75" customHeight="1" x14ac:dyDescent="0.2">
      <c r="A379" s="49"/>
      <c r="B379" s="49"/>
      <c r="C379" s="39"/>
      <c r="D379" s="39"/>
      <c r="E379" s="39"/>
      <c r="G379" s="34"/>
      <c r="H379" s="49"/>
      <c r="I379" s="49"/>
      <c r="J379" s="49"/>
      <c r="K379" s="49"/>
      <c r="L379" s="49"/>
      <c r="M379" s="52"/>
    </row>
    <row r="380" spans="1:13" ht="15.75" customHeight="1" x14ac:dyDescent="0.2">
      <c r="A380" s="49"/>
      <c r="B380" s="49"/>
      <c r="C380" s="39"/>
      <c r="D380" s="39"/>
      <c r="E380" s="39"/>
      <c r="G380" s="34"/>
      <c r="H380" s="49"/>
      <c r="I380" s="49"/>
      <c r="J380" s="49"/>
      <c r="K380" s="49"/>
      <c r="L380" s="49"/>
      <c r="M380" s="52"/>
    </row>
    <row r="381" spans="1:13" ht="15.75" customHeight="1" x14ac:dyDescent="0.2">
      <c r="A381" s="49"/>
      <c r="B381" s="49"/>
      <c r="C381" s="39"/>
      <c r="D381" s="39"/>
      <c r="E381" s="39"/>
      <c r="G381" s="34"/>
      <c r="H381" s="49"/>
      <c r="I381" s="49"/>
      <c r="J381" s="49"/>
      <c r="K381" s="49"/>
      <c r="L381" s="49"/>
      <c r="M381" s="52"/>
    </row>
    <row r="382" spans="1:13" ht="15.75" customHeight="1" x14ac:dyDescent="0.2">
      <c r="A382" s="49"/>
      <c r="B382" s="49"/>
      <c r="C382" s="39"/>
      <c r="D382" s="39"/>
      <c r="E382" s="39"/>
      <c r="G382" s="34"/>
      <c r="H382" s="49"/>
      <c r="I382" s="49"/>
      <c r="J382" s="49"/>
      <c r="K382" s="49"/>
      <c r="L382" s="49"/>
      <c r="M382" s="52"/>
    </row>
    <row r="383" spans="1:13" ht="15.75" customHeight="1" x14ac:dyDescent="0.2">
      <c r="A383" s="49"/>
      <c r="B383" s="49"/>
      <c r="C383" s="39"/>
      <c r="D383" s="39"/>
      <c r="E383" s="39"/>
      <c r="G383" s="34"/>
      <c r="H383" s="49"/>
      <c r="I383" s="49"/>
      <c r="J383" s="49"/>
      <c r="K383" s="49"/>
      <c r="L383" s="49"/>
      <c r="M383" s="52"/>
    </row>
    <row r="384" spans="1:13" ht="15.75" customHeight="1" x14ac:dyDescent="0.2">
      <c r="A384" s="49"/>
      <c r="B384" s="49"/>
      <c r="C384" s="39"/>
      <c r="D384" s="39"/>
      <c r="E384" s="39"/>
      <c r="G384" s="34"/>
      <c r="H384" s="49"/>
      <c r="I384" s="49"/>
      <c r="J384" s="49"/>
      <c r="K384" s="49"/>
      <c r="L384" s="49"/>
      <c r="M384" s="52"/>
    </row>
    <row r="385" spans="1:13" ht="15.75" customHeight="1" x14ac:dyDescent="0.2">
      <c r="A385" s="49"/>
      <c r="B385" s="49"/>
      <c r="C385" s="39"/>
      <c r="D385" s="39"/>
      <c r="E385" s="39"/>
      <c r="G385" s="34"/>
      <c r="H385" s="49"/>
      <c r="I385" s="49"/>
      <c r="J385" s="49"/>
      <c r="K385" s="49"/>
      <c r="L385" s="49"/>
      <c r="M385" s="52"/>
    </row>
    <row r="386" spans="1:13" ht="15.75" customHeight="1" x14ac:dyDescent="0.2">
      <c r="A386" s="49"/>
      <c r="B386" s="49"/>
      <c r="C386" s="39"/>
      <c r="D386" s="39"/>
      <c r="E386" s="39"/>
      <c r="G386" s="34"/>
      <c r="H386" s="49"/>
      <c r="I386" s="49"/>
      <c r="J386" s="49"/>
      <c r="K386" s="49"/>
      <c r="L386" s="49"/>
      <c r="M386" s="52"/>
    </row>
    <row r="387" spans="1:13" ht="15.75" customHeight="1" x14ac:dyDescent="0.2">
      <c r="A387" s="49"/>
      <c r="B387" s="49"/>
      <c r="C387" s="39"/>
      <c r="D387" s="39"/>
      <c r="E387" s="39"/>
      <c r="G387" s="34"/>
      <c r="H387" s="49"/>
      <c r="I387" s="49"/>
      <c r="J387" s="49"/>
      <c r="K387" s="49"/>
      <c r="L387" s="49"/>
      <c r="M387" s="52"/>
    </row>
    <row r="388" spans="1:13" ht="15.75" customHeight="1" x14ac:dyDescent="0.2">
      <c r="A388" s="49"/>
      <c r="B388" s="49"/>
      <c r="C388" s="39"/>
      <c r="D388" s="39"/>
      <c r="E388" s="39"/>
      <c r="G388" s="34"/>
      <c r="H388" s="49"/>
      <c r="I388" s="49"/>
      <c r="J388" s="49"/>
      <c r="K388" s="49"/>
      <c r="L388" s="49"/>
      <c r="M388" s="52"/>
    </row>
    <row r="389" spans="1:13" ht="15.75" customHeight="1" x14ac:dyDescent="0.2">
      <c r="A389" s="49"/>
      <c r="B389" s="49"/>
      <c r="C389" s="39"/>
      <c r="D389" s="39"/>
      <c r="E389" s="39"/>
      <c r="G389" s="34"/>
      <c r="H389" s="49"/>
      <c r="I389" s="49"/>
      <c r="J389" s="49"/>
      <c r="K389" s="49"/>
      <c r="L389" s="49"/>
      <c r="M389" s="52"/>
    </row>
    <row r="390" spans="1:13" ht="15.75" customHeight="1" x14ac:dyDescent="0.2">
      <c r="A390" s="49"/>
      <c r="B390" s="49"/>
      <c r="C390" s="39"/>
      <c r="D390" s="39"/>
      <c r="E390" s="39"/>
      <c r="G390" s="34"/>
      <c r="H390" s="49"/>
      <c r="I390" s="49"/>
      <c r="J390" s="49"/>
      <c r="K390" s="49"/>
      <c r="L390" s="49"/>
      <c r="M390" s="52"/>
    </row>
    <row r="391" spans="1:13" ht="15.75" customHeight="1" x14ac:dyDescent="0.2">
      <c r="A391" s="49"/>
      <c r="B391" s="49"/>
      <c r="C391" s="39"/>
      <c r="D391" s="39"/>
      <c r="E391" s="39"/>
      <c r="G391" s="34"/>
      <c r="H391" s="49"/>
      <c r="I391" s="49"/>
      <c r="J391" s="49"/>
      <c r="K391" s="49"/>
      <c r="L391" s="49"/>
      <c r="M391" s="52"/>
    </row>
    <row r="392" spans="1:13" ht="15.75" customHeight="1" x14ac:dyDescent="0.2">
      <c r="A392" s="49"/>
      <c r="B392" s="49"/>
      <c r="C392" s="39"/>
      <c r="D392" s="39"/>
      <c r="E392" s="39"/>
      <c r="G392" s="34"/>
      <c r="H392" s="49"/>
      <c r="I392" s="49"/>
      <c r="J392" s="49"/>
      <c r="K392" s="49"/>
      <c r="L392" s="49"/>
      <c r="M392" s="52"/>
    </row>
    <row r="393" spans="1:13" ht="15.75" customHeight="1" x14ac:dyDescent="0.2">
      <c r="A393" s="49"/>
      <c r="B393" s="49"/>
      <c r="C393" s="39"/>
      <c r="D393" s="39"/>
      <c r="E393" s="39"/>
      <c r="G393" s="34"/>
      <c r="H393" s="49"/>
      <c r="I393" s="49"/>
      <c r="J393" s="49"/>
      <c r="K393" s="49"/>
      <c r="L393" s="49"/>
      <c r="M393" s="52"/>
    </row>
    <row r="394" spans="1:13" ht="15.75" customHeight="1" x14ac:dyDescent="0.2">
      <c r="A394" s="49"/>
      <c r="B394" s="49"/>
      <c r="C394" s="39"/>
      <c r="D394" s="39"/>
      <c r="E394" s="39"/>
      <c r="G394" s="34"/>
      <c r="H394" s="49"/>
      <c r="I394" s="49"/>
      <c r="J394" s="49"/>
      <c r="K394" s="49"/>
      <c r="L394" s="49"/>
      <c r="M394" s="52"/>
    </row>
    <row r="395" spans="1:13" ht="15.75" customHeight="1" x14ac:dyDescent="0.2">
      <c r="A395" s="49"/>
      <c r="B395" s="49"/>
      <c r="C395" s="39"/>
      <c r="D395" s="39"/>
      <c r="E395" s="39"/>
      <c r="G395" s="34"/>
      <c r="H395" s="49"/>
      <c r="I395" s="49"/>
      <c r="J395" s="49"/>
      <c r="K395" s="49"/>
      <c r="L395" s="49"/>
      <c r="M395" s="52"/>
    </row>
    <row r="396" spans="1:13" ht="15.75" customHeight="1" x14ac:dyDescent="0.2">
      <c r="A396" s="49"/>
      <c r="B396" s="49"/>
      <c r="C396" s="39"/>
      <c r="D396" s="39"/>
      <c r="E396" s="39"/>
      <c r="G396" s="34"/>
      <c r="H396" s="49"/>
      <c r="I396" s="49"/>
      <c r="J396" s="49"/>
      <c r="K396" s="49"/>
      <c r="L396" s="49"/>
      <c r="M396" s="52"/>
    </row>
    <row r="397" spans="1:13" ht="15.75" customHeight="1" x14ac:dyDescent="0.2">
      <c r="A397" s="49"/>
      <c r="B397" s="49"/>
      <c r="C397" s="39"/>
      <c r="D397" s="39"/>
      <c r="E397" s="39"/>
      <c r="G397" s="34"/>
      <c r="H397" s="49"/>
      <c r="I397" s="49"/>
      <c r="J397" s="49"/>
      <c r="K397" s="49"/>
      <c r="L397" s="49"/>
      <c r="M397" s="52"/>
    </row>
    <row r="398" spans="1:13" ht="15.75" customHeight="1" x14ac:dyDescent="0.2">
      <c r="A398" s="49"/>
      <c r="B398" s="49"/>
      <c r="C398" s="39"/>
      <c r="D398" s="39"/>
      <c r="E398" s="39"/>
      <c r="G398" s="34"/>
      <c r="H398" s="49"/>
      <c r="I398" s="49"/>
      <c r="J398" s="49"/>
      <c r="K398" s="49"/>
      <c r="L398" s="49"/>
      <c r="M398" s="52"/>
    </row>
    <row r="399" spans="1:13" ht="15.75" customHeight="1" x14ac:dyDescent="0.2">
      <c r="A399" s="49"/>
      <c r="B399" s="49"/>
      <c r="C399" s="39"/>
      <c r="D399" s="39"/>
      <c r="E399" s="39"/>
      <c r="G399" s="34"/>
      <c r="H399" s="49"/>
      <c r="I399" s="49"/>
      <c r="J399" s="49"/>
      <c r="K399" s="49"/>
      <c r="L399" s="49"/>
      <c r="M399" s="52"/>
    </row>
    <row r="400" spans="1:13" ht="15.75" customHeight="1" x14ac:dyDescent="0.2">
      <c r="A400" s="49"/>
      <c r="B400" s="49"/>
      <c r="C400" s="39"/>
      <c r="D400" s="39"/>
      <c r="E400" s="39"/>
      <c r="G400" s="34"/>
      <c r="H400" s="49"/>
      <c r="I400" s="49"/>
      <c r="J400" s="49"/>
      <c r="K400" s="49"/>
      <c r="L400" s="49"/>
      <c r="M400" s="52"/>
    </row>
    <row r="401" spans="1:13" ht="15.75" customHeight="1" x14ac:dyDescent="0.2">
      <c r="A401" s="49"/>
      <c r="B401" s="49"/>
      <c r="C401" s="39"/>
      <c r="D401" s="39"/>
      <c r="E401" s="39"/>
      <c r="G401" s="34"/>
      <c r="H401" s="49"/>
      <c r="I401" s="49"/>
      <c r="J401" s="49"/>
      <c r="K401" s="49"/>
      <c r="L401" s="49"/>
      <c r="M401" s="52"/>
    </row>
    <row r="402" spans="1:13" ht="15.75" customHeight="1" x14ac:dyDescent="0.2">
      <c r="A402" s="49"/>
      <c r="B402" s="49"/>
      <c r="C402" s="39"/>
      <c r="D402" s="39"/>
      <c r="E402" s="39"/>
      <c r="G402" s="34"/>
      <c r="H402" s="49"/>
      <c r="I402" s="49"/>
      <c r="J402" s="49"/>
      <c r="K402" s="49"/>
      <c r="L402" s="49"/>
      <c r="M402" s="52"/>
    </row>
    <row r="403" spans="1:13" ht="15.75" customHeight="1" x14ac:dyDescent="0.2">
      <c r="A403" s="49"/>
      <c r="B403" s="49"/>
      <c r="C403" s="39"/>
      <c r="D403" s="39"/>
      <c r="E403" s="39"/>
      <c r="G403" s="34"/>
      <c r="H403" s="49"/>
      <c r="I403" s="49"/>
      <c r="J403" s="49"/>
      <c r="K403" s="49"/>
      <c r="L403" s="49"/>
      <c r="M403" s="52"/>
    </row>
    <row r="404" spans="1:13" ht="15.75" customHeight="1" x14ac:dyDescent="0.2">
      <c r="A404" s="49"/>
      <c r="B404" s="49"/>
      <c r="C404" s="39"/>
      <c r="D404" s="39"/>
      <c r="E404" s="39"/>
      <c r="G404" s="34"/>
      <c r="H404" s="49"/>
      <c r="I404" s="49"/>
      <c r="J404" s="49"/>
      <c r="K404" s="49"/>
      <c r="L404" s="49"/>
      <c r="M404" s="52"/>
    </row>
    <row r="405" spans="1:13" ht="15.75" customHeight="1" x14ac:dyDescent="0.2">
      <c r="A405" s="49"/>
      <c r="B405" s="49"/>
      <c r="C405" s="39"/>
      <c r="D405" s="39"/>
      <c r="E405" s="39"/>
      <c r="G405" s="34"/>
      <c r="H405" s="49"/>
      <c r="I405" s="49"/>
      <c r="J405" s="49"/>
      <c r="K405" s="49"/>
      <c r="L405" s="49"/>
      <c r="M405" s="52"/>
    </row>
    <row r="406" spans="1:13" ht="15.75" customHeight="1" x14ac:dyDescent="0.2">
      <c r="A406" s="49"/>
      <c r="B406" s="49"/>
      <c r="C406" s="39"/>
      <c r="D406" s="39"/>
      <c r="E406" s="39"/>
      <c r="G406" s="34"/>
      <c r="H406" s="49"/>
      <c r="I406" s="49"/>
      <c r="J406" s="49"/>
      <c r="K406" s="49"/>
      <c r="L406" s="49"/>
      <c r="M406" s="52"/>
    </row>
    <row r="407" spans="1:13" ht="15.75" customHeight="1" x14ac:dyDescent="0.2">
      <c r="A407" s="49"/>
      <c r="B407" s="49"/>
      <c r="C407" s="39"/>
      <c r="D407" s="39"/>
      <c r="E407" s="39"/>
      <c r="G407" s="34"/>
      <c r="H407" s="49"/>
      <c r="I407" s="49"/>
      <c r="J407" s="49"/>
      <c r="K407" s="49"/>
      <c r="L407" s="49"/>
      <c r="M407" s="52"/>
    </row>
    <row r="408" spans="1:13" ht="15.75" customHeight="1" x14ac:dyDescent="0.2">
      <c r="A408" s="49"/>
      <c r="B408" s="49"/>
      <c r="C408" s="39"/>
      <c r="D408" s="39"/>
      <c r="E408" s="39"/>
      <c r="G408" s="34"/>
      <c r="H408" s="49"/>
      <c r="I408" s="49"/>
      <c r="J408" s="49"/>
      <c r="K408" s="49"/>
      <c r="L408" s="49"/>
      <c r="M408" s="52"/>
    </row>
    <row r="409" spans="1:13" ht="15.75" customHeight="1" x14ac:dyDescent="0.2">
      <c r="A409" s="49"/>
      <c r="B409" s="49"/>
      <c r="C409" s="39"/>
      <c r="D409" s="39"/>
      <c r="E409" s="39"/>
      <c r="G409" s="34"/>
      <c r="H409" s="49"/>
      <c r="I409" s="49"/>
      <c r="J409" s="49"/>
      <c r="K409" s="49"/>
      <c r="L409" s="49"/>
      <c r="M409" s="52"/>
    </row>
    <row r="410" spans="1:13" ht="15.75" customHeight="1" x14ac:dyDescent="0.2">
      <c r="A410" s="49"/>
      <c r="B410" s="49"/>
      <c r="C410" s="39"/>
      <c r="D410" s="39"/>
      <c r="E410" s="39"/>
      <c r="G410" s="34"/>
      <c r="H410" s="49"/>
      <c r="I410" s="49"/>
      <c r="J410" s="49"/>
      <c r="K410" s="49"/>
      <c r="L410" s="49"/>
      <c r="M410" s="52"/>
    </row>
    <row r="411" spans="1:13" ht="15.75" customHeight="1" x14ac:dyDescent="0.2">
      <c r="A411" s="49"/>
      <c r="B411" s="49"/>
      <c r="C411" s="39"/>
      <c r="D411" s="39"/>
      <c r="E411" s="39"/>
      <c r="G411" s="34"/>
      <c r="H411" s="49"/>
      <c r="I411" s="49"/>
      <c r="J411" s="49"/>
      <c r="K411" s="49"/>
      <c r="L411" s="49"/>
      <c r="M411" s="52"/>
    </row>
    <row r="412" spans="1:13" ht="15.75" customHeight="1" x14ac:dyDescent="0.2">
      <c r="A412" s="49"/>
      <c r="B412" s="49"/>
      <c r="C412" s="39"/>
      <c r="D412" s="39"/>
      <c r="E412" s="39"/>
      <c r="G412" s="34"/>
      <c r="H412" s="49"/>
      <c r="I412" s="49"/>
      <c r="J412" s="49"/>
      <c r="K412" s="49"/>
      <c r="L412" s="49"/>
      <c r="M412" s="52"/>
    </row>
    <row r="413" spans="1:13" ht="15.75" customHeight="1" x14ac:dyDescent="0.2">
      <c r="A413" s="49"/>
      <c r="B413" s="49"/>
      <c r="C413" s="39"/>
      <c r="D413" s="39"/>
      <c r="E413" s="39"/>
      <c r="G413" s="34"/>
      <c r="H413" s="49"/>
      <c r="I413" s="49"/>
      <c r="J413" s="49"/>
      <c r="K413" s="49"/>
      <c r="L413" s="49"/>
      <c r="M413" s="52"/>
    </row>
    <row r="414" spans="1:13" ht="15.75" customHeight="1" x14ac:dyDescent="0.2">
      <c r="A414" s="49"/>
      <c r="B414" s="49"/>
      <c r="C414" s="39"/>
      <c r="D414" s="39"/>
      <c r="E414" s="39"/>
      <c r="G414" s="34"/>
      <c r="H414" s="49"/>
      <c r="I414" s="49"/>
      <c r="J414" s="49"/>
      <c r="K414" s="49"/>
      <c r="L414" s="49"/>
      <c r="M414" s="52"/>
    </row>
    <row r="415" spans="1:13" ht="15.75" customHeight="1" x14ac:dyDescent="0.2">
      <c r="A415" s="49"/>
      <c r="B415" s="49"/>
      <c r="C415" s="39"/>
      <c r="D415" s="39"/>
      <c r="E415" s="39"/>
      <c r="G415" s="34"/>
      <c r="H415" s="49"/>
      <c r="I415" s="49"/>
      <c r="J415" s="49"/>
      <c r="K415" s="49"/>
      <c r="L415" s="49"/>
      <c r="M415" s="52"/>
    </row>
    <row r="416" spans="1:13" ht="15.75" customHeight="1" x14ac:dyDescent="0.2">
      <c r="A416" s="49"/>
      <c r="B416" s="49"/>
      <c r="C416" s="39"/>
      <c r="D416" s="39"/>
      <c r="E416" s="39"/>
      <c r="G416" s="34"/>
      <c r="H416" s="49"/>
      <c r="I416" s="49"/>
      <c r="J416" s="49"/>
      <c r="K416" s="49"/>
      <c r="L416" s="49"/>
      <c r="M416" s="52"/>
    </row>
    <row r="417" spans="1:13" ht="15.75" customHeight="1" x14ac:dyDescent="0.2">
      <c r="A417" s="49"/>
      <c r="B417" s="49"/>
      <c r="C417" s="39"/>
      <c r="D417" s="39"/>
      <c r="E417" s="39"/>
      <c r="G417" s="34"/>
      <c r="H417" s="49"/>
      <c r="I417" s="49"/>
      <c r="J417" s="49"/>
      <c r="K417" s="49"/>
      <c r="L417" s="49"/>
      <c r="M417" s="52"/>
    </row>
    <row r="418" spans="1:13" ht="15.75" customHeight="1" x14ac:dyDescent="0.2">
      <c r="A418" s="49"/>
      <c r="B418" s="49"/>
      <c r="C418" s="39"/>
      <c r="D418" s="39"/>
      <c r="E418" s="39"/>
      <c r="G418" s="34"/>
      <c r="H418" s="49"/>
      <c r="I418" s="49"/>
      <c r="J418" s="49"/>
      <c r="K418" s="49"/>
      <c r="L418" s="49"/>
      <c r="M418" s="52"/>
    </row>
    <row r="419" spans="1:13" ht="15.75" customHeight="1" x14ac:dyDescent="0.2">
      <c r="A419" s="49"/>
      <c r="B419" s="49"/>
      <c r="C419" s="39"/>
      <c r="D419" s="39"/>
      <c r="E419" s="39"/>
      <c r="G419" s="34"/>
      <c r="H419" s="49"/>
      <c r="I419" s="49"/>
      <c r="J419" s="49"/>
      <c r="K419" s="49"/>
      <c r="L419" s="49"/>
      <c r="M419" s="52"/>
    </row>
    <row r="420" spans="1:13" ht="15.75" customHeight="1" x14ac:dyDescent="0.2">
      <c r="A420" s="49"/>
      <c r="B420" s="49"/>
      <c r="C420" s="39"/>
      <c r="D420" s="39"/>
      <c r="E420" s="39"/>
      <c r="G420" s="34"/>
      <c r="H420" s="49"/>
      <c r="I420" s="49"/>
      <c r="J420" s="49"/>
      <c r="K420" s="49"/>
      <c r="L420" s="49"/>
      <c r="M420" s="52"/>
    </row>
    <row r="421" spans="1:13" ht="15.75" customHeight="1" x14ac:dyDescent="0.2">
      <c r="A421" s="49"/>
      <c r="B421" s="49"/>
      <c r="C421" s="39"/>
      <c r="D421" s="39"/>
      <c r="E421" s="39"/>
      <c r="G421" s="34"/>
      <c r="H421" s="49"/>
      <c r="I421" s="49"/>
      <c r="J421" s="49"/>
      <c r="K421" s="49"/>
      <c r="L421" s="49"/>
      <c r="M421" s="52"/>
    </row>
    <row r="422" spans="1:13" ht="15.75" customHeight="1" x14ac:dyDescent="0.2">
      <c r="A422" s="49"/>
      <c r="B422" s="49"/>
      <c r="C422" s="39"/>
      <c r="D422" s="39"/>
      <c r="E422" s="39"/>
      <c r="G422" s="34"/>
      <c r="H422" s="49"/>
      <c r="I422" s="49"/>
      <c r="J422" s="49"/>
      <c r="K422" s="49"/>
      <c r="L422" s="49"/>
      <c r="M422" s="52"/>
    </row>
    <row r="423" spans="1:13" ht="15.75" customHeight="1" x14ac:dyDescent="0.2">
      <c r="A423" s="49"/>
      <c r="B423" s="49"/>
      <c r="C423" s="39"/>
      <c r="D423" s="39"/>
      <c r="E423" s="39"/>
      <c r="G423" s="34"/>
      <c r="H423" s="49"/>
      <c r="I423" s="49"/>
      <c r="J423" s="49"/>
      <c r="K423" s="49"/>
      <c r="L423" s="49"/>
      <c r="M423" s="52"/>
    </row>
    <row r="424" spans="1:13" ht="15.75" customHeight="1" x14ac:dyDescent="0.2">
      <c r="A424" s="49"/>
      <c r="B424" s="49"/>
      <c r="C424" s="39"/>
      <c r="D424" s="39"/>
      <c r="E424" s="39"/>
      <c r="G424" s="34"/>
      <c r="H424" s="49"/>
      <c r="I424" s="49"/>
      <c r="J424" s="49"/>
      <c r="K424" s="49"/>
      <c r="L424" s="49"/>
      <c r="M424" s="52"/>
    </row>
    <row r="425" spans="1:13" ht="15.75" customHeight="1" x14ac:dyDescent="0.2">
      <c r="A425" s="49"/>
      <c r="B425" s="49"/>
      <c r="C425" s="39"/>
      <c r="D425" s="39"/>
      <c r="E425" s="39"/>
      <c r="G425" s="34"/>
      <c r="H425" s="49"/>
      <c r="I425" s="49"/>
      <c r="J425" s="49"/>
      <c r="K425" s="49"/>
      <c r="L425" s="49"/>
      <c r="M425" s="52"/>
    </row>
    <row r="426" spans="1:13" ht="15.75" customHeight="1" x14ac:dyDescent="0.2">
      <c r="A426" s="49"/>
      <c r="B426" s="49"/>
      <c r="C426" s="39"/>
      <c r="D426" s="39"/>
      <c r="E426" s="39"/>
      <c r="G426" s="34"/>
      <c r="H426" s="49"/>
      <c r="I426" s="49"/>
      <c r="J426" s="49"/>
      <c r="K426" s="49"/>
      <c r="L426" s="49"/>
      <c r="M426" s="52"/>
    </row>
    <row r="427" spans="1:13" ht="15.75" customHeight="1" x14ac:dyDescent="0.2">
      <c r="A427" s="49"/>
      <c r="B427" s="49"/>
      <c r="C427" s="39"/>
      <c r="D427" s="39"/>
      <c r="E427" s="39"/>
      <c r="G427" s="34"/>
      <c r="H427" s="49"/>
      <c r="I427" s="49"/>
      <c r="J427" s="49"/>
      <c r="K427" s="49"/>
      <c r="L427" s="49"/>
      <c r="M427" s="52"/>
    </row>
    <row r="428" spans="1:13" ht="15.75" customHeight="1" x14ac:dyDescent="0.2">
      <c r="A428" s="49"/>
      <c r="B428" s="49"/>
      <c r="C428" s="39"/>
      <c r="D428" s="39"/>
      <c r="E428" s="39"/>
      <c r="G428" s="34"/>
      <c r="H428" s="49"/>
      <c r="I428" s="49"/>
      <c r="J428" s="49"/>
      <c r="K428" s="49"/>
      <c r="L428" s="49"/>
      <c r="M428" s="52"/>
    </row>
    <row r="429" spans="1:13" ht="15.75" customHeight="1" x14ac:dyDescent="0.2">
      <c r="A429" s="49"/>
      <c r="B429" s="49"/>
      <c r="C429" s="39"/>
      <c r="D429" s="39"/>
      <c r="E429" s="39"/>
      <c r="G429" s="34"/>
      <c r="H429" s="49"/>
      <c r="I429" s="49"/>
      <c r="J429" s="49"/>
      <c r="K429" s="49"/>
      <c r="L429" s="49"/>
      <c r="M429" s="52"/>
    </row>
    <row r="430" spans="1:13" ht="15.75" customHeight="1" x14ac:dyDescent="0.2">
      <c r="A430" s="49"/>
      <c r="B430" s="49"/>
      <c r="C430" s="39"/>
      <c r="D430" s="39"/>
      <c r="E430" s="39"/>
      <c r="G430" s="34"/>
      <c r="H430" s="49"/>
      <c r="I430" s="49"/>
      <c r="J430" s="49"/>
      <c r="K430" s="49"/>
      <c r="L430" s="49"/>
      <c r="M430" s="52"/>
    </row>
    <row r="431" spans="1:13" ht="15.75" customHeight="1" x14ac:dyDescent="0.2">
      <c r="A431" s="49"/>
      <c r="B431" s="49"/>
      <c r="C431" s="39"/>
      <c r="D431" s="39"/>
      <c r="E431" s="39"/>
      <c r="G431" s="34"/>
      <c r="H431" s="49"/>
      <c r="I431" s="49"/>
      <c r="J431" s="49"/>
      <c r="K431" s="49"/>
      <c r="L431" s="49"/>
      <c r="M431" s="52"/>
    </row>
    <row r="432" spans="1:13" ht="15.75" customHeight="1" x14ac:dyDescent="0.2">
      <c r="A432" s="49"/>
      <c r="B432" s="49"/>
      <c r="C432" s="39"/>
      <c r="D432" s="39"/>
      <c r="E432" s="39"/>
      <c r="G432" s="34"/>
      <c r="H432" s="49"/>
      <c r="I432" s="49"/>
      <c r="J432" s="49"/>
      <c r="K432" s="49"/>
      <c r="L432" s="49"/>
      <c r="M432" s="52"/>
    </row>
    <row r="433" spans="1:13" ht="15.75" customHeight="1" x14ac:dyDescent="0.2">
      <c r="A433" s="49"/>
      <c r="B433" s="49"/>
      <c r="C433" s="39"/>
      <c r="D433" s="39"/>
      <c r="E433" s="39"/>
      <c r="G433" s="34"/>
      <c r="H433" s="49"/>
      <c r="I433" s="49"/>
      <c r="J433" s="49"/>
      <c r="K433" s="49"/>
      <c r="L433" s="49"/>
      <c r="M433" s="52"/>
    </row>
    <row r="434" spans="1:13" ht="15.75" customHeight="1" x14ac:dyDescent="0.2">
      <c r="A434" s="49"/>
      <c r="B434" s="49"/>
      <c r="C434" s="39"/>
      <c r="D434" s="39"/>
      <c r="E434" s="39"/>
      <c r="G434" s="34"/>
      <c r="H434" s="49"/>
      <c r="I434" s="49"/>
      <c r="J434" s="49"/>
      <c r="K434" s="49"/>
      <c r="L434" s="49"/>
      <c r="M434" s="52"/>
    </row>
    <row r="435" spans="1:13" ht="15.75" customHeight="1" x14ac:dyDescent="0.2">
      <c r="A435" s="49"/>
      <c r="B435" s="49"/>
      <c r="C435" s="39"/>
      <c r="D435" s="39"/>
      <c r="E435" s="39"/>
      <c r="G435" s="34"/>
      <c r="H435" s="49"/>
      <c r="I435" s="49"/>
      <c r="J435" s="49"/>
      <c r="K435" s="49"/>
      <c r="L435" s="49"/>
      <c r="M435" s="52"/>
    </row>
    <row r="436" spans="1:13" ht="15.75" customHeight="1" x14ac:dyDescent="0.2">
      <c r="A436" s="49"/>
      <c r="B436" s="49"/>
      <c r="C436" s="39"/>
      <c r="D436" s="39"/>
      <c r="E436" s="39"/>
      <c r="G436" s="34"/>
      <c r="H436" s="49"/>
      <c r="I436" s="49"/>
      <c r="J436" s="49"/>
      <c r="K436" s="49"/>
      <c r="L436" s="49"/>
      <c r="M436" s="52"/>
    </row>
    <row r="437" spans="1:13" ht="15.75" customHeight="1" x14ac:dyDescent="0.2">
      <c r="A437" s="49"/>
      <c r="B437" s="49"/>
      <c r="C437" s="39"/>
      <c r="D437" s="39"/>
      <c r="E437" s="39"/>
      <c r="G437" s="34"/>
      <c r="H437" s="49"/>
      <c r="I437" s="49"/>
      <c r="J437" s="49"/>
      <c r="K437" s="49"/>
      <c r="L437" s="49"/>
      <c r="M437" s="52"/>
    </row>
    <row r="438" spans="1:13" ht="15.75" customHeight="1" x14ac:dyDescent="0.2">
      <c r="A438" s="49"/>
      <c r="B438" s="49"/>
      <c r="C438" s="39"/>
      <c r="D438" s="39"/>
      <c r="E438" s="39"/>
      <c r="G438" s="34"/>
      <c r="H438" s="49"/>
      <c r="I438" s="49"/>
      <c r="J438" s="49"/>
      <c r="K438" s="49"/>
      <c r="L438" s="49"/>
      <c r="M438" s="52"/>
    </row>
    <row r="439" spans="1:13" ht="15.75" customHeight="1" x14ac:dyDescent="0.2">
      <c r="A439" s="49"/>
      <c r="B439" s="49"/>
      <c r="C439" s="39"/>
      <c r="D439" s="39"/>
      <c r="E439" s="39"/>
      <c r="G439" s="34"/>
      <c r="H439" s="49"/>
      <c r="I439" s="49"/>
      <c r="J439" s="49"/>
      <c r="K439" s="49"/>
      <c r="L439" s="49"/>
      <c r="M439" s="52"/>
    </row>
    <row r="440" spans="1:13" ht="15.75" customHeight="1" x14ac:dyDescent="0.2">
      <c r="A440" s="49"/>
      <c r="B440" s="49"/>
      <c r="C440" s="39"/>
      <c r="D440" s="39"/>
      <c r="E440" s="39"/>
      <c r="G440" s="34"/>
      <c r="H440" s="49"/>
      <c r="I440" s="49"/>
      <c r="J440" s="49"/>
      <c r="K440" s="49"/>
      <c r="L440" s="49"/>
      <c r="M440" s="52"/>
    </row>
    <row r="441" spans="1:13" ht="15.75" customHeight="1" x14ac:dyDescent="0.2">
      <c r="A441" s="49"/>
      <c r="B441" s="49"/>
      <c r="C441" s="39"/>
      <c r="D441" s="39"/>
      <c r="E441" s="39"/>
      <c r="G441" s="34"/>
      <c r="H441" s="49"/>
      <c r="I441" s="49"/>
      <c r="J441" s="49"/>
      <c r="K441" s="49"/>
      <c r="L441" s="49"/>
      <c r="M441" s="52"/>
    </row>
    <row r="442" spans="1:13" ht="15.75" customHeight="1" x14ac:dyDescent="0.2">
      <c r="A442" s="49"/>
      <c r="B442" s="49"/>
      <c r="C442" s="39"/>
      <c r="D442" s="39"/>
      <c r="E442" s="39"/>
      <c r="G442" s="34"/>
      <c r="H442" s="49"/>
      <c r="I442" s="49"/>
      <c r="J442" s="49"/>
      <c r="K442" s="49"/>
      <c r="L442" s="49"/>
      <c r="M442" s="52"/>
    </row>
    <row r="443" spans="1:13" ht="15.75" customHeight="1" x14ac:dyDescent="0.2">
      <c r="A443" s="49"/>
      <c r="B443" s="49"/>
      <c r="C443" s="39"/>
      <c r="D443" s="39"/>
      <c r="E443" s="39"/>
      <c r="G443" s="34"/>
      <c r="H443" s="49"/>
      <c r="I443" s="49"/>
      <c r="J443" s="49"/>
      <c r="K443" s="49"/>
      <c r="L443" s="49"/>
      <c r="M443" s="52"/>
    </row>
    <row r="444" spans="1:13" ht="15.75" customHeight="1" x14ac:dyDescent="0.2">
      <c r="A444" s="49"/>
      <c r="B444" s="49"/>
      <c r="C444" s="39"/>
      <c r="D444" s="39"/>
      <c r="E444" s="39"/>
      <c r="G444" s="34"/>
      <c r="H444" s="49"/>
      <c r="I444" s="49"/>
      <c r="J444" s="49"/>
      <c r="K444" s="49"/>
      <c r="L444" s="49"/>
      <c r="M444" s="52"/>
    </row>
    <row r="445" spans="1:13" ht="15.75" customHeight="1" x14ac:dyDescent="0.2">
      <c r="A445" s="49"/>
      <c r="B445" s="49"/>
      <c r="C445" s="39"/>
      <c r="D445" s="39"/>
      <c r="E445" s="39"/>
      <c r="G445" s="34"/>
      <c r="H445" s="49"/>
      <c r="I445" s="49"/>
      <c r="J445" s="49"/>
      <c r="K445" s="49"/>
      <c r="L445" s="49"/>
      <c r="M445" s="52"/>
    </row>
    <row r="446" spans="1:13" ht="15.75" customHeight="1" x14ac:dyDescent="0.2">
      <c r="A446" s="49"/>
      <c r="B446" s="49"/>
      <c r="C446" s="39"/>
      <c r="D446" s="39"/>
      <c r="E446" s="39"/>
      <c r="G446" s="34"/>
      <c r="H446" s="49"/>
      <c r="I446" s="49"/>
      <c r="J446" s="49"/>
      <c r="K446" s="49"/>
      <c r="L446" s="49"/>
      <c r="M446" s="52"/>
    </row>
    <row r="447" spans="1:13" ht="15.75" customHeight="1" x14ac:dyDescent="0.2">
      <c r="A447" s="49"/>
      <c r="B447" s="49"/>
      <c r="C447" s="39"/>
      <c r="D447" s="39"/>
      <c r="E447" s="39"/>
      <c r="G447" s="34"/>
      <c r="H447" s="49"/>
      <c r="I447" s="49"/>
      <c r="J447" s="49"/>
      <c r="K447" s="49"/>
      <c r="L447" s="49"/>
      <c r="M447" s="52"/>
    </row>
    <row r="448" spans="1:13" ht="15.75" customHeight="1" x14ac:dyDescent="0.2">
      <c r="A448" s="49"/>
      <c r="B448" s="49"/>
      <c r="C448" s="39"/>
      <c r="D448" s="39"/>
      <c r="E448" s="39"/>
      <c r="G448" s="34"/>
      <c r="H448" s="49"/>
      <c r="I448" s="49"/>
      <c r="J448" s="49"/>
      <c r="K448" s="49"/>
      <c r="L448" s="49"/>
      <c r="M448" s="52"/>
    </row>
    <row r="449" spans="1:13" ht="15.75" customHeight="1" x14ac:dyDescent="0.2">
      <c r="A449" s="49"/>
      <c r="B449" s="49"/>
      <c r="C449" s="39"/>
      <c r="D449" s="39"/>
      <c r="E449" s="39"/>
      <c r="G449" s="34"/>
      <c r="H449" s="49"/>
      <c r="I449" s="49"/>
      <c r="J449" s="49"/>
      <c r="K449" s="49"/>
      <c r="L449" s="49"/>
      <c r="M449" s="52"/>
    </row>
    <row r="450" spans="1:13" ht="15.75" customHeight="1" x14ac:dyDescent="0.2">
      <c r="A450" s="49"/>
      <c r="B450" s="49"/>
      <c r="C450" s="39"/>
      <c r="D450" s="39"/>
      <c r="E450" s="39"/>
      <c r="G450" s="34"/>
      <c r="H450" s="49"/>
      <c r="I450" s="49"/>
      <c r="J450" s="49"/>
      <c r="K450" s="49"/>
      <c r="L450" s="49"/>
      <c r="M450" s="52"/>
    </row>
    <row r="451" spans="1:13" ht="15.75" customHeight="1" x14ac:dyDescent="0.2">
      <c r="A451" s="49"/>
      <c r="B451" s="49"/>
      <c r="C451" s="39"/>
      <c r="D451" s="39"/>
      <c r="E451" s="39"/>
      <c r="G451" s="34"/>
      <c r="H451" s="49"/>
      <c r="I451" s="49"/>
      <c r="J451" s="49"/>
      <c r="K451" s="49"/>
      <c r="L451" s="49"/>
      <c r="M451" s="52"/>
    </row>
    <row r="452" spans="1:13" ht="15.75" customHeight="1" x14ac:dyDescent="0.2">
      <c r="A452" s="49"/>
      <c r="B452" s="49"/>
      <c r="C452" s="39"/>
      <c r="D452" s="39"/>
      <c r="E452" s="39"/>
      <c r="G452" s="34"/>
      <c r="H452" s="49"/>
      <c r="I452" s="49"/>
      <c r="J452" s="49"/>
      <c r="K452" s="49"/>
      <c r="L452" s="49"/>
      <c r="M452" s="52"/>
    </row>
    <row r="453" spans="1:13" ht="15.75" customHeight="1" x14ac:dyDescent="0.2">
      <c r="A453" s="49"/>
      <c r="B453" s="49"/>
      <c r="C453" s="39"/>
      <c r="D453" s="39"/>
      <c r="E453" s="39"/>
      <c r="G453" s="34"/>
      <c r="H453" s="49"/>
      <c r="I453" s="49"/>
      <c r="J453" s="49"/>
      <c r="K453" s="49"/>
      <c r="L453" s="49"/>
      <c r="M453" s="52"/>
    </row>
    <row r="454" spans="1:13" ht="15.75" customHeight="1" x14ac:dyDescent="0.2">
      <c r="A454" s="49"/>
      <c r="B454" s="49"/>
      <c r="C454" s="39"/>
      <c r="D454" s="39"/>
      <c r="E454" s="39"/>
      <c r="G454" s="34"/>
      <c r="H454" s="49"/>
      <c r="I454" s="49"/>
      <c r="J454" s="49"/>
      <c r="K454" s="49"/>
      <c r="L454" s="49"/>
      <c r="M454" s="52"/>
    </row>
    <row r="455" spans="1:13" ht="15.75" customHeight="1" x14ac:dyDescent="0.2">
      <c r="A455" s="49"/>
      <c r="B455" s="49"/>
      <c r="C455" s="39"/>
      <c r="D455" s="39"/>
      <c r="E455" s="39"/>
      <c r="G455" s="34"/>
      <c r="H455" s="49"/>
      <c r="I455" s="49"/>
      <c r="J455" s="49"/>
      <c r="K455" s="49"/>
      <c r="L455" s="49"/>
      <c r="M455" s="52"/>
    </row>
    <row r="456" spans="1:13" ht="15.75" customHeight="1" x14ac:dyDescent="0.2">
      <c r="A456" s="49"/>
      <c r="B456" s="49"/>
      <c r="C456" s="39"/>
      <c r="D456" s="39"/>
      <c r="E456" s="39"/>
      <c r="G456" s="34"/>
      <c r="H456" s="49"/>
      <c r="I456" s="49"/>
      <c r="J456" s="49"/>
      <c r="K456" s="49"/>
      <c r="L456" s="49"/>
      <c r="M456" s="52"/>
    </row>
    <row r="457" spans="1:13" ht="15.75" customHeight="1" x14ac:dyDescent="0.2">
      <c r="A457" s="49"/>
      <c r="B457" s="49"/>
      <c r="C457" s="39"/>
      <c r="D457" s="39"/>
      <c r="E457" s="39"/>
      <c r="G457" s="34"/>
      <c r="H457" s="49"/>
      <c r="I457" s="49"/>
      <c r="J457" s="49"/>
      <c r="K457" s="49"/>
      <c r="L457" s="49"/>
      <c r="M457" s="52"/>
    </row>
    <row r="458" spans="1:13" ht="15.75" customHeight="1" x14ac:dyDescent="0.2">
      <c r="A458" s="49"/>
      <c r="B458" s="49"/>
      <c r="C458" s="39"/>
      <c r="D458" s="39"/>
      <c r="E458" s="39"/>
      <c r="G458" s="34"/>
      <c r="H458" s="49"/>
      <c r="I458" s="49"/>
      <c r="J458" s="49"/>
      <c r="K458" s="49"/>
      <c r="L458" s="49"/>
      <c r="M458" s="52"/>
    </row>
    <row r="459" spans="1:13" ht="15.75" customHeight="1" x14ac:dyDescent="0.2">
      <c r="A459" s="49"/>
      <c r="B459" s="49"/>
      <c r="C459" s="39"/>
      <c r="D459" s="39"/>
      <c r="E459" s="39"/>
      <c r="G459" s="34"/>
      <c r="H459" s="49"/>
      <c r="I459" s="49"/>
      <c r="J459" s="49"/>
      <c r="K459" s="49"/>
      <c r="L459" s="49"/>
      <c r="M459" s="52"/>
    </row>
    <row r="460" spans="1:13" ht="15.75" customHeight="1" x14ac:dyDescent="0.2">
      <c r="A460" s="49"/>
      <c r="B460" s="49"/>
      <c r="C460" s="39"/>
      <c r="D460" s="39"/>
      <c r="E460" s="39"/>
      <c r="G460" s="34"/>
      <c r="H460" s="49"/>
      <c r="I460" s="49"/>
      <c r="J460" s="49"/>
      <c r="K460" s="49"/>
      <c r="L460" s="49"/>
      <c r="M460" s="52"/>
    </row>
    <row r="461" spans="1:13" ht="15.75" customHeight="1" x14ac:dyDescent="0.2">
      <c r="A461" s="49"/>
      <c r="B461" s="49"/>
      <c r="C461" s="39"/>
      <c r="D461" s="39"/>
      <c r="E461" s="39"/>
      <c r="G461" s="34"/>
      <c r="H461" s="49"/>
      <c r="I461" s="49"/>
      <c r="J461" s="49"/>
      <c r="K461" s="49"/>
      <c r="L461" s="49"/>
      <c r="M461" s="52"/>
    </row>
    <row r="462" spans="1:13" ht="15.75" customHeight="1" x14ac:dyDescent="0.2">
      <c r="A462" s="49"/>
      <c r="B462" s="49"/>
      <c r="C462" s="39"/>
      <c r="D462" s="39"/>
      <c r="E462" s="39"/>
      <c r="G462" s="34"/>
      <c r="H462" s="49"/>
      <c r="I462" s="49"/>
      <c r="J462" s="49"/>
      <c r="K462" s="49"/>
      <c r="L462" s="49"/>
      <c r="M462" s="52"/>
    </row>
    <row r="463" spans="1:13" ht="15.75" customHeight="1" x14ac:dyDescent="0.2">
      <c r="A463" s="49"/>
      <c r="B463" s="49"/>
      <c r="C463" s="39"/>
      <c r="D463" s="39"/>
      <c r="E463" s="39"/>
      <c r="G463" s="34"/>
      <c r="H463" s="49"/>
      <c r="I463" s="49"/>
      <c r="J463" s="49"/>
      <c r="K463" s="49"/>
      <c r="L463" s="49"/>
      <c r="M463" s="52"/>
    </row>
    <row r="464" spans="1:13" ht="15.75" customHeight="1" x14ac:dyDescent="0.2">
      <c r="A464" s="49"/>
      <c r="B464" s="49"/>
      <c r="C464" s="39"/>
      <c r="D464" s="39"/>
      <c r="E464" s="39"/>
      <c r="G464" s="34"/>
      <c r="H464" s="49"/>
      <c r="I464" s="49"/>
      <c r="J464" s="49"/>
      <c r="K464" s="49"/>
      <c r="L464" s="49"/>
      <c r="M464" s="52"/>
    </row>
    <row r="465" spans="1:13" ht="15.75" customHeight="1" x14ac:dyDescent="0.2">
      <c r="A465" s="49"/>
      <c r="B465" s="49"/>
      <c r="C465" s="39"/>
      <c r="D465" s="39"/>
      <c r="E465" s="39"/>
      <c r="G465" s="34"/>
      <c r="H465" s="49"/>
      <c r="I465" s="49"/>
      <c r="J465" s="49"/>
      <c r="K465" s="49"/>
      <c r="L465" s="49"/>
      <c r="M465" s="52"/>
    </row>
    <row r="466" spans="1:13" ht="15.75" customHeight="1" x14ac:dyDescent="0.2">
      <c r="A466" s="49"/>
      <c r="B466" s="49"/>
      <c r="C466" s="39"/>
      <c r="D466" s="39"/>
      <c r="E466" s="39"/>
      <c r="G466" s="34"/>
      <c r="H466" s="49"/>
      <c r="I466" s="49"/>
      <c r="J466" s="49"/>
      <c r="K466" s="49"/>
      <c r="L466" s="49"/>
      <c r="M466" s="52"/>
    </row>
    <row r="467" spans="1:13" ht="15.75" customHeight="1" x14ac:dyDescent="0.2">
      <c r="A467" s="49"/>
      <c r="B467" s="49"/>
      <c r="C467" s="39"/>
      <c r="D467" s="39"/>
      <c r="E467" s="39"/>
      <c r="G467" s="34"/>
      <c r="H467" s="49"/>
      <c r="I467" s="49"/>
      <c r="J467" s="49"/>
      <c r="K467" s="49"/>
      <c r="L467" s="49"/>
      <c r="M467" s="52"/>
    </row>
    <row r="468" spans="1:13" ht="15.75" customHeight="1" x14ac:dyDescent="0.2">
      <c r="A468" s="49"/>
      <c r="B468" s="49"/>
      <c r="C468" s="39"/>
      <c r="D468" s="39"/>
      <c r="E468" s="39"/>
      <c r="G468" s="34"/>
      <c r="H468" s="49"/>
      <c r="I468" s="49"/>
      <c r="J468" s="49"/>
      <c r="K468" s="49"/>
      <c r="L468" s="49"/>
      <c r="M468" s="52"/>
    </row>
    <row r="469" spans="1:13" ht="15.75" customHeight="1" x14ac:dyDescent="0.2">
      <c r="A469" s="49"/>
      <c r="B469" s="49"/>
      <c r="C469" s="39"/>
      <c r="D469" s="39"/>
      <c r="E469" s="39"/>
      <c r="G469" s="34"/>
      <c r="H469" s="49"/>
      <c r="I469" s="49"/>
      <c r="J469" s="49"/>
      <c r="K469" s="49"/>
      <c r="L469" s="49"/>
      <c r="M469" s="52"/>
    </row>
    <row r="470" spans="1:13" ht="15.75" customHeight="1" x14ac:dyDescent="0.2">
      <c r="A470" s="49"/>
      <c r="B470" s="49"/>
      <c r="C470" s="39"/>
      <c r="D470" s="39"/>
      <c r="E470" s="39"/>
      <c r="G470" s="34"/>
      <c r="H470" s="49"/>
      <c r="I470" s="49"/>
      <c r="J470" s="49"/>
      <c r="K470" s="49"/>
      <c r="L470" s="49"/>
      <c r="M470" s="52"/>
    </row>
    <row r="471" spans="1:13" ht="15.75" customHeight="1" x14ac:dyDescent="0.2">
      <c r="A471" s="49"/>
      <c r="B471" s="49"/>
      <c r="C471" s="39"/>
      <c r="D471" s="39"/>
      <c r="E471" s="39"/>
      <c r="G471" s="34"/>
      <c r="H471" s="49"/>
      <c r="I471" s="49"/>
      <c r="J471" s="49"/>
      <c r="K471" s="49"/>
      <c r="L471" s="49"/>
      <c r="M471" s="52"/>
    </row>
    <row r="472" spans="1:13" ht="15.75" customHeight="1" x14ac:dyDescent="0.2">
      <c r="A472" s="49"/>
      <c r="B472" s="49"/>
      <c r="C472" s="39"/>
      <c r="D472" s="39"/>
      <c r="E472" s="39"/>
      <c r="G472" s="34"/>
      <c r="H472" s="49"/>
      <c r="I472" s="49"/>
      <c r="J472" s="49"/>
      <c r="K472" s="49"/>
      <c r="L472" s="49"/>
      <c r="M472" s="52"/>
    </row>
    <row r="473" spans="1:13" ht="15.75" customHeight="1" x14ac:dyDescent="0.2">
      <c r="A473" s="49"/>
      <c r="B473" s="49"/>
      <c r="C473" s="39"/>
      <c r="D473" s="39"/>
      <c r="E473" s="39"/>
      <c r="G473" s="34"/>
      <c r="H473" s="49"/>
      <c r="I473" s="49"/>
      <c r="J473" s="49"/>
      <c r="K473" s="49"/>
      <c r="L473" s="49"/>
      <c r="M473" s="52"/>
    </row>
    <row r="474" spans="1:13" ht="15.75" customHeight="1" x14ac:dyDescent="0.2">
      <c r="A474" s="49"/>
      <c r="B474" s="49"/>
      <c r="C474" s="39"/>
      <c r="D474" s="39"/>
      <c r="E474" s="39"/>
      <c r="G474" s="34"/>
      <c r="H474" s="49"/>
      <c r="I474" s="49"/>
      <c r="J474" s="49"/>
      <c r="K474" s="49"/>
      <c r="L474" s="49"/>
      <c r="M474" s="52"/>
    </row>
    <row r="475" spans="1:13" ht="15.75" customHeight="1" x14ac:dyDescent="0.2">
      <c r="A475" s="49"/>
      <c r="B475" s="49"/>
      <c r="C475" s="39"/>
      <c r="D475" s="39"/>
      <c r="E475" s="39"/>
      <c r="G475" s="34"/>
      <c r="H475" s="49"/>
      <c r="I475" s="49"/>
      <c r="J475" s="49"/>
      <c r="K475" s="49"/>
      <c r="L475" s="49"/>
      <c r="M475" s="52"/>
    </row>
    <row r="476" spans="1:13" ht="15.75" customHeight="1" x14ac:dyDescent="0.2">
      <c r="A476" s="49"/>
      <c r="B476" s="49"/>
      <c r="C476" s="39"/>
      <c r="D476" s="39"/>
      <c r="E476" s="39"/>
      <c r="G476" s="34"/>
      <c r="H476" s="49"/>
      <c r="I476" s="49"/>
      <c r="J476" s="49"/>
      <c r="K476" s="49"/>
      <c r="L476" s="49"/>
      <c r="M476" s="52"/>
    </row>
    <row r="477" spans="1:13" ht="15.75" customHeight="1" x14ac:dyDescent="0.2">
      <c r="A477" s="49"/>
      <c r="B477" s="49"/>
      <c r="C477" s="39"/>
      <c r="D477" s="39"/>
      <c r="E477" s="39"/>
      <c r="G477" s="34"/>
      <c r="H477" s="49"/>
      <c r="I477" s="49"/>
      <c r="J477" s="49"/>
      <c r="K477" s="49"/>
      <c r="L477" s="49"/>
      <c r="M477" s="52"/>
    </row>
    <row r="478" spans="1:13" ht="15.75" customHeight="1" x14ac:dyDescent="0.2">
      <c r="A478" s="49"/>
      <c r="B478" s="49"/>
      <c r="C478" s="39"/>
      <c r="D478" s="39"/>
      <c r="E478" s="39"/>
      <c r="G478" s="34"/>
      <c r="H478" s="49"/>
      <c r="I478" s="49"/>
      <c r="J478" s="49"/>
      <c r="K478" s="49"/>
      <c r="L478" s="49"/>
      <c r="M478" s="52"/>
    </row>
    <row r="479" spans="1:13" ht="15.75" customHeight="1" x14ac:dyDescent="0.2">
      <c r="A479" s="49"/>
      <c r="B479" s="49"/>
      <c r="C479" s="39"/>
      <c r="D479" s="39"/>
      <c r="E479" s="39"/>
      <c r="G479" s="34"/>
      <c r="H479" s="49"/>
      <c r="I479" s="49"/>
      <c r="J479" s="49"/>
      <c r="K479" s="49"/>
      <c r="L479" s="49"/>
      <c r="M479" s="52"/>
    </row>
    <row r="480" spans="1:13" ht="15.75" customHeight="1" x14ac:dyDescent="0.2">
      <c r="A480" s="49"/>
      <c r="B480" s="49"/>
      <c r="C480" s="39"/>
      <c r="D480" s="39"/>
      <c r="E480" s="39"/>
      <c r="G480" s="34"/>
      <c r="H480" s="49"/>
      <c r="I480" s="49"/>
      <c r="J480" s="49"/>
      <c r="K480" s="49"/>
      <c r="L480" s="49"/>
      <c r="M480" s="52"/>
    </row>
    <row r="481" spans="1:13" ht="15.75" customHeight="1" x14ac:dyDescent="0.2">
      <c r="A481" s="49"/>
      <c r="B481" s="49"/>
      <c r="C481" s="39"/>
      <c r="D481" s="39"/>
      <c r="E481" s="39"/>
      <c r="G481" s="34"/>
      <c r="H481" s="49"/>
      <c r="I481" s="49"/>
      <c r="J481" s="49"/>
      <c r="K481" s="49"/>
      <c r="L481" s="49"/>
      <c r="M481" s="52"/>
    </row>
    <row r="482" spans="1:13" ht="15.75" customHeight="1" x14ac:dyDescent="0.2">
      <c r="A482" s="49"/>
      <c r="B482" s="49"/>
      <c r="C482" s="39"/>
      <c r="D482" s="39"/>
      <c r="E482" s="39"/>
      <c r="G482" s="34"/>
      <c r="H482" s="49"/>
      <c r="I482" s="49"/>
      <c r="J482" s="49"/>
      <c r="K482" s="49"/>
      <c r="L482" s="49"/>
      <c r="M482" s="52"/>
    </row>
    <row r="483" spans="1:13" ht="15.75" customHeight="1" x14ac:dyDescent="0.2">
      <c r="A483" s="49"/>
      <c r="B483" s="49"/>
      <c r="C483" s="39"/>
      <c r="D483" s="39"/>
      <c r="E483" s="39"/>
      <c r="G483" s="34"/>
      <c r="H483" s="49"/>
      <c r="I483" s="49"/>
      <c r="J483" s="49"/>
      <c r="K483" s="49"/>
      <c r="L483" s="49"/>
      <c r="M483" s="52"/>
    </row>
    <row r="484" spans="1:13" ht="15.75" customHeight="1" x14ac:dyDescent="0.2">
      <c r="A484" s="49"/>
      <c r="B484" s="49"/>
      <c r="C484" s="39"/>
      <c r="D484" s="39"/>
      <c r="E484" s="39"/>
      <c r="G484" s="34"/>
      <c r="H484" s="49"/>
      <c r="I484" s="49"/>
      <c r="J484" s="49"/>
      <c r="K484" s="49"/>
      <c r="L484" s="49"/>
      <c r="M484" s="52"/>
    </row>
    <row r="485" spans="1:13" ht="15.75" customHeight="1" x14ac:dyDescent="0.2">
      <c r="A485" s="49"/>
      <c r="B485" s="49"/>
      <c r="C485" s="39"/>
      <c r="D485" s="39"/>
      <c r="E485" s="39"/>
      <c r="G485" s="34"/>
      <c r="H485" s="49"/>
      <c r="I485" s="49"/>
      <c r="J485" s="49"/>
      <c r="K485" s="49"/>
      <c r="L485" s="49"/>
      <c r="M485" s="52"/>
    </row>
    <row r="486" spans="1:13" ht="15.75" customHeight="1" x14ac:dyDescent="0.2">
      <c r="A486" s="49"/>
      <c r="B486" s="49"/>
      <c r="C486" s="39"/>
      <c r="D486" s="39"/>
      <c r="E486" s="39"/>
      <c r="G486" s="34"/>
      <c r="H486" s="49"/>
      <c r="I486" s="49"/>
      <c r="J486" s="49"/>
      <c r="K486" s="49"/>
      <c r="L486" s="49"/>
      <c r="M486" s="52"/>
    </row>
    <row r="487" spans="1:13" ht="15.75" customHeight="1" x14ac:dyDescent="0.2">
      <c r="A487" s="49"/>
      <c r="B487" s="49"/>
      <c r="C487" s="39"/>
      <c r="D487" s="39"/>
      <c r="E487" s="39"/>
      <c r="G487" s="34"/>
      <c r="H487" s="49"/>
      <c r="I487" s="49"/>
      <c r="J487" s="49"/>
      <c r="K487" s="49"/>
      <c r="L487" s="49"/>
      <c r="M487" s="52"/>
    </row>
    <row r="488" spans="1:13" ht="15.75" customHeight="1" x14ac:dyDescent="0.2">
      <c r="A488" s="49"/>
      <c r="B488" s="49"/>
      <c r="C488" s="39"/>
      <c r="D488" s="39"/>
      <c r="E488" s="39"/>
      <c r="G488" s="34"/>
      <c r="H488" s="49"/>
      <c r="I488" s="49"/>
      <c r="J488" s="49"/>
      <c r="K488" s="49"/>
      <c r="L488" s="49"/>
      <c r="M488" s="52"/>
    </row>
    <row r="489" spans="1:13" ht="15.75" customHeight="1" x14ac:dyDescent="0.2">
      <c r="A489" s="49"/>
      <c r="B489" s="49"/>
      <c r="C489" s="39"/>
      <c r="D489" s="39"/>
      <c r="E489" s="39"/>
      <c r="G489" s="34"/>
      <c r="H489" s="49"/>
      <c r="I489" s="49"/>
      <c r="J489" s="49"/>
      <c r="K489" s="49"/>
      <c r="L489" s="49"/>
      <c r="M489" s="52"/>
    </row>
    <row r="490" spans="1:13" ht="15.75" customHeight="1" x14ac:dyDescent="0.2">
      <c r="A490" s="49"/>
      <c r="B490" s="49"/>
      <c r="C490" s="39"/>
      <c r="D490" s="39"/>
      <c r="E490" s="39"/>
      <c r="G490" s="34"/>
      <c r="H490" s="49"/>
      <c r="I490" s="49"/>
      <c r="J490" s="49"/>
      <c r="K490" s="49"/>
      <c r="L490" s="49"/>
      <c r="M490" s="52"/>
    </row>
    <row r="491" spans="1:13" ht="15.75" customHeight="1" x14ac:dyDescent="0.2">
      <c r="A491" s="49"/>
      <c r="B491" s="49"/>
      <c r="C491" s="39"/>
      <c r="D491" s="39"/>
      <c r="E491" s="39"/>
      <c r="G491" s="34"/>
      <c r="H491" s="49"/>
      <c r="I491" s="49"/>
      <c r="J491" s="49"/>
      <c r="K491" s="49"/>
      <c r="L491" s="49"/>
      <c r="M491" s="52"/>
    </row>
    <row r="492" spans="1:13" ht="15.75" customHeight="1" x14ac:dyDescent="0.2">
      <c r="A492" s="49"/>
      <c r="B492" s="49"/>
      <c r="C492" s="39"/>
      <c r="D492" s="39"/>
      <c r="E492" s="39"/>
      <c r="G492" s="34"/>
      <c r="H492" s="49"/>
      <c r="I492" s="49"/>
      <c r="J492" s="49"/>
      <c r="K492" s="49"/>
      <c r="L492" s="49"/>
      <c r="M492" s="52"/>
    </row>
    <row r="493" spans="1:13" ht="15.75" customHeight="1" x14ac:dyDescent="0.2">
      <c r="A493" s="49"/>
      <c r="B493" s="49"/>
      <c r="C493" s="39"/>
      <c r="D493" s="39"/>
      <c r="E493" s="39"/>
      <c r="G493" s="34"/>
      <c r="H493" s="49"/>
      <c r="I493" s="49"/>
      <c r="J493" s="49"/>
      <c r="K493" s="49"/>
      <c r="L493" s="49"/>
      <c r="M493" s="52"/>
    </row>
    <row r="494" spans="1:13" ht="15.75" customHeight="1" x14ac:dyDescent="0.2">
      <c r="A494" s="49"/>
      <c r="B494" s="49"/>
      <c r="C494" s="39"/>
      <c r="D494" s="39"/>
      <c r="E494" s="39"/>
      <c r="G494" s="34"/>
      <c r="H494" s="49"/>
      <c r="I494" s="49"/>
      <c r="J494" s="49"/>
      <c r="K494" s="49"/>
      <c r="L494" s="49"/>
      <c r="M494" s="52"/>
    </row>
    <row r="495" spans="1:13" ht="15.75" customHeight="1" x14ac:dyDescent="0.2">
      <c r="A495" s="49"/>
      <c r="B495" s="49"/>
      <c r="C495" s="39"/>
      <c r="D495" s="39"/>
      <c r="E495" s="39"/>
      <c r="G495" s="34"/>
      <c r="H495" s="49"/>
      <c r="I495" s="49"/>
      <c r="J495" s="49"/>
      <c r="K495" s="49"/>
      <c r="L495" s="49"/>
      <c r="M495" s="52"/>
    </row>
    <row r="496" spans="1:13" ht="15.75" customHeight="1" x14ac:dyDescent="0.2">
      <c r="A496" s="49"/>
      <c r="B496" s="49"/>
      <c r="C496" s="39"/>
      <c r="D496" s="39"/>
      <c r="E496" s="39"/>
      <c r="G496" s="34"/>
      <c r="H496" s="49"/>
      <c r="I496" s="49"/>
      <c r="J496" s="49"/>
      <c r="K496" s="49"/>
      <c r="L496" s="49"/>
      <c r="M496" s="52"/>
    </row>
    <row r="497" spans="1:13" ht="15.75" customHeight="1" x14ac:dyDescent="0.2">
      <c r="A497" s="49"/>
      <c r="B497" s="49"/>
      <c r="C497" s="39"/>
      <c r="D497" s="39"/>
      <c r="E497" s="39"/>
      <c r="G497" s="34"/>
      <c r="H497" s="49"/>
      <c r="I497" s="49"/>
      <c r="J497" s="49"/>
      <c r="K497" s="49"/>
      <c r="L497" s="49"/>
      <c r="M497" s="52"/>
    </row>
    <row r="498" spans="1:13" ht="15.75" customHeight="1" x14ac:dyDescent="0.2">
      <c r="A498" s="49"/>
      <c r="B498" s="49"/>
      <c r="C498" s="39"/>
      <c r="D498" s="39"/>
      <c r="E498" s="39"/>
      <c r="G498" s="34"/>
      <c r="H498" s="49"/>
      <c r="I498" s="49"/>
      <c r="J498" s="49"/>
      <c r="K498" s="49"/>
      <c r="L498" s="49"/>
      <c r="M498" s="52"/>
    </row>
    <row r="499" spans="1:13" ht="15.75" customHeight="1" x14ac:dyDescent="0.2">
      <c r="A499" s="49"/>
      <c r="B499" s="49"/>
      <c r="C499" s="39"/>
      <c r="D499" s="39"/>
      <c r="E499" s="39"/>
      <c r="G499" s="34"/>
      <c r="H499" s="49"/>
      <c r="I499" s="49"/>
      <c r="J499" s="49"/>
      <c r="K499" s="49"/>
      <c r="L499" s="49"/>
      <c r="M499" s="52"/>
    </row>
    <row r="500" spans="1:13" ht="15.75" customHeight="1" x14ac:dyDescent="0.2">
      <c r="A500" s="49"/>
      <c r="B500" s="49"/>
      <c r="C500" s="39"/>
      <c r="D500" s="39"/>
      <c r="E500" s="39"/>
      <c r="G500" s="34"/>
      <c r="H500" s="49"/>
      <c r="I500" s="49"/>
      <c r="J500" s="49"/>
      <c r="K500" s="49"/>
      <c r="L500" s="49"/>
      <c r="M500" s="52"/>
    </row>
    <row r="501" spans="1:13" ht="15.75" customHeight="1" x14ac:dyDescent="0.2">
      <c r="A501" s="49"/>
      <c r="B501" s="49"/>
      <c r="C501" s="39"/>
      <c r="D501" s="39"/>
      <c r="E501" s="39"/>
      <c r="G501" s="34"/>
      <c r="H501" s="49"/>
      <c r="I501" s="49"/>
      <c r="J501" s="49"/>
      <c r="K501" s="49"/>
      <c r="L501" s="49"/>
      <c r="M501" s="52"/>
    </row>
    <row r="502" spans="1:13" ht="15.75" customHeight="1" x14ac:dyDescent="0.2">
      <c r="A502" s="49"/>
      <c r="B502" s="49"/>
      <c r="C502" s="39"/>
      <c r="D502" s="39"/>
      <c r="E502" s="39"/>
      <c r="G502" s="34"/>
      <c r="H502" s="49"/>
      <c r="I502" s="49"/>
      <c r="J502" s="49"/>
      <c r="K502" s="49"/>
      <c r="L502" s="49"/>
      <c r="M502" s="52"/>
    </row>
    <row r="503" spans="1:13" ht="15.75" customHeight="1" x14ac:dyDescent="0.2">
      <c r="A503" s="49"/>
      <c r="B503" s="49"/>
      <c r="C503" s="39"/>
      <c r="D503" s="39"/>
      <c r="E503" s="39"/>
      <c r="G503" s="34"/>
      <c r="H503" s="49"/>
      <c r="I503" s="49"/>
      <c r="J503" s="49"/>
      <c r="K503" s="49"/>
      <c r="L503" s="49"/>
      <c r="M503" s="52"/>
    </row>
    <row r="504" spans="1:13" ht="15.75" customHeight="1" x14ac:dyDescent="0.2">
      <c r="A504" s="49"/>
      <c r="B504" s="49"/>
      <c r="C504" s="39"/>
      <c r="D504" s="39"/>
      <c r="E504" s="39"/>
      <c r="G504" s="34"/>
      <c r="H504" s="49"/>
      <c r="I504" s="49"/>
      <c r="J504" s="49"/>
      <c r="K504" s="49"/>
      <c r="L504" s="49"/>
      <c r="M504" s="52"/>
    </row>
    <row r="505" spans="1:13" ht="15.75" customHeight="1" x14ac:dyDescent="0.2">
      <c r="A505" s="49"/>
      <c r="B505" s="49"/>
      <c r="C505" s="39"/>
      <c r="D505" s="39"/>
      <c r="E505" s="39"/>
      <c r="G505" s="34"/>
      <c r="H505" s="49"/>
      <c r="I505" s="49"/>
      <c r="J505" s="49"/>
      <c r="K505" s="49"/>
      <c r="L505" s="49"/>
      <c r="M505" s="52"/>
    </row>
    <row r="506" spans="1:13" ht="15.75" customHeight="1" x14ac:dyDescent="0.2">
      <c r="A506" s="49"/>
      <c r="B506" s="49"/>
      <c r="C506" s="39"/>
      <c r="D506" s="39"/>
      <c r="E506" s="39"/>
      <c r="G506" s="34"/>
      <c r="H506" s="49"/>
      <c r="I506" s="49"/>
      <c r="J506" s="49"/>
      <c r="K506" s="49"/>
      <c r="L506" s="49"/>
      <c r="M506" s="52"/>
    </row>
    <row r="507" spans="1:13" ht="15.75" customHeight="1" x14ac:dyDescent="0.2">
      <c r="A507" s="49"/>
      <c r="B507" s="49"/>
      <c r="C507" s="39"/>
      <c r="D507" s="39"/>
      <c r="E507" s="39"/>
      <c r="G507" s="34"/>
      <c r="H507" s="49"/>
      <c r="I507" s="49"/>
      <c r="J507" s="49"/>
      <c r="K507" s="49"/>
      <c r="L507" s="49"/>
      <c r="M507" s="52"/>
    </row>
    <row r="508" spans="1:13" ht="15.75" customHeight="1" x14ac:dyDescent="0.2">
      <c r="A508" s="49"/>
      <c r="B508" s="49"/>
      <c r="C508" s="39"/>
      <c r="D508" s="39"/>
      <c r="E508" s="39"/>
      <c r="G508" s="34"/>
      <c r="H508" s="49"/>
      <c r="I508" s="49"/>
      <c r="J508" s="49"/>
      <c r="K508" s="49"/>
      <c r="L508" s="49"/>
      <c r="M508" s="52"/>
    </row>
    <row r="509" spans="1:13" ht="15.75" customHeight="1" x14ac:dyDescent="0.2">
      <c r="A509" s="49"/>
      <c r="B509" s="49"/>
      <c r="C509" s="39"/>
      <c r="D509" s="39"/>
      <c r="E509" s="39"/>
      <c r="G509" s="34"/>
      <c r="H509" s="49"/>
      <c r="I509" s="49"/>
      <c r="J509" s="49"/>
      <c r="K509" s="49"/>
      <c r="L509" s="49"/>
      <c r="M509" s="52"/>
    </row>
    <row r="510" spans="1:13" ht="15.75" customHeight="1" x14ac:dyDescent="0.2">
      <c r="A510" s="49"/>
      <c r="B510" s="49"/>
      <c r="C510" s="39"/>
      <c r="D510" s="39"/>
      <c r="E510" s="39"/>
      <c r="G510" s="34"/>
      <c r="H510" s="49"/>
      <c r="I510" s="49"/>
      <c r="J510" s="49"/>
      <c r="K510" s="49"/>
      <c r="L510" s="49"/>
      <c r="M510" s="52"/>
    </row>
    <row r="511" spans="1:13" ht="15.75" customHeight="1" x14ac:dyDescent="0.2">
      <c r="A511" s="49"/>
      <c r="B511" s="49"/>
      <c r="C511" s="39"/>
      <c r="D511" s="39"/>
      <c r="E511" s="39"/>
      <c r="G511" s="34"/>
      <c r="H511" s="49"/>
      <c r="I511" s="49"/>
      <c r="J511" s="49"/>
      <c r="K511" s="49"/>
      <c r="L511" s="49"/>
      <c r="M511" s="52"/>
    </row>
    <row r="512" spans="1:13" ht="15.75" customHeight="1" x14ac:dyDescent="0.2">
      <c r="A512" s="49"/>
      <c r="B512" s="49"/>
      <c r="C512" s="39"/>
      <c r="D512" s="39"/>
      <c r="E512" s="39"/>
      <c r="G512" s="34"/>
      <c r="H512" s="49"/>
      <c r="I512" s="49"/>
      <c r="J512" s="49"/>
      <c r="K512" s="49"/>
      <c r="L512" s="49"/>
      <c r="M512" s="52"/>
    </row>
    <row r="513" spans="1:13" ht="15.75" customHeight="1" x14ac:dyDescent="0.2">
      <c r="A513" s="49"/>
      <c r="B513" s="49"/>
      <c r="C513" s="39"/>
      <c r="D513" s="39"/>
      <c r="E513" s="39"/>
      <c r="G513" s="34"/>
      <c r="H513" s="49"/>
      <c r="I513" s="49"/>
      <c r="J513" s="49"/>
      <c r="K513" s="49"/>
      <c r="L513" s="49"/>
      <c r="M513" s="52"/>
    </row>
    <row r="514" spans="1:13" ht="15.75" customHeight="1" x14ac:dyDescent="0.2">
      <c r="A514" s="49"/>
      <c r="B514" s="49"/>
      <c r="C514" s="39"/>
      <c r="D514" s="39"/>
      <c r="E514" s="39"/>
      <c r="G514" s="34"/>
      <c r="H514" s="49"/>
      <c r="I514" s="49"/>
      <c r="J514" s="49"/>
      <c r="K514" s="49"/>
      <c r="L514" s="49"/>
      <c r="M514" s="52"/>
    </row>
    <row r="515" spans="1:13" ht="15.75" customHeight="1" x14ac:dyDescent="0.2">
      <c r="A515" s="49"/>
      <c r="B515" s="49"/>
      <c r="C515" s="39"/>
      <c r="D515" s="39"/>
      <c r="E515" s="39"/>
      <c r="G515" s="34"/>
      <c r="H515" s="49"/>
      <c r="I515" s="49"/>
      <c r="J515" s="49"/>
      <c r="K515" s="49"/>
      <c r="L515" s="49"/>
      <c r="M515" s="52"/>
    </row>
    <row r="516" spans="1:13" ht="15.75" customHeight="1" x14ac:dyDescent="0.2">
      <c r="A516" s="49"/>
      <c r="B516" s="49"/>
      <c r="C516" s="39"/>
      <c r="D516" s="39"/>
      <c r="E516" s="39"/>
      <c r="G516" s="34"/>
      <c r="H516" s="49"/>
      <c r="I516" s="49"/>
      <c r="J516" s="49"/>
      <c r="K516" s="49"/>
      <c r="L516" s="49"/>
      <c r="M516" s="52"/>
    </row>
    <row r="517" spans="1:13" ht="15.75" customHeight="1" x14ac:dyDescent="0.2">
      <c r="A517" s="49"/>
      <c r="B517" s="49"/>
      <c r="C517" s="39"/>
      <c r="D517" s="39"/>
      <c r="E517" s="39"/>
      <c r="G517" s="34"/>
      <c r="H517" s="49"/>
      <c r="I517" s="49"/>
      <c r="J517" s="49"/>
      <c r="K517" s="49"/>
      <c r="L517" s="49"/>
      <c r="M517" s="52"/>
    </row>
    <row r="518" spans="1:13" ht="15.75" customHeight="1" x14ac:dyDescent="0.2">
      <c r="A518" s="49"/>
      <c r="B518" s="49"/>
      <c r="C518" s="39"/>
      <c r="D518" s="39"/>
      <c r="E518" s="39"/>
      <c r="G518" s="34"/>
      <c r="H518" s="49"/>
      <c r="I518" s="49"/>
      <c r="J518" s="49"/>
      <c r="K518" s="49"/>
      <c r="L518" s="49"/>
      <c r="M518" s="52"/>
    </row>
    <row r="519" spans="1:13" ht="15.75" customHeight="1" x14ac:dyDescent="0.2">
      <c r="A519" s="49"/>
      <c r="B519" s="49"/>
      <c r="C519" s="39"/>
      <c r="D519" s="39"/>
      <c r="E519" s="39"/>
      <c r="G519" s="34"/>
      <c r="H519" s="49"/>
      <c r="I519" s="49"/>
      <c r="J519" s="49"/>
      <c r="K519" s="49"/>
      <c r="L519" s="49"/>
      <c r="M519" s="52"/>
    </row>
    <row r="520" spans="1:13" ht="15.75" customHeight="1" x14ac:dyDescent="0.2">
      <c r="A520" s="49"/>
      <c r="B520" s="49"/>
      <c r="C520" s="39"/>
      <c r="D520" s="39"/>
      <c r="E520" s="39"/>
      <c r="G520" s="34"/>
      <c r="H520" s="49"/>
      <c r="I520" s="49"/>
      <c r="J520" s="49"/>
      <c r="K520" s="49"/>
      <c r="L520" s="49"/>
      <c r="M520" s="52"/>
    </row>
    <row r="521" spans="1:13" ht="15.75" customHeight="1" x14ac:dyDescent="0.2">
      <c r="A521" s="49"/>
      <c r="B521" s="49"/>
      <c r="C521" s="39"/>
      <c r="D521" s="39"/>
      <c r="E521" s="39"/>
      <c r="G521" s="34"/>
      <c r="H521" s="49"/>
      <c r="I521" s="49"/>
      <c r="J521" s="49"/>
      <c r="K521" s="49"/>
      <c r="L521" s="49"/>
      <c r="M521" s="52"/>
    </row>
    <row r="522" spans="1:13" ht="15.75" customHeight="1" x14ac:dyDescent="0.2">
      <c r="A522" s="49"/>
      <c r="B522" s="49"/>
      <c r="C522" s="39"/>
      <c r="D522" s="39"/>
      <c r="E522" s="39"/>
      <c r="G522" s="34"/>
      <c r="H522" s="49"/>
      <c r="I522" s="49"/>
      <c r="J522" s="49"/>
      <c r="K522" s="49"/>
      <c r="L522" s="49"/>
      <c r="M522" s="52"/>
    </row>
    <row r="523" spans="1:13" ht="15.75" customHeight="1" x14ac:dyDescent="0.2">
      <c r="A523" s="49"/>
      <c r="B523" s="49"/>
      <c r="C523" s="39"/>
      <c r="D523" s="39"/>
      <c r="E523" s="39"/>
      <c r="G523" s="34"/>
      <c r="H523" s="49"/>
      <c r="I523" s="49"/>
      <c r="J523" s="49"/>
      <c r="K523" s="49"/>
      <c r="L523" s="49"/>
      <c r="M523" s="52"/>
    </row>
    <row r="524" spans="1:13" ht="15.75" customHeight="1" x14ac:dyDescent="0.2">
      <c r="A524" s="49"/>
      <c r="B524" s="49"/>
      <c r="C524" s="39"/>
      <c r="D524" s="39"/>
      <c r="E524" s="39"/>
      <c r="G524" s="34"/>
      <c r="H524" s="49"/>
      <c r="I524" s="49"/>
      <c r="J524" s="49"/>
      <c r="K524" s="49"/>
      <c r="L524" s="49"/>
      <c r="M524" s="52"/>
    </row>
    <row r="525" spans="1:13" ht="15.75" customHeight="1" x14ac:dyDescent="0.2">
      <c r="A525" s="49"/>
      <c r="B525" s="49"/>
      <c r="C525" s="39"/>
      <c r="D525" s="39"/>
      <c r="E525" s="39"/>
      <c r="G525" s="34"/>
      <c r="H525" s="49"/>
      <c r="I525" s="49"/>
      <c r="J525" s="49"/>
      <c r="K525" s="49"/>
      <c r="L525" s="49"/>
      <c r="M525" s="52"/>
    </row>
    <row r="526" spans="1:13" ht="15.75" customHeight="1" x14ac:dyDescent="0.2">
      <c r="A526" s="49"/>
      <c r="B526" s="49"/>
      <c r="C526" s="39"/>
      <c r="D526" s="39"/>
      <c r="E526" s="39"/>
      <c r="G526" s="34"/>
      <c r="H526" s="49"/>
      <c r="I526" s="49"/>
      <c r="J526" s="49"/>
      <c r="K526" s="49"/>
      <c r="L526" s="49"/>
      <c r="M526" s="52"/>
    </row>
    <row r="527" spans="1:13" ht="15.75" customHeight="1" x14ac:dyDescent="0.2">
      <c r="A527" s="49"/>
      <c r="B527" s="49"/>
      <c r="C527" s="39"/>
      <c r="D527" s="39"/>
      <c r="E527" s="39"/>
      <c r="G527" s="34"/>
      <c r="H527" s="49"/>
      <c r="I527" s="49"/>
      <c r="J527" s="49"/>
      <c r="K527" s="49"/>
      <c r="L527" s="49"/>
      <c r="M527" s="52"/>
    </row>
    <row r="528" spans="1:13" ht="15.75" customHeight="1" x14ac:dyDescent="0.2">
      <c r="A528" s="49"/>
      <c r="B528" s="49"/>
      <c r="C528" s="39"/>
      <c r="D528" s="39"/>
      <c r="E528" s="39"/>
      <c r="G528" s="34"/>
      <c r="H528" s="49"/>
      <c r="I528" s="49"/>
      <c r="J528" s="49"/>
      <c r="K528" s="49"/>
      <c r="L528" s="49"/>
      <c r="M528" s="52"/>
    </row>
    <row r="529" spans="1:13" ht="15.75" customHeight="1" x14ac:dyDescent="0.2">
      <c r="A529" s="49"/>
      <c r="B529" s="49"/>
      <c r="C529" s="39"/>
      <c r="D529" s="39"/>
      <c r="E529" s="39"/>
      <c r="G529" s="34"/>
      <c r="H529" s="49"/>
      <c r="I529" s="49"/>
      <c r="J529" s="49"/>
      <c r="K529" s="49"/>
      <c r="L529" s="49"/>
      <c r="M529" s="52"/>
    </row>
    <row r="530" spans="1:13" ht="15.75" customHeight="1" x14ac:dyDescent="0.2">
      <c r="A530" s="49"/>
      <c r="B530" s="49"/>
      <c r="C530" s="39"/>
      <c r="D530" s="39"/>
      <c r="E530" s="39"/>
      <c r="G530" s="34"/>
      <c r="H530" s="49"/>
      <c r="I530" s="49"/>
      <c r="J530" s="49"/>
      <c r="K530" s="49"/>
      <c r="L530" s="49"/>
      <c r="M530" s="52"/>
    </row>
    <row r="531" spans="1:13" ht="15.75" customHeight="1" x14ac:dyDescent="0.2">
      <c r="A531" s="49"/>
      <c r="B531" s="49"/>
      <c r="C531" s="39"/>
      <c r="D531" s="39"/>
      <c r="E531" s="39"/>
      <c r="G531" s="34"/>
      <c r="H531" s="49"/>
      <c r="I531" s="49"/>
      <c r="J531" s="49"/>
      <c r="K531" s="49"/>
      <c r="L531" s="49"/>
      <c r="M531" s="52"/>
    </row>
    <row r="532" spans="1:13" ht="15.75" customHeight="1" x14ac:dyDescent="0.2">
      <c r="A532" s="49"/>
      <c r="B532" s="49"/>
      <c r="C532" s="39"/>
      <c r="D532" s="39"/>
      <c r="E532" s="39"/>
      <c r="G532" s="34"/>
      <c r="H532" s="49"/>
      <c r="I532" s="49"/>
      <c r="J532" s="49"/>
      <c r="K532" s="49"/>
      <c r="L532" s="49"/>
      <c r="M532" s="52"/>
    </row>
    <row r="533" spans="1:13" ht="15.75" customHeight="1" x14ac:dyDescent="0.2">
      <c r="A533" s="49"/>
      <c r="B533" s="49"/>
      <c r="C533" s="39"/>
      <c r="D533" s="39"/>
      <c r="E533" s="39"/>
      <c r="G533" s="34"/>
      <c r="H533" s="49"/>
      <c r="I533" s="49"/>
      <c r="J533" s="49"/>
      <c r="K533" s="49"/>
      <c r="L533" s="49"/>
      <c r="M533" s="52"/>
    </row>
    <row r="534" spans="1:13" ht="15.75" customHeight="1" x14ac:dyDescent="0.2">
      <c r="A534" s="49"/>
      <c r="B534" s="49"/>
      <c r="C534" s="39"/>
      <c r="D534" s="39"/>
      <c r="E534" s="39"/>
      <c r="G534" s="34"/>
      <c r="H534" s="49"/>
      <c r="I534" s="49"/>
      <c r="J534" s="49"/>
      <c r="K534" s="49"/>
      <c r="L534" s="49"/>
      <c r="M534" s="52"/>
    </row>
    <row r="535" spans="1:13" ht="15.75" customHeight="1" x14ac:dyDescent="0.2">
      <c r="A535" s="49"/>
      <c r="B535" s="49"/>
      <c r="C535" s="39"/>
      <c r="D535" s="39"/>
      <c r="E535" s="39"/>
      <c r="G535" s="34"/>
      <c r="H535" s="49"/>
      <c r="I535" s="49"/>
      <c r="J535" s="49"/>
      <c r="K535" s="49"/>
      <c r="L535" s="49"/>
      <c r="M535" s="52"/>
    </row>
    <row r="536" spans="1:13" ht="15.75" customHeight="1" x14ac:dyDescent="0.2">
      <c r="A536" s="49"/>
      <c r="B536" s="49"/>
      <c r="C536" s="39"/>
      <c r="D536" s="39"/>
      <c r="E536" s="39"/>
      <c r="G536" s="34"/>
      <c r="H536" s="49"/>
      <c r="I536" s="49"/>
      <c r="J536" s="49"/>
      <c r="K536" s="49"/>
      <c r="L536" s="49"/>
      <c r="M536" s="52"/>
    </row>
    <row r="537" spans="1:13" ht="15.75" customHeight="1" x14ac:dyDescent="0.2">
      <c r="A537" s="49"/>
      <c r="B537" s="49"/>
      <c r="C537" s="39"/>
      <c r="D537" s="39"/>
      <c r="E537" s="39"/>
      <c r="G537" s="34"/>
      <c r="H537" s="49"/>
      <c r="I537" s="49"/>
      <c r="J537" s="49"/>
      <c r="K537" s="49"/>
      <c r="L537" s="49"/>
      <c r="M537" s="52"/>
    </row>
    <row r="538" spans="1:13" ht="15.75" customHeight="1" x14ac:dyDescent="0.2">
      <c r="A538" s="49"/>
      <c r="B538" s="49"/>
      <c r="C538" s="39"/>
      <c r="D538" s="39"/>
      <c r="E538" s="39"/>
      <c r="G538" s="34"/>
      <c r="H538" s="49"/>
      <c r="I538" s="49"/>
      <c r="J538" s="49"/>
      <c r="K538" s="49"/>
      <c r="L538" s="49"/>
      <c r="M538" s="52"/>
    </row>
    <row r="539" spans="1:13" ht="15.75" customHeight="1" x14ac:dyDescent="0.2">
      <c r="A539" s="49"/>
      <c r="B539" s="49"/>
      <c r="C539" s="39"/>
      <c r="D539" s="39"/>
      <c r="E539" s="39"/>
      <c r="G539" s="34"/>
      <c r="H539" s="49"/>
      <c r="I539" s="49"/>
      <c r="J539" s="49"/>
      <c r="K539" s="49"/>
      <c r="L539" s="49"/>
      <c r="M539" s="52"/>
    </row>
    <row r="540" spans="1:13" ht="15.75" customHeight="1" x14ac:dyDescent="0.2">
      <c r="A540" s="49"/>
      <c r="B540" s="49"/>
      <c r="C540" s="39"/>
      <c r="D540" s="39"/>
      <c r="E540" s="39"/>
      <c r="G540" s="34"/>
      <c r="H540" s="49"/>
      <c r="I540" s="49"/>
      <c r="J540" s="49"/>
      <c r="K540" s="49"/>
      <c r="L540" s="49"/>
      <c r="M540" s="52"/>
    </row>
    <row r="541" spans="1:13" ht="15.75" customHeight="1" x14ac:dyDescent="0.2">
      <c r="A541" s="49"/>
      <c r="B541" s="49"/>
      <c r="C541" s="39"/>
      <c r="D541" s="39"/>
      <c r="E541" s="39"/>
      <c r="G541" s="34"/>
      <c r="H541" s="49"/>
      <c r="I541" s="49"/>
      <c r="J541" s="49"/>
      <c r="K541" s="49"/>
      <c r="L541" s="49"/>
      <c r="M541" s="52"/>
    </row>
    <row r="542" spans="1:13" ht="15.75" customHeight="1" x14ac:dyDescent="0.2">
      <c r="A542" s="49"/>
      <c r="B542" s="49"/>
      <c r="C542" s="39"/>
      <c r="D542" s="39"/>
      <c r="E542" s="39"/>
      <c r="G542" s="34"/>
      <c r="H542" s="49"/>
      <c r="I542" s="49"/>
      <c r="J542" s="49"/>
      <c r="K542" s="49"/>
      <c r="L542" s="49"/>
      <c r="M542" s="52"/>
    </row>
    <row r="543" spans="1:13" ht="15.75" customHeight="1" x14ac:dyDescent="0.2">
      <c r="A543" s="49"/>
      <c r="B543" s="49"/>
      <c r="C543" s="39"/>
      <c r="D543" s="39"/>
      <c r="E543" s="39"/>
      <c r="G543" s="34"/>
      <c r="H543" s="49"/>
      <c r="I543" s="49"/>
      <c r="J543" s="49"/>
      <c r="K543" s="49"/>
      <c r="L543" s="49"/>
      <c r="M543" s="52"/>
    </row>
    <row r="544" spans="1:13" ht="15.75" customHeight="1" x14ac:dyDescent="0.2">
      <c r="A544" s="49"/>
      <c r="B544" s="49"/>
      <c r="C544" s="39"/>
      <c r="D544" s="39"/>
      <c r="E544" s="39"/>
      <c r="G544" s="34"/>
      <c r="H544" s="49"/>
      <c r="I544" s="49"/>
      <c r="J544" s="49"/>
      <c r="K544" s="49"/>
      <c r="L544" s="49"/>
      <c r="M544" s="52"/>
    </row>
    <row r="545" spans="1:13" ht="15.75" customHeight="1" x14ac:dyDescent="0.2">
      <c r="A545" s="49"/>
      <c r="B545" s="49"/>
      <c r="C545" s="39"/>
      <c r="D545" s="39"/>
      <c r="E545" s="39"/>
      <c r="G545" s="34"/>
      <c r="H545" s="49"/>
      <c r="I545" s="49"/>
      <c r="J545" s="49"/>
      <c r="K545" s="49"/>
      <c r="L545" s="49"/>
      <c r="M545" s="52"/>
    </row>
    <row r="546" spans="1:13" ht="15.75" customHeight="1" x14ac:dyDescent="0.2">
      <c r="A546" s="49"/>
      <c r="B546" s="49"/>
      <c r="C546" s="39"/>
      <c r="D546" s="39"/>
      <c r="E546" s="39"/>
      <c r="G546" s="34"/>
      <c r="H546" s="49"/>
      <c r="I546" s="49"/>
      <c r="J546" s="49"/>
      <c r="K546" s="49"/>
      <c r="L546" s="49"/>
      <c r="M546" s="52"/>
    </row>
    <row r="547" spans="1:13" ht="15.75" customHeight="1" x14ac:dyDescent="0.2">
      <c r="A547" s="49"/>
      <c r="B547" s="49"/>
      <c r="C547" s="39"/>
      <c r="D547" s="39"/>
      <c r="E547" s="39"/>
      <c r="G547" s="34"/>
      <c r="H547" s="49"/>
      <c r="I547" s="49"/>
      <c r="J547" s="49"/>
      <c r="K547" s="49"/>
      <c r="L547" s="49"/>
      <c r="M547" s="52"/>
    </row>
    <row r="548" spans="1:13" ht="15.75" customHeight="1" x14ac:dyDescent="0.2">
      <c r="A548" s="49"/>
      <c r="B548" s="49"/>
      <c r="C548" s="39"/>
      <c r="D548" s="39"/>
      <c r="E548" s="39"/>
      <c r="G548" s="34"/>
      <c r="H548" s="49"/>
      <c r="I548" s="49"/>
      <c r="J548" s="49"/>
      <c r="K548" s="49"/>
      <c r="L548" s="49"/>
      <c r="M548" s="52"/>
    </row>
    <row r="549" spans="1:13" ht="15.75" customHeight="1" x14ac:dyDescent="0.2">
      <c r="A549" s="49"/>
      <c r="B549" s="49"/>
      <c r="C549" s="39"/>
      <c r="D549" s="39"/>
      <c r="E549" s="39"/>
      <c r="G549" s="34"/>
      <c r="H549" s="49"/>
      <c r="I549" s="49"/>
      <c r="J549" s="49"/>
      <c r="K549" s="49"/>
      <c r="L549" s="49"/>
      <c r="M549" s="52"/>
    </row>
    <row r="550" spans="1:13" ht="15.75" customHeight="1" x14ac:dyDescent="0.2">
      <c r="A550" s="49"/>
      <c r="B550" s="49"/>
      <c r="C550" s="39"/>
      <c r="D550" s="39"/>
      <c r="E550" s="39"/>
      <c r="G550" s="34"/>
      <c r="H550" s="49"/>
      <c r="I550" s="49"/>
      <c r="J550" s="49"/>
      <c r="K550" s="49"/>
      <c r="L550" s="49"/>
      <c r="M550" s="52"/>
    </row>
    <row r="551" spans="1:13" ht="15.75" customHeight="1" x14ac:dyDescent="0.2">
      <c r="A551" s="49"/>
      <c r="B551" s="49"/>
      <c r="C551" s="39"/>
      <c r="D551" s="39"/>
      <c r="E551" s="39"/>
      <c r="G551" s="34"/>
      <c r="H551" s="49"/>
      <c r="I551" s="49"/>
      <c r="J551" s="49"/>
      <c r="K551" s="49"/>
      <c r="L551" s="49"/>
      <c r="M551" s="52"/>
    </row>
    <row r="552" spans="1:13" ht="15.75" customHeight="1" x14ac:dyDescent="0.2">
      <c r="A552" s="49"/>
      <c r="B552" s="49"/>
      <c r="C552" s="39"/>
      <c r="D552" s="39"/>
      <c r="E552" s="39"/>
      <c r="G552" s="34"/>
      <c r="H552" s="49"/>
      <c r="I552" s="49"/>
      <c r="J552" s="49"/>
      <c r="K552" s="49"/>
      <c r="L552" s="49"/>
      <c r="M552" s="52"/>
    </row>
    <row r="553" spans="1:13" ht="15.75" customHeight="1" x14ac:dyDescent="0.2">
      <c r="A553" s="49"/>
      <c r="B553" s="49"/>
      <c r="C553" s="39"/>
      <c r="D553" s="39"/>
      <c r="E553" s="39"/>
      <c r="G553" s="34"/>
      <c r="H553" s="49"/>
      <c r="I553" s="49"/>
      <c r="J553" s="49"/>
      <c r="K553" s="49"/>
      <c r="L553" s="49"/>
      <c r="M553" s="52"/>
    </row>
    <row r="554" spans="1:13" ht="15.75" customHeight="1" x14ac:dyDescent="0.2">
      <c r="A554" s="49"/>
      <c r="B554" s="49"/>
      <c r="C554" s="39"/>
      <c r="D554" s="39"/>
      <c r="E554" s="39"/>
      <c r="G554" s="34"/>
      <c r="H554" s="49"/>
      <c r="I554" s="49"/>
      <c r="J554" s="49"/>
      <c r="K554" s="49"/>
      <c r="L554" s="49"/>
      <c r="M554" s="52"/>
    </row>
    <row r="555" spans="1:13" ht="15.75" customHeight="1" x14ac:dyDescent="0.2">
      <c r="A555" s="49"/>
      <c r="B555" s="49"/>
      <c r="C555" s="39"/>
      <c r="D555" s="39"/>
      <c r="E555" s="39"/>
      <c r="G555" s="34"/>
      <c r="H555" s="49"/>
      <c r="I555" s="49"/>
      <c r="J555" s="49"/>
      <c r="K555" s="49"/>
      <c r="L555" s="49"/>
      <c r="M555" s="52"/>
    </row>
    <row r="556" spans="1:13" ht="15.75" customHeight="1" x14ac:dyDescent="0.2">
      <c r="A556" s="49"/>
      <c r="B556" s="49"/>
      <c r="C556" s="39"/>
      <c r="D556" s="39"/>
      <c r="E556" s="39"/>
      <c r="G556" s="34"/>
      <c r="H556" s="49"/>
      <c r="I556" s="49"/>
      <c r="J556" s="49"/>
      <c r="K556" s="49"/>
      <c r="L556" s="49"/>
      <c r="M556" s="52"/>
    </row>
    <row r="557" spans="1:13" ht="15.75" customHeight="1" x14ac:dyDescent="0.2">
      <c r="A557" s="49"/>
      <c r="B557" s="49"/>
      <c r="C557" s="39"/>
      <c r="D557" s="39"/>
      <c r="E557" s="39"/>
      <c r="G557" s="34"/>
      <c r="H557" s="49"/>
      <c r="I557" s="49"/>
      <c r="J557" s="49"/>
      <c r="K557" s="49"/>
      <c r="L557" s="49"/>
      <c r="M557" s="52"/>
    </row>
    <row r="558" spans="1:13" ht="15.75" customHeight="1" x14ac:dyDescent="0.2">
      <c r="A558" s="49"/>
      <c r="B558" s="49"/>
      <c r="C558" s="39"/>
      <c r="D558" s="39"/>
      <c r="E558" s="39"/>
      <c r="G558" s="34"/>
      <c r="H558" s="49"/>
      <c r="I558" s="49"/>
      <c r="J558" s="49"/>
      <c r="K558" s="49"/>
      <c r="L558" s="49"/>
      <c r="M558" s="52"/>
    </row>
    <row r="559" spans="1:13" ht="15.75" customHeight="1" x14ac:dyDescent="0.2">
      <c r="A559" s="49"/>
      <c r="B559" s="49"/>
      <c r="C559" s="39"/>
      <c r="D559" s="39"/>
      <c r="E559" s="39"/>
      <c r="G559" s="34"/>
      <c r="H559" s="49"/>
      <c r="I559" s="49"/>
      <c r="J559" s="49"/>
      <c r="K559" s="49"/>
      <c r="L559" s="49"/>
      <c r="M559" s="52"/>
    </row>
    <row r="560" spans="1:13" ht="15.75" customHeight="1" x14ac:dyDescent="0.2">
      <c r="A560" s="49"/>
      <c r="B560" s="49"/>
      <c r="C560" s="39"/>
      <c r="D560" s="39"/>
      <c r="E560" s="39"/>
      <c r="G560" s="34"/>
      <c r="H560" s="49"/>
      <c r="I560" s="49"/>
      <c r="J560" s="49"/>
      <c r="K560" s="49"/>
      <c r="L560" s="49"/>
      <c r="M560" s="52"/>
    </row>
    <row r="561" spans="1:13" ht="15.75" customHeight="1" x14ac:dyDescent="0.2">
      <c r="A561" s="49"/>
      <c r="B561" s="49"/>
      <c r="C561" s="39"/>
      <c r="D561" s="39"/>
      <c r="E561" s="39"/>
      <c r="G561" s="34"/>
      <c r="H561" s="49"/>
      <c r="I561" s="49"/>
      <c r="J561" s="49"/>
      <c r="K561" s="49"/>
      <c r="L561" s="49"/>
      <c r="M561" s="52"/>
    </row>
    <row r="562" spans="1:13" ht="15.75" customHeight="1" x14ac:dyDescent="0.2">
      <c r="A562" s="49"/>
      <c r="B562" s="49"/>
      <c r="C562" s="39"/>
      <c r="D562" s="39"/>
      <c r="E562" s="39"/>
      <c r="G562" s="34"/>
      <c r="H562" s="49"/>
      <c r="I562" s="49"/>
      <c r="J562" s="49"/>
      <c r="K562" s="49"/>
      <c r="L562" s="49"/>
      <c r="M562" s="52"/>
    </row>
    <row r="563" spans="1:13" ht="15.75" customHeight="1" x14ac:dyDescent="0.2">
      <c r="A563" s="49"/>
      <c r="B563" s="49"/>
      <c r="C563" s="39"/>
      <c r="D563" s="39"/>
      <c r="E563" s="39"/>
      <c r="G563" s="34"/>
      <c r="H563" s="49"/>
      <c r="I563" s="49"/>
      <c r="J563" s="49"/>
      <c r="K563" s="49"/>
      <c r="L563" s="49"/>
      <c r="M563" s="52"/>
    </row>
    <row r="564" spans="1:13" ht="15.75" customHeight="1" x14ac:dyDescent="0.2">
      <c r="A564" s="49"/>
      <c r="B564" s="49"/>
      <c r="C564" s="39"/>
      <c r="D564" s="39"/>
      <c r="E564" s="39"/>
      <c r="G564" s="34"/>
      <c r="H564" s="49"/>
      <c r="I564" s="49"/>
      <c r="J564" s="49"/>
      <c r="K564" s="49"/>
      <c r="L564" s="49"/>
      <c r="M564" s="52"/>
    </row>
    <row r="565" spans="1:13" ht="15.75" customHeight="1" x14ac:dyDescent="0.2">
      <c r="A565" s="49"/>
      <c r="B565" s="49"/>
      <c r="C565" s="39"/>
      <c r="D565" s="39"/>
      <c r="E565" s="39"/>
      <c r="G565" s="34"/>
      <c r="H565" s="49"/>
      <c r="I565" s="49"/>
      <c r="J565" s="49"/>
      <c r="K565" s="49"/>
      <c r="L565" s="49"/>
      <c r="M565" s="52"/>
    </row>
    <row r="566" spans="1:13" ht="15.75" customHeight="1" x14ac:dyDescent="0.2">
      <c r="A566" s="49"/>
      <c r="B566" s="49"/>
      <c r="C566" s="39"/>
      <c r="D566" s="39"/>
      <c r="E566" s="39"/>
      <c r="G566" s="34"/>
      <c r="H566" s="49"/>
      <c r="I566" s="49"/>
      <c r="J566" s="49"/>
      <c r="K566" s="49"/>
      <c r="L566" s="49"/>
      <c r="M566" s="52"/>
    </row>
    <row r="567" spans="1:13" ht="15.75" customHeight="1" x14ac:dyDescent="0.2">
      <c r="A567" s="49"/>
      <c r="B567" s="49"/>
      <c r="C567" s="39"/>
      <c r="D567" s="39"/>
      <c r="E567" s="39"/>
      <c r="G567" s="34"/>
      <c r="H567" s="49"/>
      <c r="I567" s="49"/>
      <c r="J567" s="49"/>
      <c r="K567" s="49"/>
      <c r="L567" s="49"/>
      <c r="M567" s="52"/>
    </row>
    <row r="568" spans="1:13" ht="15.75" customHeight="1" x14ac:dyDescent="0.2">
      <c r="A568" s="49"/>
      <c r="B568" s="49"/>
      <c r="C568" s="39"/>
      <c r="D568" s="39"/>
      <c r="E568" s="39"/>
      <c r="G568" s="34"/>
      <c r="H568" s="49"/>
      <c r="I568" s="49"/>
      <c r="J568" s="49"/>
      <c r="K568" s="49"/>
      <c r="L568" s="49"/>
      <c r="M568" s="52"/>
    </row>
    <row r="569" spans="1:13" ht="15.75" customHeight="1" x14ac:dyDescent="0.2">
      <c r="A569" s="49"/>
      <c r="B569" s="49"/>
      <c r="C569" s="39"/>
      <c r="D569" s="39"/>
      <c r="E569" s="39"/>
      <c r="G569" s="34"/>
      <c r="H569" s="49"/>
      <c r="I569" s="49"/>
      <c r="J569" s="49"/>
      <c r="K569" s="49"/>
      <c r="L569" s="49"/>
      <c r="M569" s="52"/>
    </row>
    <row r="570" spans="1:13" ht="15.75" customHeight="1" x14ac:dyDescent="0.2">
      <c r="A570" s="49"/>
      <c r="B570" s="49"/>
      <c r="C570" s="39"/>
      <c r="D570" s="39"/>
      <c r="E570" s="39"/>
      <c r="G570" s="34"/>
      <c r="H570" s="49"/>
      <c r="I570" s="49"/>
      <c r="J570" s="49"/>
      <c r="K570" s="49"/>
      <c r="L570" s="49"/>
      <c r="M570" s="52"/>
    </row>
    <row r="571" spans="1:13" ht="15.75" customHeight="1" x14ac:dyDescent="0.2">
      <c r="A571" s="49"/>
      <c r="B571" s="49"/>
      <c r="C571" s="39"/>
      <c r="D571" s="39"/>
      <c r="E571" s="39"/>
      <c r="G571" s="34"/>
      <c r="H571" s="49"/>
      <c r="I571" s="49"/>
      <c r="J571" s="49"/>
      <c r="K571" s="49"/>
      <c r="L571" s="49"/>
      <c r="M571" s="52"/>
    </row>
    <row r="572" spans="1:13" ht="15.75" customHeight="1" x14ac:dyDescent="0.2">
      <c r="A572" s="49"/>
      <c r="B572" s="49"/>
      <c r="C572" s="39"/>
      <c r="D572" s="39"/>
      <c r="E572" s="39"/>
      <c r="G572" s="34"/>
      <c r="H572" s="49"/>
      <c r="I572" s="49"/>
      <c r="J572" s="49"/>
      <c r="K572" s="49"/>
      <c r="L572" s="49"/>
      <c r="M572" s="52"/>
    </row>
    <row r="573" spans="1:13" ht="15.75" customHeight="1" x14ac:dyDescent="0.2">
      <c r="A573" s="49"/>
      <c r="B573" s="49"/>
      <c r="C573" s="39"/>
      <c r="D573" s="39"/>
      <c r="E573" s="39"/>
      <c r="G573" s="34"/>
      <c r="H573" s="49"/>
      <c r="I573" s="49"/>
      <c r="J573" s="49"/>
      <c r="K573" s="49"/>
      <c r="L573" s="49"/>
      <c r="M573" s="52"/>
    </row>
    <row r="574" spans="1:13" ht="15.75" customHeight="1" x14ac:dyDescent="0.2">
      <c r="A574" s="49"/>
      <c r="B574" s="49"/>
      <c r="C574" s="39"/>
      <c r="D574" s="39"/>
      <c r="E574" s="39"/>
      <c r="G574" s="34"/>
      <c r="H574" s="49"/>
      <c r="I574" s="49"/>
      <c r="J574" s="49"/>
      <c r="K574" s="49"/>
      <c r="L574" s="49"/>
      <c r="M574" s="52"/>
    </row>
    <row r="575" spans="1:13" ht="15.75" customHeight="1" x14ac:dyDescent="0.2">
      <c r="A575" s="49"/>
      <c r="B575" s="49"/>
      <c r="C575" s="39"/>
      <c r="D575" s="39"/>
      <c r="E575" s="39"/>
      <c r="G575" s="34"/>
      <c r="H575" s="49"/>
      <c r="I575" s="49"/>
      <c r="J575" s="49"/>
      <c r="K575" s="49"/>
      <c r="L575" s="49"/>
      <c r="M575" s="52"/>
    </row>
    <row r="576" spans="1:13" ht="15.75" customHeight="1" x14ac:dyDescent="0.2">
      <c r="A576" s="49"/>
      <c r="B576" s="49"/>
      <c r="C576" s="39"/>
      <c r="D576" s="39"/>
      <c r="E576" s="39"/>
      <c r="G576" s="34"/>
      <c r="H576" s="49"/>
      <c r="I576" s="49"/>
      <c r="J576" s="49"/>
      <c r="K576" s="49"/>
      <c r="L576" s="49"/>
      <c r="M576" s="52"/>
    </row>
    <row r="577" spans="1:13" ht="15.75" customHeight="1" x14ac:dyDescent="0.2">
      <c r="A577" s="49"/>
      <c r="B577" s="49"/>
      <c r="C577" s="39"/>
      <c r="D577" s="39"/>
      <c r="E577" s="39"/>
      <c r="G577" s="34"/>
      <c r="H577" s="49"/>
      <c r="I577" s="49"/>
      <c r="J577" s="49"/>
      <c r="K577" s="49"/>
      <c r="L577" s="49"/>
      <c r="M577" s="52"/>
    </row>
    <row r="578" spans="1:13" ht="15.75" customHeight="1" x14ac:dyDescent="0.2">
      <c r="A578" s="49"/>
      <c r="B578" s="49"/>
      <c r="C578" s="39"/>
      <c r="D578" s="39"/>
      <c r="E578" s="39"/>
      <c r="G578" s="34"/>
      <c r="H578" s="49"/>
      <c r="I578" s="49"/>
      <c r="J578" s="49"/>
      <c r="K578" s="49"/>
      <c r="L578" s="49"/>
      <c r="M578" s="52"/>
    </row>
    <row r="579" spans="1:13" ht="15.75" customHeight="1" x14ac:dyDescent="0.2">
      <c r="A579" s="49"/>
      <c r="B579" s="49"/>
      <c r="C579" s="39"/>
      <c r="D579" s="39"/>
      <c r="E579" s="39"/>
      <c r="G579" s="34"/>
      <c r="H579" s="49"/>
      <c r="I579" s="49"/>
      <c r="J579" s="49"/>
      <c r="K579" s="49"/>
      <c r="L579" s="49"/>
      <c r="M579" s="52"/>
    </row>
    <row r="580" spans="1:13" ht="15.75" customHeight="1" x14ac:dyDescent="0.2">
      <c r="A580" s="49"/>
      <c r="B580" s="49"/>
      <c r="C580" s="39"/>
      <c r="D580" s="39"/>
      <c r="E580" s="39"/>
      <c r="G580" s="34"/>
      <c r="H580" s="49"/>
      <c r="I580" s="49"/>
      <c r="J580" s="49"/>
      <c r="K580" s="49"/>
      <c r="L580" s="49"/>
      <c r="M580" s="52"/>
    </row>
    <row r="581" spans="1:13" ht="15.75" customHeight="1" x14ac:dyDescent="0.2">
      <c r="A581" s="49"/>
      <c r="B581" s="49"/>
      <c r="C581" s="39"/>
      <c r="D581" s="39"/>
      <c r="E581" s="39"/>
      <c r="G581" s="34"/>
      <c r="H581" s="49"/>
      <c r="I581" s="49"/>
      <c r="J581" s="49"/>
      <c r="K581" s="49"/>
      <c r="L581" s="49"/>
      <c r="M581" s="52"/>
    </row>
    <row r="582" spans="1:13" ht="15.75" customHeight="1" x14ac:dyDescent="0.2">
      <c r="A582" s="49"/>
      <c r="B582" s="49"/>
      <c r="C582" s="39"/>
      <c r="D582" s="39"/>
      <c r="E582" s="39"/>
      <c r="G582" s="34"/>
      <c r="H582" s="49"/>
      <c r="I582" s="49"/>
      <c r="J582" s="49"/>
      <c r="K582" s="49"/>
      <c r="L582" s="49"/>
      <c r="M582" s="52"/>
    </row>
    <row r="583" spans="1:13" ht="15.75" customHeight="1" x14ac:dyDescent="0.2">
      <c r="A583" s="49"/>
      <c r="B583" s="49"/>
      <c r="C583" s="39"/>
      <c r="D583" s="39"/>
      <c r="E583" s="39"/>
      <c r="G583" s="34"/>
      <c r="H583" s="49"/>
      <c r="I583" s="49"/>
      <c r="J583" s="49"/>
      <c r="K583" s="49"/>
      <c r="L583" s="49"/>
      <c r="M583" s="52"/>
    </row>
    <row r="584" spans="1:13" ht="15.75" customHeight="1" x14ac:dyDescent="0.2">
      <c r="A584" s="49"/>
      <c r="B584" s="49"/>
      <c r="C584" s="39"/>
      <c r="D584" s="39"/>
      <c r="E584" s="39"/>
      <c r="G584" s="34"/>
      <c r="H584" s="49"/>
      <c r="I584" s="49"/>
      <c r="J584" s="49"/>
      <c r="K584" s="49"/>
      <c r="L584" s="49"/>
      <c r="M584" s="52"/>
    </row>
    <row r="585" spans="1:13" ht="15.75" customHeight="1" x14ac:dyDescent="0.2">
      <c r="A585" s="49"/>
      <c r="B585" s="49"/>
      <c r="C585" s="39"/>
      <c r="D585" s="39"/>
      <c r="E585" s="39"/>
      <c r="G585" s="34"/>
      <c r="H585" s="49"/>
      <c r="I585" s="49"/>
      <c r="J585" s="49"/>
      <c r="K585" s="49"/>
      <c r="L585" s="49"/>
      <c r="M585" s="52"/>
    </row>
    <row r="586" spans="1:13" ht="15.75" customHeight="1" x14ac:dyDescent="0.2">
      <c r="A586" s="49"/>
      <c r="B586" s="49"/>
      <c r="C586" s="39"/>
      <c r="D586" s="39"/>
      <c r="E586" s="39"/>
      <c r="G586" s="34"/>
      <c r="H586" s="49"/>
      <c r="I586" s="49"/>
      <c r="J586" s="49"/>
      <c r="K586" s="49"/>
      <c r="L586" s="49"/>
      <c r="M586" s="52"/>
    </row>
    <row r="587" spans="1:13" ht="15.75" customHeight="1" x14ac:dyDescent="0.2">
      <c r="A587" s="49"/>
      <c r="B587" s="49"/>
      <c r="C587" s="39"/>
      <c r="D587" s="39"/>
      <c r="E587" s="39"/>
      <c r="G587" s="34"/>
      <c r="H587" s="49"/>
      <c r="I587" s="49"/>
      <c r="J587" s="49"/>
      <c r="K587" s="49"/>
      <c r="L587" s="49"/>
      <c r="M587" s="52"/>
    </row>
    <row r="588" spans="1:13" ht="15.75" customHeight="1" x14ac:dyDescent="0.2">
      <c r="A588" s="49"/>
      <c r="B588" s="49"/>
      <c r="C588" s="39"/>
      <c r="D588" s="39"/>
      <c r="E588" s="39"/>
      <c r="G588" s="34"/>
      <c r="H588" s="49"/>
      <c r="I588" s="49"/>
      <c r="J588" s="49"/>
      <c r="K588" s="49"/>
      <c r="L588" s="49"/>
      <c r="M588" s="52"/>
    </row>
    <row r="589" spans="1:13" ht="15.75" customHeight="1" x14ac:dyDescent="0.2">
      <c r="A589" s="49"/>
      <c r="B589" s="49"/>
      <c r="C589" s="39"/>
      <c r="D589" s="39"/>
      <c r="E589" s="39"/>
      <c r="G589" s="34"/>
      <c r="H589" s="49"/>
      <c r="I589" s="49"/>
      <c r="J589" s="49"/>
      <c r="K589" s="49"/>
      <c r="L589" s="49"/>
      <c r="M589" s="52"/>
    </row>
    <row r="590" spans="1:13" ht="15.75" customHeight="1" x14ac:dyDescent="0.2">
      <c r="A590" s="49"/>
      <c r="B590" s="49"/>
      <c r="C590" s="39"/>
      <c r="D590" s="39"/>
      <c r="E590" s="39"/>
      <c r="G590" s="34"/>
      <c r="H590" s="49"/>
      <c r="I590" s="49"/>
      <c r="J590" s="49"/>
      <c r="K590" s="49"/>
      <c r="L590" s="49"/>
      <c r="M590" s="52"/>
    </row>
    <row r="591" spans="1:13" ht="15.75" customHeight="1" x14ac:dyDescent="0.2">
      <c r="A591" s="49"/>
      <c r="B591" s="49"/>
      <c r="C591" s="39"/>
      <c r="D591" s="39"/>
      <c r="E591" s="39"/>
      <c r="G591" s="34"/>
      <c r="H591" s="49"/>
      <c r="I591" s="49"/>
      <c r="J591" s="49"/>
      <c r="K591" s="49"/>
      <c r="L591" s="49"/>
      <c r="M591" s="52"/>
    </row>
    <row r="592" spans="1:13" ht="15.75" customHeight="1" x14ac:dyDescent="0.2">
      <c r="A592" s="49"/>
      <c r="B592" s="49"/>
      <c r="C592" s="39"/>
      <c r="D592" s="39"/>
      <c r="E592" s="39"/>
      <c r="G592" s="34"/>
      <c r="H592" s="49"/>
      <c r="I592" s="49"/>
      <c r="J592" s="49"/>
      <c r="K592" s="49"/>
      <c r="L592" s="49"/>
      <c r="M592" s="52"/>
    </row>
    <row r="593" spans="1:13" ht="15.75" customHeight="1" x14ac:dyDescent="0.2">
      <c r="A593" s="49"/>
      <c r="B593" s="49"/>
      <c r="C593" s="39"/>
      <c r="D593" s="39"/>
      <c r="E593" s="39"/>
      <c r="G593" s="34"/>
      <c r="H593" s="49"/>
      <c r="I593" s="49"/>
      <c r="J593" s="49"/>
      <c r="K593" s="49"/>
      <c r="L593" s="49"/>
      <c r="M593" s="52"/>
    </row>
    <row r="594" spans="1:13" ht="15.75" customHeight="1" x14ac:dyDescent="0.2">
      <c r="A594" s="49"/>
      <c r="B594" s="49"/>
      <c r="C594" s="39"/>
      <c r="D594" s="39"/>
      <c r="E594" s="39"/>
      <c r="G594" s="34"/>
      <c r="H594" s="49"/>
      <c r="I594" s="49"/>
      <c r="J594" s="49"/>
      <c r="K594" s="49"/>
      <c r="L594" s="49"/>
      <c r="M594" s="52"/>
    </row>
    <row r="595" spans="1:13" ht="15.75" customHeight="1" x14ac:dyDescent="0.2">
      <c r="A595" s="49"/>
      <c r="B595" s="49"/>
      <c r="C595" s="39"/>
      <c r="D595" s="39"/>
      <c r="E595" s="39"/>
      <c r="G595" s="34"/>
      <c r="H595" s="49"/>
      <c r="I595" s="49"/>
      <c r="J595" s="49"/>
      <c r="K595" s="49"/>
      <c r="L595" s="49"/>
      <c r="M595" s="52"/>
    </row>
    <row r="596" spans="1:13" ht="15.75" customHeight="1" x14ac:dyDescent="0.2">
      <c r="A596" s="49"/>
      <c r="B596" s="49"/>
      <c r="C596" s="39"/>
      <c r="D596" s="39"/>
      <c r="E596" s="39"/>
      <c r="G596" s="34"/>
      <c r="H596" s="49"/>
      <c r="I596" s="49"/>
      <c r="J596" s="49"/>
      <c r="K596" s="49"/>
      <c r="L596" s="49"/>
      <c r="M596" s="52"/>
    </row>
    <row r="597" spans="1:13" ht="15.75" customHeight="1" x14ac:dyDescent="0.2">
      <c r="A597" s="49"/>
      <c r="B597" s="49"/>
      <c r="C597" s="39"/>
      <c r="D597" s="39"/>
      <c r="E597" s="39"/>
      <c r="G597" s="34"/>
      <c r="H597" s="49"/>
      <c r="I597" s="49"/>
      <c r="J597" s="49"/>
      <c r="K597" s="49"/>
      <c r="L597" s="49"/>
      <c r="M597" s="52"/>
    </row>
    <row r="598" spans="1:13" ht="15.75" customHeight="1" x14ac:dyDescent="0.2">
      <c r="A598" s="49"/>
      <c r="B598" s="49"/>
      <c r="C598" s="39"/>
      <c r="D598" s="39"/>
      <c r="E598" s="39"/>
      <c r="G598" s="34"/>
      <c r="H598" s="49"/>
      <c r="I598" s="49"/>
      <c r="J598" s="49"/>
      <c r="K598" s="49"/>
      <c r="L598" s="49"/>
      <c r="M598" s="52"/>
    </row>
    <row r="599" spans="1:13" ht="15.75" customHeight="1" x14ac:dyDescent="0.2">
      <c r="A599" s="49"/>
      <c r="B599" s="49"/>
      <c r="C599" s="39"/>
      <c r="D599" s="39"/>
      <c r="E599" s="39"/>
      <c r="G599" s="34"/>
      <c r="H599" s="49"/>
      <c r="I599" s="49"/>
      <c r="J599" s="49"/>
      <c r="K599" s="49"/>
      <c r="L599" s="49"/>
      <c r="M599" s="52"/>
    </row>
    <row r="600" spans="1:13" ht="15.75" customHeight="1" x14ac:dyDescent="0.2">
      <c r="A600" s="49"/>
      <c r="B600" s="49"/>
      <c r="C600" s="39"/>
      <c r="D600" s="39"/>
      <c r="E600" s="39"/>
      <c r="G600" s="34"/>
      <c r="H600" s="49"/>
      <c r="I600" s="49"/>
      <c r="J600" s="49"/>
      <c r="K600" s="49"/>
      <c r="L600" s="49"/>
      <c r="M600" s="52"/>
    </row>
    <row r="601" spans="1:13" ht="15.75" customHeight="1" x14ac:dyDescent="0.2">
      <c r="A601" s="49"/>
      <c r="B601" s="49"/>
      <c r="C601" s="39"/>
      <c r="D601" s="39"/>
      <c r="E601" s="39"/>
      <c r="G601" s="34"/>
      <c r="H601" s="49"/>
      <c r="I601" s="49"/>
      <c r="J601" s="49"/>
      <c r="K601" s="49"/>
      <c r="L601" s="49"/>
      <c r="M601" s="52"/>
    </row>
    <row r="602" spans="1:13" ht="15.75" customHeight="1" x14ac:dyDescent="0.2">
      <c r="A602" s="49"/>
      <c r="B602" s="49"/>
      <c r="C602" s="39"/>
      <c r="D602" s="39"/>
      <c r="E602" s="39"/>
      <c r="G602" s="34"/>
      <c r="H602" s="49"/>
      <c r="I602" s="49"/>
      <c r="J602" s="49"/>
      <c r="K602" s="49"/>
      <c r="L602" s="49"/>
      <c r="M602" s="52"/>
    </row>
    <row r="603" spans="1:13" ht="15.75" customHeight="1" x14ac:dyDescent="0.2">
      <c r="A603" s="49"/>
      <c r="B603" s="49"/>
      <c r="C603" s="39"/>
      <c r="D603" s="39"/>
      <c r="E603" s="39"/>
      <c r="G603" s="34"/>
      <c r="H603" s="49"/>
      <c r="I603" s="49"/>
      <c r="J603" s="49"/>
      <c r="K603" s="49"/>
      <c r="L603" s="49"/>
      <c r="M603" s="52"/>
    </row>
    <row r="604" spans="1:13" ht="15.75" customHeight="1" x14ac:dyDescent="0.2">
      <c r="A604" s="49"/>
      <c r="B604" s="49"/>
      <c r="C604" s="39"/>
      <c r="D604" s="39"/>
      <c r="E604" s="39"/>
      <c r="G604" s="34"/>
      <c r="H604" s="49"/>
      <c r="I604" s="49"/>
      <c r="J604" s="49"/>
      <c r="K604" s="49"/>
      <c r="L604" s="49"/>
      <c r="M604" s="52"/>
    </row>
    <row r="605" spans="1:13" ht="15.75" customHeight="1" x14ac:dyDescent="0.2">
      <c r="A605" s="49"/>
      <c r="B605" s="49"/>
      <c r="C605" s="39"/>
      <c r="D605" s="39"/>
      <c r="E605" s="39"/>
      <c r="G605" s="34"/>
      <c r="H605" s="49"/>
      <c r="I605" s="49"/>
      <c r="J605" s="49"/>
      <c r="K605" s="49"/>
      <c r="L605" s="49"/>
      <c r="M605" s="52"/>
    </row>
    <row r="606" spans="1:13" ht="15.75" customHeight="1" x14ac:dyDescent="0.2">
      <c r="A606" s="49"/>
      <c r="B606" s="49"/>
      <c r="C606" s="39"/>
      <c r="D606" s="39"/>
      <c r="E606" s="39"/>
      <c r="G606" s="34"/>
      <c r="H606" s="49"/>
      <c r="I606" s="49"/>
      <c r="J606" s="49"/>
      <c r="K606" s="49"/>
      <c r="L606" s="49"/>
      <c r="M606" s="52"/>
    </row>
    <row r="607" spans="1:13" ht="15.75" customHeight="1" x14ac:dyDescent="0.2">
      <c r="A607" s="49"/>
      <c r="B607" s="49"/>
      <c r="C607" s="39"/>
      <c r="D607" s="39"/>
      <c r="E607" s="39"/>
      <c r="G607" s="34"/>
      <c r="H607" s="49"/>
      <c r="I607" s="49"/>
      <c r="J607" s="49"/>
      <c r="K607" s="49"/>
      <c r="L607" s="49"/>
      <c r="M607" s="52"/>
    </row>
    <row r="608" spans="1:13" ht="15.75" customHeight="1" x14ac:dyDescent="0.2">
      <c r="A608" s="49"/>
      <c r="B608" s="49"/>
      <c r="C608" s="39"/>
      <c r="D608" s="39"/>
      <c r="E608" s="39"/>
      <c r="G608" s="34"/>
      <c r="H608" s="49"/>
      <c r="I608" s="49"/>
      <c r="J608" s="49"/>
      <c r="K608" s="49"/>
      <c r="L608" s="49"/>
      <c r="M608" s="52"/>
    </row>
    <row r="609" spans="1:13" ht="15.75" customHeight="1" x14ac:dyDescent="0.2">
      <c r="A609" s="49"/>
      <c r="B609" s="49"/>
      <c r="C609" s="39"/>
      <c r="D609" s="39"/>
      <c r="E609" s="39"/>
      <c r="G609" s="34"/>
      <c r="H609" s="49"/>
      <c r="I609" s="49"/>
      <c r="J609" s="49"/>
      <c r="K609" s="49"/>
      <c r="L609" s="49"/>
      <c r="M609" s="52"/>
    </row>
    <row r="610" spans="1:13" ht="15.75" customHeight="1" x14ac:dyDescent="0.2">
      <c r="A610" s="49"/>
      <c r="B610" s="49"/>
      <c r="C610" s="39"/>
      <c r="D610" s="39"/>
      <c r="E610" s="39"/>
      <c r="G610" s="34"/>
      <c r="H610" s="49"/>
      <c r="I610" s="49"/>
      <c r="J610" s="49"/>
      <c r="K610" s="49"/>
      <c r="L610" s="49"/>
      <c r="M610" s="52"/>
    </row>
    <row r="611" spans="1:13" ht="15.75" customHeight="1" x14ac:dyDescent="0.2">
      <c r="A611" s="49"/>
      <c r="B611" s="49"/>
      <c r="C611" s="39"/>
      <c r="D611" s="39"/>
      <c r="E611" s="39"/>
      <c r="G611" s="34"/>
      <c r="H611" s="49"/>
      <c r="I611" s="49"/>
      <c r="J611" s="49"/>
      <c r="K611" s="49"/>
      <c r="L611" s="49"/>
      <c r="M611" s="52"/>
    </row>
    <row r="612" spans="1:13" ht="15.75" customHeight="1" x14ac:dyDescent="0.2">
      <c r="A612" s="49"/>
      <c r="B612" s="49"/>
      <c r="C612" s="39"/>
      <c r="D612" s="39"/>
      <c r="E612" s="39"/>
      <c r="G612" s="34"/>
      <c r="H612" s="49"/>
      <c r="I612" s="49"/>
      <c r="J612" s="49"/>
      <c r="K612" s="49"/>
      <c r="L612" s="49"/>
      <c r="M612" s="52"/>
    </row>
    <row r="613" spans="1:13" ht="15.75" customHeight="1" x14ac:dyDescent="0.2">
      <c r="A613" s="49"/>
      <c r="B613" s="49"/>
      <c r="C613" s="39"/>
      <c r="D613" s="39"/>
      <c r="E613" s="39"/>
      <c r="G613" s="34"/>
      <c r="H613" s="49"/>
      <c r="I613" s="49"/>
      <c r="J613" s="49"/>
      <c r="K613" s="49"/>
      <c r="L613" s="49"/>
      <c r="M613" s="52"/>
    </row>
    <row r="614" spans="1:13" ht="15.75" customHeight="1" x14ac:dyDescent="0.2">
      <c r="A614" s="49"/>
      <c r="B614" s="49"/>
      <c r="C614" s="39"/>
      <c r="D614" s="39"/>
      <c r="E614" s="39"/>
      <c r="G614" s="34"/>
      <c r="H614" s="49"/>
      <c r="I614" s="49"/>
      <c r="J614" s="49"/>
      <c r="K614" s="49"/>
      <c r="L614" s="49"/>
      <c r="M614" s="52"/>
    </row>
    <row r="615" spans="1:13" ht="15.75" customHeight="1" x14ac:dyDescent="0.2">
      <c r="A615" s="49"/>
      <c r="B615" s="49"/>
      <c r="C615" s="39"/>
      <c r="D615" s="39"/>
      <c r="E615" s="39"/>
      <c r="G615" s="34"/>
      <c r="H615" s="49"/>
      <c r="I615" s="49"/>
      <c r="J615" s="49"/>
      <c r="K615" s="49"/>
      <c r="L615" s="49"/>
      <c r="M615" s="52"/>
    </row>
    <row r="616" spans="1:13" ht="15.75" customHeight="1" x14ac:dyDescent="0.2">
      <c r="A616" s="49"/>
      <c r="B616" s="49"/>
      <c r="C616" s="39"/>
      <c r="D616" s="39"/>
      <c r="E616" s="39"/>
      <c r="G616" s="34"/>
      <c r="H616" s="49"/>
      <c r="I616" s="49"/>
      <c r="J616" s="49"/>
      <c r="K616" s="49"/>
      <c r="L616" s="49"/>
      <c r="M616" s="52"/>
    </row>
    <row r="617" spans="1:13" ht="15.75" customHeight="1" x14ac:dyDescent="0.2">
      <c r="A617" s="49"/>
      <c r="B617" s="49"/>
      <c r="C617" s="39"/>
      <c r="D617" s="39"/>
      <c r="E617" s="39"/>
      <c r="G617" s="34"/>
      <c r="H617" s="49"/>
      <c r="I617" s="49"/>
      <c r="J617" s="49"/>
      <c r="K617" s="49"/>
      <c r="L617" s="49"/>
      <c r="M617" s="52"/>
    </row>
    <row r="618" spans="1:13" ht="15.75" customHeight="1" x14ac:dyDescent="0.2">
      <c r="A618" s="49"/>
      <c r="B618" s="49"/>
      <c r="C618" s="39"/>
      <c r="D618" s="39"/>
      <c r="E618" s="39"/>
      <c r="G618" s="34"/>
      <c r="H618" s="49"/>
      <c r="I618" s="49"/>
      <c r="J618" s="49"/>
      <c r="K618" s="49"/>
      <c r="L618" s="49"/>
      <c r="M618" s="52"/>
    </row>
    <row r="619" spans="1:13" ht="15.75" customHeight="1" x14ac:dyDescent="0.2">
      <c r="A619" s="49"/>
      <c r="B619" s="49"/>
      <c r="C619" s="39"/>
      <c r="D619" s="39"/>
      <c r="E619" s="39"/>
      <c r="G619" s="34"/>
      <c r="H619" s="49"/>
      <c r="I619" s="49"/>
      <c r="J619" s="49"/>
      <c r="K619" s="49"/>
      <c r="L619" s="49"/>
      <c r="M619" s="52"/>
    </row>
    <row r="620" spans="1:13" ht="15.75" customHeight="1" x14ac:dyDescent="0.2">
      <c r="A620" s="49"/>
      <c r="B620" s="49"/>
      <c r="C620" s="39"/>
      <c r="D620" s="39"/>
      <c r="E620" s="39"/>
      <c r="G620" s="34"/>
      <c r="H620" s="49"/>
      <c r="I620" s="49"/>
      <c r="J620" s="49"/>
      <c r="K620" s="49"/>
      <c r="L620" s="49"/>
      <c r="M620" s="52"/>
    </row>
    <row r="621" spans="1:13" ht="15.75" customHeight="1" x14ac:dyDescent="0.2">
      <c r="A621" s="49"/>
      <c r="B621" s="49"/>
      <c r="C621" s="39"/>
      <c r="D621" s="39"/>
      <c r="E621" s="39"/>
      <c r="G621" s="34"/>
      <c r="H621" s="49"/>
      <c r="I621" s="49"/>
      <c r="J621" s="49"/>
      <c r="K621" s="49"/>
      <c r="L621" s="49"/>
      <c r="M621" s="52"/>
    </row>
    <row r="622" spans="1:13" ht="15.75" customHeight="1" x14ac:dyDescent="0.2">
      <c r="A622" s="49"/>
      <c r="B622" s="49"/>
      <c r="C622" s="39"/>
      <c r="D622" s="39"/>
      <c r="E622" s="39"/>
      <c r="G622" s="34"/>
      <c r="H622" s="49"/>
      <c r="I622" s="49"/>
      <c r="J622" s="49"/>
      <c r="K622" s="49"/>
      <c r="L622" s="49"/>
      <c r="M622" s="52"/>
    </row>
    <row r="623" spans="1:13" ht="15.75" customHeight="1" x14ac:dyDescent="0.2">
      <c r="A623" s="49"/>
      <c r="B623" s="49"/>
      <c r="C623" s="39"/>
      <c r="D623" s="39"/>
      <c r="E623" s="39"/>
      <c r="G623" s="34"/>
      <c r="H623" s="49"/>
      <c r="I623" s="49"/>
      <c r="J623" s="49"/>
      <c r="K623" s="49"/>
      <c r="L623" s="49"/>
      <c r="M623" s="52"/>
    </row>
    <row r="624" spans="1:13" ht="15.75" customHeight="1" x14ac:dyDescent="0.2">
      <c r="A624" s="49"/>
      <c r="B624" s="49"/>
      <c r="C624" s="39"/>
      <c r="D624" s="39"/>
      <c r="E624" s="39"/>
      <c r="G624" s="34"/>
      <c r="H624" s="49"/>
      <c r="I624" s="49"/>
      <c r="J624" s="49"/>
      <c r="K624" s="49"/>
      <c r="L624" s="49"/>
      <c r="M624" s="52"/>
    </row>
    <row r="625" spans="1:13" ht="15.75" customHeight="1" x14ac:dyDescent="0.2">
      <c r="A625" s="49"/>
      <c r="B625" s="49"/>
      <c r="C625" s="39"/>
      <c r="D625" s="39"/>
      <c r="E625" s="39"/>
      <c r="G625" s="34"/>
      <c r="H625" s="49"/>
      <c r="I625" s="49"/>
      <c r="J625" s="49"/>
      <c r="K625" s="49"/>
      <c r="L625" s="49"/>
      <c r="M625" s="52"/>
    </row>
    <row r="626" spans="1:13" ht="15.75" customHeight="1" x14ac:dyDescent="0.2">
      <c r="A626" s="49"/>
      <c r="B626" s="49"/>
      <c r="C626" s="39"/>
      <c r="D626" s="39"/>
      <c r="E626" s="39"/>
      <c r="G626" s="34"/>
      <c r="H626" s="49"/>
      <c r="I626" s="49"/>
      <c r="J626" s="49"/>
      <c r="K626" s="49"/>
      <c r="L626" s="49"/>
      <c r="M626" s="52"/>
    </row>
    <row r="627" spans="1:13" ht="15.75" customHeight="1" x14ac:dyDescent="0.2">
      <c r="A627" s="49"/>
      <c r="B627" s="49"/>
      <c r="C627" s="39"/>
      <c r="D627" s="39"/>
      <c r="E627" s="39"/>
      <c r="G627" s="34"/>
      <c r="H627" s="49"/>
      <c r="I627" s="49"/>
      <c r="J627" s="49"/>
      <c r="K627" s="49"/>
      <c r="L627" s="49"/>
      <c r="M627" s="52"/>
    </row>
    <row r="628" spans="1:13" ht="15.75" customHeight="1" x14ac:dyDescent="0.2">
      <c r="A628" s="49"/>
      <c r="B628" s="49"/>
      <c r="C628" s="39"/>
      <c r="D628" s="39"/>
      <c r="E628" s="39"/>
      <c r="G628" s="34"/>
      <c r="H628" s="49"/>
      <c r="I628" s="49"/>
      <c r="J628" s="49"/>
      <c r="K628" s="49"/>
      <c r="L628" s="49"/>
      <c r="M628" s="52"/>
    </row>
    <row r="629" spans="1:13" ht="15.75" customHeight="1" x14ac:dyDescent="0.2">
      <c r="A629" s="49"/>
      <c r="B629" s="49"/>
      <c r="C629" s="39"/>
      <c r="D629" s="39"/>
      <c r="E629" s="39"/>
      <c r="G629" s="34"/>
      <c r="H629" s="49"/>
      <c r="I629" s="49"/>
      <c r="J629" s="49"/>
      <c r="K629" s="49"/>
      <c r="L629" s="49"/>
      <c r="M629" s="52"/>
    </row>
    <row r="630" spans="1:13" ht="15.75" customHeight="1" x14ac:dyDescent="0.2">
      <c r="A630" s="49"/>
      <c r="B630" s="49"/>
      <c r="C630" s="39"/>
      <c r="D630" s="39"/>
      <c r="E630" s="39"/>
      <c r="G630" s="34"/>
      <c r="H630" s="49"/>
      <c r="I630" s="49"/>
      <c r="J630" s="49"/>
      <c r="K630" s="49"/>
      <c r="L630" s="49"/>
      <c r="M630" s="52"/>
    </row>
    <row r="631" spans="1:13" ht="15.75" customHeight="1" x14ac:dyDescent="0.2">
      <c r="A631" s="49"/>
      <c r="B631" s="49"/>
      <c r="C631" s="39"/>
      <c r="D631" s="39"/>
      <c r="E631" s="39"/>
      <c r="G631" s="34"/>
      <c r="H631" s="49"/>
      <c r="I631" s="49"/>
      <c r="J631" s="49"/>
      <c r="K631" s="49"/>
      <c r="L631" s="49"/>
      <c r="M631" s="52"/>
    </row>
    <row r="632" spans="1:13" ht="15.75" customHeight="1" x14ac:dyDescent="0.2">
      <c r="A632" s="49"/>
      <c r="B632" s="49"/>
      <c r="C632" s="39"/>
      <c r="D632" s="39"/>
      <c r="E632" s="39"/>
      <c r="G632" s="34"/>
      <c r="H632" s="49"/>
      <c r="I632" s="49"/>
      <c r="J632" s="49"/>
      <c r="K632" s="49"/>
      <c r="L632" s="49"/>
      <c r="M632" s="52"/>
    </row>
    <row r="633" spans="1:13" ht="15.75" customHeight="1" x14ac:dyDescent="0.2">
      <c r="A633" s="49"/>
      <c r="B633" s="49"/>
      <c r="C633" s="39"/>
      <c r="D633" s="39"/>
      <c r="E633" s="39"/>
      <c r="G633" s="34"/>
      <c r="H633" s="49"/>
      <c r="I633" s="49"/>
      <c r="J633" s="49"/>
      <c r="K633" s="49"/>
      <c r="L633" s="49"/>
      <c r="M633" s="52"/>
    </row>
    <row r="634" spans="1:13" ht="15.75" customHeight="1" x14ac:dyDescent="0.2">
      <c r="A634" s="49"/>
      <c r="B634" s="49"/>
      <c r="C634" s="39"/>
      <c r="D634" s="39"/>
      <c r="E634" s="39"/>
      <c r="G634" s="34"/>
      <c r="H634" s="49"/>
      <c r="I634" s="49"/>
      <c r="J634" s="49"/>
      <c r="K634" s="49"/>
      <c r="L634" s="49"/>
      <c r="M634" s="52"/>
    </row>
    <row r="635" spans="1:13" ht="15.75" customHeight="1" x14ac:dyDescent="0.2">
      <c r="A635" s="49"/>
      <c r="B635" s="49"/>
      <c r="C635" s="39"/>
      <c r="D635" s="39"/>
      <c r="E635" s="39"/>
      <c r="G635" s="34"/>
      <c r="H635" s="49"/>
      <c r="I635" s="49"/>
      <c r="J635" s="49"/>
      <c r="K635" s="49"/>
      <c r="L635" s="49"/>
      <c r="M635" s="52"/>
    </row>
    <row r="636" spans="1:13" ht="15.75" customHeight="1" x14ac:dyDescent="0.2">
      <c r="A636" s="49"/>
      <c r="B636" s="49"/>
      <c r="C636" s="39"/>
      <c r="D636" s="39"/>
      <c r="E636" s="39"/>
      <c r="G636" s="34"/>
      <c r="H636" s="49"/>
      <c r="I636" s="49"/>
      <c r="J636" s="49"/>
      <c r="K636" s="49"/>
      <c r="L636" s="49"/>
      <c r="M636" s="52"/>
    </row>
    <row r="637" spans="1:13" ht="15.75" customHeight="1" x14ac:dyDescent="0.2">
      <c r="A637" s="49"/>
      <c r="B637" s="49"/>
      <c r="C637" s="39"/>
      <c r="D637" s="39"/>
      <c r="E637" s="39"/>
      <c r="G637" s="34"/>
      <c r="H637" s="49"/>
      <c r="I637" s="49"/>
      <c r="J637" s="49"/>
      <c r="K637" s="49"/>
      <c r="L637" s="49"/>
      <c r="M637" s="52"/>
    </row>
    <row r="638" spans="1:13" ht="15.75" customHeight="1" x14ac:dyDescent="0.2">
      <c r="A638" s="49"/>
      <c r="B638" s="49"/>
      <c r="C638" s="39"/>
      <c r="D638" s="39"/>
      <c r="E638" s="39"/>
      <c r="G638" s="34"/>
      <c r="H638" s="49"/>
      <c r="I638" s="49"/>
      <c r="J638" s="49"/>
      <c r="K638" s="49"/>
      <c r="L638" s="49"/>
      <c r="M638" s="52"/>
    </row>
    <row r="639" spans="1:13" ht="15.75" customHeight="1" x14ac:dyDescent="0.2">
      <c r="A639" s="49"/>
      <c r="B639" s="49"/>
      <c r="C639" s="39"/>
      <c r="D639" s="39"/>
      <c r="E639" s="39"/>
      <c r="G639" s="34"/>
      <c r="H639" s="49"/>
      <c r="I639" s="49"/>
      <c r="J639" s="49"/>
      <c r="K639" s="49"/>
      <c r="L639" s="49"/>
      <c r="M639" s="52"/>
    </row>
    <row r="640" spans="1:13" ht="15.75" customHeight="1" x14ac:dyDescent="0.2">
      <c r="A640" s="49"/>
      <c r="B640" s="49"/>
      <c r="C640" s="39"/>
      <c r="D640" s="39"/>
      <c r="E640" s="39"/>
      <c r="G640" s="34"/>
      <c r="H640" s="49"/>
      <c r="I640" s="49"/>
      <c r="J640" s="49"/>
      <c r="K640" s="49"/>
      <c r="L640" s="49"/>
      <c r="M640" s="52"/>
    </row>
    <row r="641" spans="1:13" ht="15.75" customHeight="1" x14ac:dyDescent="0.2">
      <c r="A641" s="49"/>
      <c r="B641" s="49"/>
      <c r="C641" s="39"/>
      <c r="D641" s="39"/>
      <c r="E641" s="39"/>
      <c r="G641" s="34"/>
      <c r="H641" s="49"/>
      <c r="I641" s="49"/>
      <c r="J641" s="49"/>
      <c r="K641" s="49"/>
      <c r="L641" s="49"/>
      <c r="M641" s="52"/>
    </row>
    <row r="642" spans="1:13" ht="15.75" customHeight="1" x14ac:dyDescent="0.2">
      <c r="A642" s="49"/>
      <c r="B642" s="49"/>
      <c r="C642" s="39"/>
      <c r="D642" s="39"/>
      <c r="E642" s="39"/>
      <c r="G642" s="34"/>
      <c r="H642" s="49"/>
      <c r="I642" s="49"/>
      <c r="J642" s="49"/>
      <c r="K642" s="49"/>
      <c r="L642" s="49"/>
      <c r="M642" s="52"/>
    </row>
    <row r="643" spans="1:13" ht="15.75" customHeight="1" x14ac:dyDescent="0.2">
      <c r="A643" s="49"/>
      <c r="B643" s="49"/>
      <c r="C643" s="39"/>
      <c r="D643" s="39"/>
      <c r="E643" s="39"/>
      <c r="G643" s="34"/>
      <c r="H643" s="49"/>
      <c r="I643" s="49"/>
      <c r="J643" s="49"/>
      <c r="K643" s="49"/>
      <c r="L643" s="49"/>
      <c r="M643" s="52"/>
    </row>
    <row r="644" spans="1:13" ht="15.75" customHeight="1" x14ac:dyDescent="0.2">
      <c r="A644" s="49"/>
      <c r="B644" s="49"/>
      <c r="C644" s="39"/>
      <c r="D644" s="39"/>
      <c r="E644" s="39"/>
      <c r="G644" s="34"/>
      <c r="H644" s="49"/>
      <c r="I644" s="49"/>
      <c r="J644" s="49"/>
      <c r="K644" s="49"/>
      <c r="L644" s="49"/>
      <c r="M644" s="52"/>
    </row>
    <row r="645" spans="1:13" ht="15.75" customHeight="1" x14ac:dyDescent="0.2">
      <c r="A645" s="49"/>
      <c r="B645" s="49"/>
      <c r="C645" s="39"/>
      <c r="D645" s="39"/>
      <c r="E645" s="39"/>
      <c r="G645" s="34"/>
      <c r="H645" s="49"/>
      <c r="I645" s="49"/>
      <c r="J645" s="49"/>
      <c r="K645" s="49"/>
      <c r="L645" s="49"/>
      <c r="M645" s="52"/>
    </row>
    <row r="646" spans="1:13" ht="15.75" customHeight="1" x14ac:dyDescent="0.2">
      <c r="A646" s="49"/>
      <c r="B646" s="49"/>
      <c r="C646" s="39"/>
      <c r="D646" s="39"/>
      <c r="E646" s="39"/>
      <c r="G646" s="34"/>
      <c r="H646" s="49"/>
      <c r="I646" s="49"/>
      <c r="J646" s="49"/>
      <c r="K646" s="49"/>
      <c r="L646" s="49"/>
      <c r="M646" s="52"/>
    </row>
    <row r="647" spans="1:13" ht="15.75" customHeight="1" x14ac:dyDescent="0.2">
      <c r="A647" s="49"/>
      <c r="B647" s="49"/>
      <c r="C647" s="39"/>
      <c r="D647" s="39"/>
      <c r="E647" s="39"/>
      <c r="G647" s="34"/>
      <c r="H647" s="49"/>
      <c r="I647" s="49"/>
      <c r="J647" s="49"/>
      <c r="K647" s="49"/>
      <c r="L647" s="49"/>
      <c r="M647" s="52"/>
    </row>
    <row r="648" spans="1:13" ht="15.75" customHeight="1" x14ac:dyDescent="0.2">
      <c r="A648" s="49"/>
      <c r="B648" s="49"/>
      <c r="C648" s="39"/>
      <c r="D648" s="39"/>
      <c r="E648" s="39"/>
      <c r="G648" s="34"/>
      <c r="H648" s="49"/>
      <c r="I648" s="49"/>
      <c r="J648" s="49"/>
      <c r="K648" s="49"/>
      <c r="L648" s="49"/>
      <c r="M648" s="52"/>
    </row>
    <row r="649" spans="1:13" ht="15.75" customHeight="1" x14ac:dyDescent="0.2">
      <c r="A649" s="49"/>
      <c r="B649" s="49"/>
      <c r="C649" s="39"/>
      <c r="D649" s="39"/>
      <c r="E649" s="39"/>
      <c r="G649" s="34"/>
      <c r="H649" s="49"/>
      <c r="I649" s="49"/>
      <c r="J649" s="49"/>
      <c r="K649" s="49"/>
      <c r="L649" s="49"/>
      <c r="M649" s="52"/>
    </row>
    <row r="650" spans="1:13" ht="15.75" customHeight="1" x14ac:dyDescent="0.2">
      <c r="A650" s="49"/>
      <c r="B650" s="49"/>
      <c r="C650" s="39"/>
      <c r="D650" s="39"/>
      <c r="E650" s="39"/>
      <c r="G650" s="34"/>
      <c r="H650" s="49"/>
      <c r="I650" s="49"/>
      <c r="J650" s="49"/>
      <c r="K650" s="49"/>
      <c r="L650" s="49"/>
      <c r="M650" s="52"/>
    </row>
    <row r="651" spans="1:13" ht="15.75" customHeight="1" x14ac:dyDescent="0.2">
      <c r="A651" s="49"/>
      <c r="B651" s="49"/>
      <c r="C651" s="39"/>
      <c r="D651" s="39"/>
      <c r="E651" s="39"/>
      <c r="G651" s="34"/>
      <c r="H651" s="49"/>
      <c r="I651" s="49"/>
      <c r="J651" s="49"/>
      <c r="K651" s="49"/>
      <c r="L651" s="49"/>
      <c r="M651" s="52"/>
    </row>
    <row r="652" spans="1:13" ht="15.75" customHeight="1" x14ac:dyDescent="0.2">
      <c r="A652" s="49"/>
      <c r="B652" s="49"/>
      <c r="C652" s="39"/>
      <c r="D652" s="39"/>
      <c r="E652" s="39"/>
      <c r="G652" s="34"/>
      <c r="H652" s="49"/>
      <c r="I652" s="49"/>
      <c r="J652" s="49"/>
      <c r="K652" s="49"/>
      <c r="L652" s="49"/>
      <c r="M652" s="52"/>
    </row>
    <row r="653" spans="1:13" ht="15.75" customHeight="1" x14ac:dyDescent="0.2">
      <c r="A653" s="49"/>
      <c r="B653" s="49"/>
      <c r="C653" s="39"/>
      <c r="D653" s="39"/>
      <c r="E653" s="39"/>
      <c r="G653" s="34"/>
      <c r="H653" s="49"/>
      <c r="I653" s="49"/>
      <c r="J653" s="49"/>
      <c r="K653" s="49"/>
      <c r="L653" s="49"/>
      <c r="M653" s="52"/>
    </row>
    <row r="654" spans="1:13" ht="15.75" customHeight="1" x14ac:dyDescent="0.2">
      <c r="A654" s="49"/>
      <c r="B654" s="49"/>
      <c r="C654" s="39"/>
      <c r="D654" s="39"/>
      <c r="E654" s="39"/>
      <c r="G654" s="34"/>
      <c r="H654" s="49"/>
      <c r="I654" s="49"/>
      <c r="J654" s="49"/>
      <c r="K654" s="49"/>
      <c r="L654" s="49"/>
      <c r="M654" s="52"/>
    </row>
    <row r="655" spans="1:13" ht="15.75" customHeight="1" x14ac:dyDescent="0.2">
      <c r="A655" s="49"/>
      <c r="B655" s="49"/>
      <c r="C655" s="39"/>
      <c r="D655" s="39"/>
      <c r="E655" s="39"/>
      <c r="G655" s="34"/>
      <c r="H655" s="49"/>
      <c r="I655" s="49"/>
      <c r="J655" s="49"/>
      <c r="K655" s="49"/>
      <c r="L655" s="49"/>
      <c r="M655" s="52"/>
    </row>
    <row r="656" spans="1:13" ht="15.75" customHeight="1" x14ac:dyDescent="0.2">
      <c r="A656" s="49"/>
      <c r="B656" s="49"/>
      <c r="C656" s="39"/>
      <c r="D656" s="39"/>
      <c r="E656" s="39"/>
      <c r="G656" s="34"/>
      <c r="H656" s="49"/>
      <c r="I656" s="49"/>
      <c r="J656" s="49"/>
      <c r="K656" s="49"/>
      <c r="L656" s="49"/>
      <c r="M656" s="52"/>
    </row>
    <row r="657" spans="1:13" ht="15.75" customHeight="1" x14ac:dyDescent="0.2">
      <c r="A657" s="49"/>
      <c r="B657" s="49"/>
      <c r="C657" s="39"/>
      <c r="D657" s="39"/>
      <c r="E657" s="39"/>
      <c r="G657" s="34"/>
      <c r="H657" s="49"/>
      <c r="I657" s="49"/>
      <c r="J657" s="49"/>
      <c r="K657" s="49"/>
      <c r="L657" s="49"/>
      <c r="M657" s="52"/>
    </row>
    <row r="658" spans="1:13" ht="15.75" customHeight="1" x14ac:dyDescent="0.2">
      <c r="A658" s="49"/>
      <c r="B658" s="49"/>
      <c r="C658" s="39"/>
      <c r="D658" s="39"/>
      <c r="E658" s="39"/>
      <c r="G658" s="34"/>
      <c r="H658" s="49"/>
      <c r="I658" s="49"/>
      <c r="J658" s="49"/>
      <c r="K658" s="49"/>
      <c r="L658" s="49"/>
      <c r="M658" s="52"/>
    </row>
    <row r="659" spans="1:13" ht="15.75" customHeight="1" x14ac:dyDescent="0.2">
      <c r="A659" s="49"/>
      <c r="B659" s="49"/>
      <c r="C659" s="39"/>
      <c r="D659" s="39"/>
      <c r="E659" s="39"/>
      <c r="G659" s="34"/>
      <c r="H659" s="49"/>
      <c r="I659" s="49"/>
      <c r="J659" s="49"/>
      <c r="K659" s="49"/>
      <c r="L659" s="49"/>
      <c r="M659" s="52"/>
    </row>
    <row r="660" spans="1:13" ht="15.75" customHeight="1" x14ac:dyDescent="0.2">
      <c r="A660" s="49"/>
      <c r="B660" s="49"/>
      <c r="C660" s="39"/>
      <c r="D660" s="39"/>
      <c r="E660" s="39"/>
      <c r="G660" s="34"/>
      <c r="H660" s="49"/>
      <c r="I660" s="49"/>
      <c r="J660" s="49"/>
      <c r="K660" s="49"/>
      <c r="L660" s="49"/>
      <c r="M660" s="52"/>
    </row>
    <row r="661" spans="1:13" ht="15.75" customHeight="1" x14ac:dyDescent="0.2">
      <c r="A661" s="49"/>
      <c r="B661" s="49"/>
      <c r="C661" s="39"/>
      <c r="D661" s="39"/>
      <c r="E661" s="39"/>
      <c r="G661" s="34"/>
      <c r="H661" s="49"/>
      <c r="I661" s="49"/>
      <c r="J661" s="49"/>
      <c r="K661" s="49"/>
      <c r="L661" s="49"/>
      <c r="M661" s="52"/>
    </row>
    <row r="662" spans="1:13" ht="15.75" customHeight="1" x14ac:dyDescent="0.2">
      <c r="A662" s="49"/>
      <c r="B662" s="49"/>
      <c r="C662" s="39"/>
      <c r="D662" s="39"/>
      <c r="E662" s="39"/>
      <c r="G662" s="34"/>
      <c r="H662" s="49"/>
      <c r="I662" s="49"/>
      <c r="J662" s="49"/>
      <c r="K662" s="49"/>
      <c r="L662" s="49"/>
      <c r="M662" s="52"/>
    </row>
    <row r="663" spans="1:13" ht="15.75" customHeight="1" x14ac:dyDescent="0.2">
      <c r="A663" s="49"/>
      <c r="B663" s="49"/>
      <c r="C663" s="39"/>
      <c r="D663" s="39"/>
      <c r="E663" s="39"/>
      <c r="G663" s="34"/>
      <c r="H663" s="49"/>
      <c r="I663" s="49"/>
      <c r="J663" s="49"/>
      <c r="K663" s="49"/>
      <c r="L663" s="49"/>
      <c r="M663" s="52"/>
    </row>
    <row r="664" spans="1:13" ht="15.75" customHeight="1" x14ac:dyDescent="0.2">
      <c r="A664" s="49"/>
      <c r="B664" s="49"/>
      <c r="C664" s="39"/>
      <c r="D664" s="39"/>
      <c r="E664" s="39"/>
      <c r="G664" s="34"/>
      <c r="H664" s="49"/>
      <c r="I664" s="49"/>
      <c r="J664" s="49"/>
      <c r="K664" s="49"/>
      <c r="L664" s="49"/>
      <c r="M664" s="52"/>
    </row>
    <row r="665" spans="1:13" ht="15.75" customHeight="1" x14ac:dyDescent="0.2">
      <c r="A665" s="49"/>
      <c r="B665" s="49"/>
      <c r="C665" s="39"/>
      <c r="D665" s="39"/>
      <c r="E665" s="39"/>
      <c r="G665" s="34"/>
      <c r="H665" s="49"/>
      <c r="I665" s="49"/>
      <c r="J665" s="49"/>
      <c r="K665" s="49"/>
      <c r="L665" s="49"/>
      <c r="M665" s="52"/>
    </row>
    <row r="666" spans="1:13" ht="15.75" customHeight="1" x14ac:dyDescent="0.2">
      <c r="A666" s="49"/>
      <c r="B666" s="49"/>
      <c r="C666" s="39"/>
      <c r="D666" s="39"/>
      <c r="E666" s="39"/>
      <c r="G666" s="34"/>
      <c r="H666" s="49"/>
      <c r="I666" s="49"/>
      <c r="J666" s="49"/>
      <c r="K666" s="49"/>
      <c r="L666" s="49"/>
      <c r="M666" s="52"/>
    </row>
    <row r="667" spans="1:13" ht="15.75" customHeight="1" x14ac:dyDescent="0.2">
      <c r="A667" s="49"/>
      <c r="B667" s="49"/>
      <c r="C667" s="39"/>
      <c r="D667" s="39"/>
      <c r="E667" s="39"/>
      <c r="G667" s="34"/>
      <c r="H667" s="49"/>
      <c r="I667" s="49"/>
      <c r="J667" s="49"/>
      <c r="K667" s="49"/>
      <c r="L667" s="49"/>
      <c r="M667" s="52"/>
    </row>
    <row r="668" spans="1:13" ht="15.75" customHeight="1" x14ac:dyDescent="0.2">
      <c r="A668" s="49"/>
      <c r="B668" s="49"/>
      <c r="C668" s="39"/>
      <c r="D668" s="39"/>
      <c r="E668" s="39"/>
      <c r="G668" s="34"/>
      <c r="H668" s="49"/>
      <c r="I668" s="49"/>
      <c r="J668" s="49"/>
      <c r="K668" s="49"/>
      <c r="L668" s="49"/>
      <c r="M668" s="52"/>
    </row>
    <row r="669" spans="1:13" ht="15.75" customHeight="1" x14ac:dyDescent="0.2">
      <c r="A669" s="49"/>
      <c r="B669" s="49"/>
      <c r="C669" s="39"/>
      <c r="D669" s="39"/>
      <c r="E669" s="39"/>
      <c r="G669" s="34"/>
      <c r="H669" s="49"/>
      <c r="I669" s="49"/>
      <c r="J669" s="49"/>
      <c r="K669" s="49"/>
      <c r="L669" s="49"/>
      <c r="M669" s="52"/>
    </row>
    <row r="670" spans="1:13" ht="15.75" customHeight="1" x14ac:dyDescent="0.2">
      <c r="A670" s="49"/>
      <c r="B670" s="49"/>
      <c r="C670" s="39"/>
      <c r="D670" s="39"/>
      <c r="E670" s="39"/>
      <c r="G670" s="34"/>
      <c r="H670" s="49"/>
      <c r="I670" s="49"/>
      <c r="J670" s="49"/>
      <c r="K670" s="49"/>
      <c r="L670" s="49"/>
      <c r="M670" s="52"/>
    </row>
    <row r="671" spans="1:13" ht="15.75" customHeight="1" x14ac:dyDescent="0.2">
      <c r="A671" s="49"/>
      <c r="B671" s="49"/>
      <c r="C671" s="39"/>
      <c r="D671" s="39"/>
      <c r="E671" s="39"/>
      <c r="G671" s="34"/>
      <c r="H671" s="49"/>
      <c r="I671" s="49"/>
      <c r="J671" s="49"/>
      <c r="K671" s="49"/>
      <c r="L671" s="49"/>
      <c r="M671" s="52"/>
    </row>
    <row r="672" spans="1:13" ht="15.75" customHeight="1" x14ac:dyDescent="0.2">
      <c r="A672" s="49"/>
      <c r="B672" s="49"/>
      <c r="C672" s="39"/>
      <c r="D672" s="39"/>
      <c r="E672" s="39"/>
      <c r="G672" s="34"/>
      <c r="H672" s="49"/>
      <c r="I672" s="49"/>
      <c r="J672" s="49"/>
      <c r="K672" s="49"/>
      <c r="L672" s="49"/>
      <c r="M672" s="52"/>
    </row>
    <row r="673" spans="1:13" ht="15.75" customHeight="1" x14ac:dyDescent="0.2">
      <c r="A673" s="49"/>
      <c r="B673" s="49"/>
      <c r="C673" s="39"/>
      <c r="D673" s="39"/>
      <c r="E673" s="39"/>
      <c r="G673" s="34"/>
      <c r="H673" s="49"/>
      <c r="I673" s="49"/>
      <c r="J673" s="49"/>
      <c r="K673" s="49"/>
      <c r="L673" s="49"/>
      <c r="M673" s="52"/>
    </row>
    <row r="674" spans="1:13" ht="15.75" customHeight="1" x14ac:dyDescent="0.2">
      <c r="A674" s="49"/>
      <c r="B674" s="49"/>
      <c r="C674" s="39"/>
      <c r="D674" s="39"/>
      <c r="E674" s="39"/>
      <c r="G674" s="34"/>
      <c r="H674" s="49"/>
      <c r="I674" s="49"/>
      <c r="J674" s="49"/>
      <c r="K674" s="49"/>
      <c r="L674" s="49"/>
      <c r="M674" s="52"/>
    </row>
    <row r="675" spans="1:13" ht="15.75" customHeight="1" x14ac:dyDescent="0.2">
      <c r="A675" s="49"/>
      <c r="B675" s="49"/>
      <c r="C675" s="39"/>
      <c r="D675" s="39"/>
      <c r="E675" s="39"/>
      <c r="G675" s="34"/>
      <c r="H675" s="49"/>
      <c r="I675" s="49"/>
      <c r="J675" s="49"/>
      <c r="K675" s="49"/>
      <c r="L675" s="49"/>
      <c r="M675" s="52"/>
    </row>
    <row r="676" spans="1:13" ht="15.75" customHeight="1" x14ac:dyDescent="0.2">
      <c r="A676" s="49"/>
      <c r="B676" s="49"/>
      <c r="C676" s="39"/>
      <c r="D676" s="39"/>
      <c r="E676" s="39"/>
      <c r="G676" s="34"/>
      <c r="H676" s="49"/>
      <c r="I676" s="49"/>
      <c r="J676" s="49"/>
      <c r="K676" s="49"/>
      <c r="L676" s="49"/>
      <c r="M676" s="52"/>
    </row>
    <row r="677" spans="1:13" ht="15.75" customHeight="1" x14ac:dyDescent="0.2">
      <c r="A677" s="49"/>
      <c r="B677" s="49"/>
      <c r="C677" s="39"/>
      <c r="D677" s="39"/>
      <c r="E677" s="39"/>
      <c r="G677" s="34"/>
      <c r="H677" s="49"/>
      <c r="I677" s="49"/>
      <c r="J677" s="49"/>
      <c r="K677" s="49"/>
      <c r="L677" s="49"/>
      <c r="M677" s="52"/>
    </row>
    <row r="678" spans="1:13" ht="15.75" customHeight="1" x14ac:dyDescent="0.2">
      <c r="A678" s="49"/>
      <c r="B678" s="49"/>
      <c r="C678" s="39"/>
      <c r="D678" s="39"/>
      <c r="E678" s="39"/>
      <c r="G678" s="34"/>
      <c r="H678" s="49"/>
      <c r="I678" s="49"/>
      <c r="J678" s="49"/>
      <c r="K678" s="49"/>
      <c r="L678" s="49"/>
      <c r="M678" s="52"/>
    </row>
    <row r="679" spans="1:13" ht="15.75" customHeight="1" x14ac:dyDescent="0.2">
      <c r="A679" s="49"/>
      <c r="B679" s="49"/>
      <c r="C679" s="39"/>
      <c r="D679" s="39"/>
      <c r="E679" s="39"/>
      <c r="G679" s="34"/>
      <c r="H679" s="49"/>
      <c r="I679" s="49"/>
      <c r="J679" s="49"/>
      <c r="K679" s="49"/>
      <c r="L679" s="49"/>
      <c r="M679" s="52"/>
    </row>
    <row r="680" spans="1:13" ht="15.75" customHeight="1" x14ac:dyDescent="0.2">
      <c r="A680" s="49"/>
      <c r="B680" s="49"/>
      <c r="C680" s="39"/>
      <c r="D680" s="39"/>
      <c r="E680" s="39"/>
      <c r="G680" s="34"/>
      <c r="H680" s="49"/>
      <c r="I680" s="49"/>
      <c r="J680" s="49"/>
      <c r="K680" s="49"/>
      <c r="L680" s="49"/>
      <c r="M680" s="52"/>
    </row>
    <row r="681" spans="1:13" ht="15.75" customHeight="1" x14ac:dyDescent="0.2">
      <c r="A681" s="49"/>
      <c r="B681" s="49"/>
      <c r="C681" s="39"/>
      <c r="D681" s="39"/>
      <c r="E681" s="39"/>
      <c r="G681" s="34"/>
      <c r="H681" s="49"/>
      <c r="I681" s="49"/>
      <c r="J681" s="49"/>
      <c r="K681" s="49"/>
      <c r="L681" s="49"/>
      <c r="M681" s="52"/>
    </row>
    <row r="682" spans="1:13" ht="15.75" customHeight="1" x14ac:dyDescent="0.2">
      <c r="A682" s="49"/>
      <c r="B682" s="49"/>
      <c r="C682" s="39"/>
      <c r="D682" s="39"/>
      <c r="E682" s="39"/>
      <c r="G682" s="34"/>
      <c r="H682" s="49"/>
      <c r="I682" s="49"/>
      <c r="J682" s="49"/>
      <c r="K682" s="49"/>
      <c r="L682" s="49"/>
      <c r="M682" s="52"/>
    </row>
    <row r="683" spans="1:13" ht="15.75" customHeight="1" x14ac:dyDescent="0.2">
      <c r="A683" s="49"/>
      <c r="B683" s="49"/>
      <c r="C683" s="39"/>
      <c r="D683" s="39"/>
      <c r="E683" s="39"/>
      <c r="G683" s="34"/>
      <c r="H683" s="49"/>
      <c r="I683" s="49"/>
      <c r="J683" s="49"/>
      <c r="K683" s="49"/>
      <c r="L683" s="49"/>
      <c r="M683" s="52"/>
    </row>
    <row r="684" spans="1:13" ht="15.75" customHeight="1" x14ac:dyDescent="0.2">
      <c r="A684" s="49"/>
      <c r="B684" s="49"/>
      <c r="C684" s="39"/>
      <c r="D684" s="39"/>
      <c r="E684" s="39"/>
      <c r="G684" s="34"/>
      <c r="H684" s="49"/>
      <c r="I684" s="49"/>
      <c r="J684" s="49"/>
      <c r="K684" s="49"/>
      <c r="L684" s="49"/>
      <c r="M684" s="52"/>
    </row>
    <row r="685" spans="1:13" ht="15.75" customHeight="1" x14ac:dyDescent="0.2">
      <c r="A685" s="49"/>
      <c r="B685" s="49"/>
      <c r="C685" s="39"/>
      <c r="D685" s="39"/>
      <c r="E685" s="39"/>
      <c r="G685" s="34"/>
      <c r="H685" s="49"/>
      <c r="I685" s="49"/>
      <c r="J685" s="49"/>
      <c r="K685" s="49"/>
      <c r="L685" s="49"/>
      <c r="M685" s="52"/>
    </row>
    <row r="686" spans="1:13" ht="15.75" customHeight="1" x14ac:dyDescent="0.2">
      <c r="A686" s="49"/>
      <c r="B686" s="49"/>
      <c r="C686" s="39"/>
      <c r="D686" s="39"/>
      <c r="E686" s="39"/>
      <c r="G686" s="34"/>
      <c r="H686" s="49"/>
      <c r="I686" s="49"/>
      <c r="J686" s="49"/>
      <c r="K686" s="49"/>
      <c r="L686" s="49"/>
      <c r="M686" s="52"/>
    </row>
    <row r="687" spans="1:13" ht="15.75" customHeight="1" x14ac:dyDescent="0.2">
      <c r="A687" s="49"/>
      <c r="B687" s="49"/>
      <c r="C687" s="39"/>
      <c r="D687" s="39"/>
      <c r="E687" s="39"/>
      <c r="G687" s="34"/>
      <c r="H687" s="49"/>
      <c r="I687" s="49"/>
      <c r="J687" s="49"/>
      <c r="K687" s="49"/>
      <c r="L687" s="49"/>
      <c r="M687" s="52"/>
    </row>
    <row r="688" spans="1:13" ht="15.75" customHeight="1" x14ac:dyDescent="0.2">
      <c r="A688" s="49"/>
      <c r="B688" s="49"/>
      <c r="C688" s="39"/>
      <c r="D688" s="39"/>
      <c r="E688" s="39"/>
      <c r="G688" s="34"/>
      <c r="H688" s="49"/>
      <c r="I688" s="49"/>
      <c r="J688" s="49"/>
      <c r="K688" s="49"/>
      <c r="L688" s="49"/>
      <c r="M688" s="52"/>
    </row>
    <row r="689" spans="1:13" ht="15.75" customHeight="1" x14ac:dyDescent="0.2">
      <c r="A689" s="49"/>
      <c r="B689" s="49"/>
      <c r="C689" s="39"/>
      <c r="D689" s="39"/>
      <c r="E689" s="39"/>
      <c r="G689" s="34"/>
      <c r="H689" s="49"/>
      <c r="I689" s="49"/>
      <c r="J689" s="49"/>
      <c r="K689" s="49"/>
      <c r="L689" s="49"/>
      <c r="M689" s="52"/>
    </row>
    <row r="690" spans="1:13" ht="15.75" customHeight="1" x14ac:dyDescent="0.2">
      <c r="A690" s="49"/>
      <c r="B690" s="49"/>
      <c r="C690" s="39"/>
      <c r="D690" s="39"/>
      <c r="E690" s="39"/>
      <c r="G690" s="34"/>
      <c r="H690" s="49"/>
      <c r="I690" s="49"/>
      <c r="J690" s="49"/>
      <c r="K690" s="49"/>
      <c r="L690" s="49"/>
      <c r="M690" s="52"/>
    </row>
    <row r="691" spans="1:13" ht="15.75" customHeight="1" x14ac:dyDescent="0.2">
      <c r="A691" s="49"/>
      <c r="B691" s="49"/>
      <c r="C691" s="39"/>
      <c r="D691" s="39"/>
      <c r="E691" s="39"/>
      <c r="G691" s="34"/>
      <c r="H691" s="49"/>
      <c r="I691" s="49"/>
      <c r="J691" s="49"/>
      <c r="K691" s="49"/>
      <c r="L691" s="49"/>
      <c r="M691" s="52"/>
    </row>
    <row r="692" spans="1:13" ht="15.75" customHeight="1" x14ac:dyDescent="0.2">
      <c r="A692" s="49"/>
      <c r="B692" s="49"/>
      <c r="C692" s="39"/>
      <c r="D692" s="39"/>
      <c r="E692" s="39"/>
      <c r="G692" s="34"/>
      <c r="H692" s="49"/>
      <c r="I692" s="49"/>
      <c r="J692" s="49"/>
      <c r="K692" s="49"/>
      <c r="L692" s="49"/>
      <c r="M692" s="52"/>
    </row>
    <row r="693" spans="1:13" ht="15.75" customHeight="1" x14ac:dyDescent="0.2">
      <c r="A693" s="49"/>
      <c r="B693" s="49"/>
      <c r="C693" s="39"/>
      <c r="D693" s="39"/>
      <c r="E693" s="39"/>
      <c r="G693" s="34"/>
      <c r="H693" s="49"/>
      <c r="I693" s="49"/>
      <c r="J693" s="49"/>
      <c r="K693" s="49"/>
      <c r="L693" s="49"/>
      <c r="M693" s="52"/>
    </row>
    <row r="694" spans="1:13" ht="15.75" customHeight="1" x14ac:dyDescent="0.2">
      <c r="A694" s="49"/>
      <c r="B694" s="49"/>
      <c r="C694" s="39"/>
      <c r="D694" s="39"/>
      <c r="E694" s="39"/>
      <c r="G694" s="34"/>
      <c r="H694" s="49"/>
      <c r="I694" s="49"/>
      <c r="J694" s="49"/>
      <c r="K694" s="49"/>
      <c r="L694" s="49"/>
      <c r="M694" s="52"/>
    </row>
    <row r="695" spans="1:13" ht="15.75" customHeight="1" x14ac:dyDescent="0.2">
      <c r="A695" s="49"/>
      <c r="B695" s="49"/>
      <c r="C695" s="39"/>
      <c r="D695" s="39"/>
      <c r="E695" s="39"/>
      <c r="G695" s="34"/>
      <c r="H695" s="49"/>
      <c r="I695" s="49"/>
      <c r="J695" s="49"/>
      <c r="K695" s="49"/>
      <c r="L695" s="49"/>
      <c r="M695" s="52"/>
    </row>
    <row r="696" spans="1:13" ht="15.75" customHeight="1" x14ac:dyDescent="0.2">
      <c r="A696" s="49"/>
      <c r="B696" s="49"/>
      <c r="C696" s="39"/>
      <c r="D696" s="39"/>
      <c r="E696" s="39"/>
      <c r="G696" s="34"/>
      <c r="H696" s="49"/>
      <c r="I696" s="49"/>
      <c r="J696" s="49"/>
      <c r="K696" s="49"/>
      <c r="L696" s="49"/>
      <c r="M696" s="52"/>
    </row>
    <row r="697" spans="1:13" ht="15.75" customHeight="1" x14ac:dyDescent="0.2">
      <c r="A697" s="49"/>
      <c r="B697" s="49"/>
      <c r="C697" s="39"/>
      <c r="D697" s="39"/>
      <c r="E697" s="39"/>
      <c r="G697" s="34"/>
      <c r="H697" s="49"/>
      <c r="I697" s="49"/>
      <c r="J697" s="49"/>
      <c r="K697" s="49"/>
      <c r="L697" s="49"/>
      <c r="M697" s="52"/>
    </row>
    <row r="698" spans="1:13" ht="15.75" customHeight="1" x14ac:dyDescent="0.2">
      <c r="A698" s="49"/>
      <c r="B698" s="49"/>
      <c r="C698" s="39"/>
      <c r="D698" s="39"/>
      <c r="E698" s="39"/>
      <c r="G698" s="34"/>
      <c r="H698" s="49"/>
      <c r="I698" s="49"/>
      <c r="J698" s="49"/>
      <c r="K698" s="49"/>
      <c r="L698" s="49"/>
      <c r="M698" s="52"/>
    </row>
    <row r="699" spans="1:13" ht="15.75" customHeight="1" x14ac:dyDescent="0.2">
      <c r="A699" s="49"/>
      <c r="B699" s="49"/>
      <c r="C699" s="39"/>
      <c r="D699" s="39"/>
      <c r="E699" s="39"/>
      <c r="G699" s="34"/>
      <c r="H699" s="49"/>
      <c r="I699" s="49"/>
      <c r="J699" s="49"/>
      <c r="K699" s="49"/>
      <c r="L699" s="49"/>
      <c r="M699" s="52"/>
    </row>
    <row r="700" spans="1:13" ht="15.75" customHeight="1" x14ac:dyDescent="0.2">
      <c r="A700" s="49"/>
      <c r="B700" s="49"/>
      <c r="C700" s="39"/>
      <c r="D700" s="39"/>
      <c r="E700" s="39"/>
      <c r="G700" s="34"/>
      <c r="H700" s="49"/>
      <c r="I700" s="49"/>
      <c r="J700" s="49"/>
      <c r="K700" s="49"/>
      <c r="L700" s="49"/>
      <c r="M700" s="52"/>
    </row>
    <row r="701" spans="1:13" ht="15.75" customHeight="1" x14ac:dyDescent="0.2">
      <c r="A701" s="49"/>
      <c r="B701" s="49"/>
      <c r="C701" s="39"/>
      <c r="D701" s="39"/>
      <c r="E701" s="39"/>
      <c r="G701" s="34"/>
      <c r="H701" s="49"/>
      <c r="I701" s="49"/>
      <c r="J701" s="49"/>
      <c r="K701" s="49"/>
      <c r="L701" s="49"/>
      <c r="M701" s="52"/>
    </row>
    <row r="702" spans="1:13" ht="15.75" customHeight="1" x14ac:dyDescent="0.2">
      <c r="A702" s="49"/>
      <c r="B702" s="49"/>
      <c r="C702" s="39"/>
      <c r="D702" s="39"/>
      <c r="E702" s="39"/>
      <c r="G702" s="34"/>
      <c r="H702" s="49"/>
      <c r="I702" s="49"/>
      <c r="J702" s="49"/>
      <c r="K702" s="49"/>
      <c r="L702" s="49"/>
      <c r="M702" s="52"/>
    </row>
    <row r="703" spans="1:13" ht="15.75" customHeight="1" x14ac:dyDescent="0.2">
      <c r="A703" s="49"/>
      <c r="B703" s="49"/>
      <c r="C703" s="39"/>
      <c r="D703" s="39"/>
      <c r="E703" s="39"/>
      <c r="G703" s="34"/>
      <c r="H703" s="49"/>
      <c r="I703" s="49"/>
      <c r="J703" s="49"/>
      <c r="K703" s="49"/>
      <c r="L703" s="49"/>
      <c r="M703" s="52"/>
    </row>
    <row r="704" spans="1:13" ht="15.75" customHeight="1" x14ac:dyDescent="0.2">
      <c r="A704" s="49"/>
      <c r="B704" s="49"/>
      <c r="C704" s="39"/>
      <c r="D704" s="39"/>
      <c r="E704" s="39"/>
      <c r="G704" s="34"/>
      <c r="H704" s="49"/>
      <c r="I704" s="49"/>
      <c r="J704" s="49"/>
      <c r="K704" s="49"/>
      <c r="L704" s="49"/>
      <c r="M704" s="52"/>
    </row>
    <row r="705" spans="1:13" ht="15.75" customHeight="1" x14ac:dyDescent="0.2">
      <c r="A705" s="49"/>
      <c r="B705" s="49"/>
      <c r="C705" s="39"/>
      <c r="D705" s="39"/>
      <c r="E705" s="39"/>
      <c r="G705" s="34"/>
      <c r="H705" s="49"/>
      <c r="I705" s="49"/>
      <c r="J705" s="49"/>
      <c r="K705" s="49"/>
      <c r="L705" s="49"/>
      <c r="M705" s="52"/>
    </row>
    <row r="706" spans="1:13" ht="15.75" customHeight="1" x14ac:dyDescent="0.2">
      <c r="A706" s="49"/>
      <c r="B706" s="49"/>
      <c r="C706" s="39"/>
      <c r="D706" s="39"/>
      <c r="E706" s="39"/>
      <c r="G706" s="34"/>
      <c r="H706" s="49"/>
      <c r="I706" s="49"/>
      <c r="J706" s="49"/>
      <c r="K706" s="49"/>
      <c r="L706" s="49"/>
      <c r="M706" s="52"/>
    </row>
    <row r="707" spans="1:13" ht="15.75" customHeight="1" x14ac:dyDescent="0.2">
      <c r="A707" s="49"/>
      <c r="B707" s="49"/>
      <c r="C707" s="39"/>
      <c r="D707" s="39"/>
      <c r="E707" s="39"/>
      <c r="G707" s="34"/>
      <c r="H707" s="49"/>
      <c r="I707" s="49"/>
      <c r="J707" s="49"/>
      <c r="K707" s="49"/>
      <c r="L707" s="49"/>
      <c r="M707" s="52"/>
    </row>
    <row r="708" spans="1:13" ht="15.75" customHeight="1" x14ac:dyDescent="0.2">
      <c r="A708" s="49"/>
      <c r="B708" s="49"/>
      <c r="C708" s="39"/>
      <c r="D708" s="39"/>
      <c r="E708" s="39"/>
      <c r="G708" s="34"/>
      <c r="H708" s="49"/>
      <c r="I708" s="49"/>
      <c r="J708" s="49"/>
      <c r="K708" s="49"/>
      <c r="L708" s="49"/>
      <c r="M708" s="52"/>
    </row>
    <row r="709" spans="1:13" ht="15.75" customHeight="1" x14ac:dyDescent="0.2">
      <c r="A709" s="49"/>
      <c r="B709" s="49"/>
      <c r="C709" s="39"/>
      <c r="D709" s="39"/>
      <c r="E709" s="39"/>
      <c r="G709" s="34"/>
      <c r="H709" s="49"/>
      <c r="I709" s="49"/>
      <c r="J709" s="49"/>
      <c r="K709" s="49"/>
      <c r="L709" s="49"/>
      <c r="M709" s="52"/>
    </row>
    <row r="710" spans="1:13" ht="15.75" customHeight="1" x14ac:dyDescent="0.2">
      <c r="A710" s="49"/>
      <c r="B710" s="49"/>
      <c r="C710" s="39"/>
      <c r="D710" s="39"/>
      <c r="E710" s="39"/>
      <c r="G710" s="34"/>
      <c r="H710" s="49"/>
      <c r="I710" s="49"/>
      <c r="J710" s="49"/>
      <c r="K710" s="49"/>
      <c r="L710" s="49"/>
      <c r="M710" s="52"/>
    </row>
    <row r="711" spans="1:13" ht="15.75" customHeight="1" x14ac:dyDescent="0.2">
      <c r="A711" s="49"/>
      <c r="B711" s="49"/>
      <c r="C711" s="39"/>
      <c r="D711" s="39"/>
      <c r="E711" s="39"/>
      <c r="G711" s="34"/>
      <c r="H711" s="49"/>
      <c r="I711" s="49"/>
      <c r="J711" s="49"/>
      <c r="K711" s="49"/>
      <c r="L711" s="49"/>
      <c r="M711" s="52"/>
    </row>
    <row r="712" spans="1:13" ht="15.75" customHeight="1" x14ac:dyDescent="0.2">
      <c r="A712" s="49"/>
      <c r="B712" s="49"/>
      <c r="C712" s="39"/>
      <c r="D712" s="39"/>
      <c r="E712" s="39"/>
      <c r="G712" s="34"/>
      <c r="H712" s="49"/>
      <c r="I712" s="49"/>
      <c r="J712" s="49"/>
      <c r="K712" s="49"/>
      <c r="L712" s="49"/>
      <c r="M712" s="52"/>
    </row>
    <row r="713" spans="1:13" ht="15.75" customHeight="1" x14ac:dyDescent="0.2">
      <c r="A713" s="49"/>
      <c r="B713" s="49"/>
      <c r="C713" s="39"/>
      <c r="D713" s="39"/>
      <c r="E713" s="39"/>
      <c r="G713" s="34"/>
      <c r="H713" s="49"/>
      <c r="I713" s="49"/>
      <c r="J713" s="49"/>
      <c r="K713" s="49"/>
      <c r="L713" s="49"/>
      <c r="M713" s="52"/>
    </row>
    <row r="714" spans="1:13" ht="15.75" customHeight="1" x14ac:dyDescent="0.2">
      <c r="A714" s="49"/>
      <c r="B714" s="49"/>
      <c r="C714" s="39"/>
      <c r="D714" s="39"/>
      <c r="E714" s="39"/>
      <c r="G714" s="34"/>
      <c r="H714" s="49"/>
      <c r="I714" s="49"/>
      <c r="J714" s="49"/>
      <c r="K714" s="49"/>
      <c r="L714" s="49"/>
      <c r="M714" s="52"/>
    </row>
    <row r="715" spans="1:13" ht="15.75" customHeight="1" x14ac:dyDescent="0.2">
      <c r="A715" s="49"/>
      <c r="B715" s="49"/>
      <c r="C715" s="39"/>
      <c r="D715" s="39"/>
      <c r="E715" s="39"/>
      <c r="G715" s="34"/>
      <c r="H715" s="49"/>
      <c r="I715" s="49"/>
      <c r="J715" s="49"/>
      <c r="K715" s="49"/>
      <c r="L715" s="49"/>
      <c r="M715" s="52"/>
    </row>
    <row r="716" spans="1:13" ht="15.75" customHeight="1" x14ac:dyDescent="0.2">
      <c r="A716" s="49"/>
      <c r="B716" s="49"/>
      <c r="C716" s="39"/>
      <c r="D716" s="39"/>
      <c r="E716" s="39"/>
      <c r="G716" s="34"/>
      <c r="H716" s="49"/>
      <c r="I716" s="49"/>
      <c r="J716" s="49"/>
      <c r="K716" s="49"/>
      <c r="L716" s="49"/>
      <c r="M716" s="52"/>
    </row>
    <row r="717" spans="1:13" ht="15.75" customHeight="1" x14ac:dyDescent="0.2">
      <c r="A717" s="49"/>
      <c r="B717" s="49"/>
      <c r="C717" s="39"/>
      <c r="D717" s="39"/>
      <c r="E717" s="39"/>
      <c r="G717" s="34"/>
      <c r="H717" s="49"/>
      <c r="I717" s="49"/>
      <c r="J717" s="49"/>
      <c r="K717" s="49"/>
      <c r="L717" s="49"/>
      <c r="M717" s="52"/>
    </row>
    <row r="718" spans="1:13" ht="15.75" customHeight="1" x14ac:dyDescent="0.2">
      <c r="A718" s="49"/>
      <c r="B718" s="49"/>
      <c r="C718" s="39"/>
      <c r="D718" s="39"/>
      <c r="E718" s="39"/>
      <c r="G718" s="34"/>
      <c r="H718" s="49"/>
      <c r="I718" s="49"/>
      <c r="J718" s="49"/>
      <c r="K718" s="49"/>
      <c r="L718" s="49"/>
      <c r="M718" s="52"/>
    </row>
    <row r="719" spans="1:13" ht="15.75" customHeight="1" x14ac:dyDescent="0.2">
      <c r="A719" s="49"/>
      <c r="B719" s="49"/>
      <c r="C719" s="39"/>
      <c r="D719" s="39"/>
      <c r="E719" s="39"/>
      <c r="G719" s="34"/>
      <c r="H719" s="49"/>
      <c r="I719" s="49"/>
      <c r="J719" s="49"/>
      <c r="K719" s="49"/>
      <c r="L719" s="49"/>
      <c r="M719" s="52"/>
    </row>
    <row r="720" spans="1:13" ht="15.75" customHeight="1" x14ac:dyDescent="0.2">
      <c r="A720" s="49"/>
      <c r="B720" s="49"/>
      <c r="C720" s="39"/>
      <c r="D720" s="39"/>
      <c r="E720" s="39"/>
      <c r="G720" s="34"/>
      <c r="H720" s="49"/>
      <c r="I720" s="49"/>
      <c r="J720" s="49"/>
      <c r="K720" s="49"/>
      <c r="L720" s="49"/>
      <c r="M720" s="52"/>
    </row>
    <row r="721" spans="1:13" ht="15.75" customHeight="1" x14ac:dyDescent="0.2">
      <c r="A721" s="49"/>
      <c r="B721" s="49"/>
      <c r="C721" s="39"/>
      <c r="D721" s="39"/>
      <c r="E721" s="39"/>
      <c r="G721" s="34"/>
      <c r="H721" s="49"/>
      <c r="I721" s="49"/>
      <c r="J721" s="49"/>
      <c r="K721" s="49"/>
      <c r="L721" s="49"/>
      <c r="M721" s="52"/>
    </row>
    <row r="722" spans="1:13" ht="15.75" customHeight="1" x14ac:dyDescent="0.2">
      <c r="A722" s="49"/>
      <c r="B722" s="49"/>
      <c r="C722" s="39"/>
      <c r="D722" s="39"/>
      <c r="E722" s="39"/>
      <c r="G722" s="34"/>
      <c r="H722" s="49"/>
      <c r="I722" s="49"/>
      <c r="J722" s="49"/>
      <c r="K722" s="49"/>
      <c r="L722" s="49"/>
      <c r="M722" s="52"/>
    </row>
    <row r="723" spans="1:13" ht="15.75" customHeight="1" x14ac:dyDescent="0.2">
      <c r="A723" s="49"/>
      <c r="B723" s="49"/>
      <c r="C723" s="39"/>
      <c r="D723" s="39"/>
      <c r="E723" s="39"/>
      <c r="G723" s="34"/>
      <c r="H723" s="49"/>
      <c r="I723" s="49"/>
      <c r="J723" s="49"/>
      <c r="K723" s="49"/>
      <c r="L723" s="49"/>
      <c r="M723" s="52"/>
    </row>
    <row r="724" spans="1:13" ht="15.75" customHeight="1" x14ac:dyDescent="0.2">
      <c r="A724" s="49"/>
      <c r="B724" s="49"/>
      <c r="C724" s="39"/>
      <c r="D724" s="39"/>
      <c r="E724" s="39"/>
      <c r="G724" s="34"/>
      <c r="H724" s="49"/>
      <c r="I724" s="49"/>
      <c r="J724" s="49"/>
      <c r="K724" s="49"/>
      <c r="L724" s="49"/>
      <c r="M724" s="52"/>
    </row>
    <row r="725" spans="1:13" ht="15.75" customHeight="1" x14ac:dyDescent="0.2">
      <c r="A725" s="49"/>
      <c r="B725" s="49"/>
      <c r="C725" s="39"/>
      <c r="D725" s="39"/>
      <c r="E725" s="39"/>
      <c r="G725" s="34"/>
      <c r="H725" s="49"/>
      <c r="I725" s="49"/>
      <c r="J725" s="49"/>
      <c r="K725" s="49"/>
      <c r="L725" s="49"/>
      <c r="M725" s="52"/>
    </row>
    <row r="726" spans="1:13" ht="15.75" customHeight="1" x14ac:dyDescent="0.2">
      <c r="A726" s="49"/>
      <c r="B726" s="49"/>
      <c r="C726" s="39"/>
      <c r="D726" s="39"/>
      <c r="E726" s="39"/>
      <c r="G726" s="34"/>
      <c r="H726" s="49"/>
      <c r="I726" s="49"/>
      <c r="J726" s="49"/>
      <c r="K726" s="49"/>
      <c r="L726" s="49"/>
      <c r="M726" s="52"/>
    </row>
    <row r="727" spans="1:13" ht="15.75" customHeight="1" x14ac:dyDescent="0.2">
      <c r="A727" s="49"/>
      <c r="B727" s="49"/>
      <c r="C727" s="39"/>
      <c r="D727" s="39"/>
      <c r="E727" s="39"/>
      <c r="G727" s="34"/>
      <c r="H727" s="49"/>
      <c r="I727" s="49"/>
      <c r="J727" s="49"/>
      <c r="K727" s="49"/>
      <c r="L727" s="49"/>
      <c r="M727" s="52"/>
    </row>
    <row r="728" spans="1:13" ht="15.75" customHeight="1" x14ac:dyDescent="0.2">
      <c r="A728" s="49"/>
      <c r="B728" s="49"/>
      <c r="C728" s="39"/>
      <c r="D728" s="39"/>
      <c r="E728" s="39"/>
      <c r="G728" s="34"/>
      <c r="H728" s="49"/>
      <c r="I728" s="49"/>
      <c r="J728" s="49"/>
      <c r="K728" s="49"/>
      <c r="L728" s="49"/>
      <c r="M728" s="52"/>
    </row>
    <row r="729" spans="1:13" ht="15.75" customHeight="1" x14ac:dyDescent="0.2">
      <c r="A729" s="49"/>
      <c r="B729" s="49"/>
      <c r="C729" s="39"/>
      <c r="D729" s="39"/>
      <c r="E729" s="39"/>
      <c r="G729" s="34"/>
      <c r="H729" s="49"/>
      <c r="I729" s="49"/>
      <c r="J729" s="49"/>
      <c r="K729" s="49"/>
      <c r="L729" s="49"/>
      <c r="M729" s="52"/>
    </row>
    <row r="730" spans="1:13" ht="15.75" customHeight="1" x14ac:dyDescent="0.2">
      <c r="A730" s="49"/>
      <c r="B730" s="49"/>
      <c r="C730" s="39"/>
      <c r="D730" s="39"/>
      <c r="E730" s="39"/>
      <c r="G730" s="34"/>
      <c r="H730" s="49"/>
      <c r="I730" s="49"/>
      <c r="J730" s="49"/>
      <c r="K730" s="49"/>
      <c r="L730" s="49"/>
      <c r="M730" s="52"/>
    </row>
    <row r="731" spans="1:13" ht="15.75" customHeight="1" x14ac:dyDescent="0.2">
      <c r="A731" s="49"/>
      <c r="B731" s="49"/>
      <c r="C731" s="39"/>
      <c r="D731" s="39"/>
      <c r="E731" s="39"/>
      <c r="G731" s="34"/>
      <c r="H731" s="49"/>
      <c r="I731" s="49"/>
      <c r="J731" s="49"/>
      <c r="K731" s="49"/>
      <c r="L731" s="49"/>
      <c r="M731" s="52"/>
    </row>
    <row r="732" spans="1:13" ht="15.75" customHeight="1" x14ac:dyDescent="0.2">
      <c r="A732" s="49"/>
      <c r="B732" s="49"/>
      <c r="C732" s="39"/>
      <c r="D732" s="39"/>
      <c r="E732" s="39"/>
      <c r="G732" s="34"/>
      <c r="H732" s="49"/>
      <c r="I732" s="49"/>
      <c r="J732" s="49"/>
      <c r="K732" s="49"/>
      <c r="L732" s="49"/>
      <c r="M732" s="52"/>
    </row>
    <row r="733" spans="1:13" ht="15.75" customHeight="1" x14ac:dyDescent="0.2">
      <c r="A733" s="49"/>
      <c r="B733" s="49"/>
      <c r="C733" s="39"/>
      <c r="D733" s="39"/>
      <c r="E733" s="39"/>
      <c r="G733" s="34"/>
      <c r="H733" s="49"/>
      <c r="I733" s="49"/>
      <c r="J733" s="49"/>
      <c r="K733" s="49"/>
      <c r="L733" s="49"/>
      <c r="M733" s="52"/>
    </row>
    <row r="734" spans="1:13" ht="15.75" customHeight="1" x14ac:dyDescent="0.2">
      <c r="A734" s="49"/>
      <c r="B734" s="49"/>
      <c r="C734" s="39"/>
      <c r="D734" s="39"/>
      <c r="E734" s="39"/>
      <c r="G734" s="34"/>
      <c r="H734" s="49"/>
      <c r="I734" s="49"/>
      <c r="J734" s="49"/>
      <c r="K734" s="49"/>
      <c r="L734" s="49"/>
      <c r="M734" s="52"/>
    </row>
    <row r="735" spans="1:13" ht="15.75" customHeight="1" x14ac:dyDescent="0.2">
      <c r="A735" s="49"/>
      <c r="B735" s="49"/>
      <c r="C735" s="39"/>
      <c r="D735" s="39"/>
      <c r="E735" s="39"/>
      <c r="G735" s="34"/>
      <c r="H735" s="49"/>
      <c r="I735" s="49"/>
      <c r="J735" s="49"/>
      <c r="K735" s="49"/>
      <c r="L735" s="49"/>
      <c r="M735" s="52"/>
    </row>
    <row r="736" spans="1:13" ht="15.75" customHeight="1" x14ac:dyDescent="0.2">
      <c r="A736" s="49"/>
      <c r="B736" s="49"/>
      <c r="C736" s="39"/>
      <c r="D736" s="39"/>
      <c r="E736" s="39"/>
      <c r="G736" s="34"/>
      <c r="H736" s="49"/>
      <c r="I736" s="49"/>
      <c r="J736" s="49"/>
      <c r="K736" s="49"/>
      <c r="L736" s="49"/>
      <c r="M736" s="52"/>
    </row>
    <row r="737" spans="1:13" ht="15.75" customHeight="1" x14ac:dyDescent="0.2">
      <c r="A737" s="49"/>
      <c r="B737" s="49"/>
      <c r="C737" s="39"/>
      <c r="D737" s="39"/>
      <c r="E737" s="39"/>
      <c r="G737" s="34"/>
      <c r="H737" s="49"/>
      <c r="I737" s="49"/>
      <c r="J737" s="49"/>
      <c r="K737" s="49"/>
      <c r="L737" s="49"/>
      <c r="M737" s="52"/>
    </row>
    <row r="738" spans="1:13" ht="15.75" customHeight="1" x14ac:dyDescent="0.2">
      <c r="A738" s="49"/>
      <c r="B738" s="49"/>
      <c r="C738" s="39"/>
      <c r="D738" s="39"/>
      <c r="E738" s="39"/>
      <c r="G738" s="34"/>
      <c r="H738" s="49"/>
      <c r="I738" s="49"/>
      <c r="J738" s="49"/>
      <c r="K738" s="49"/>
      <c r="L738" s="49"/>
      <c r="M738" s="52"/>
    </row>
    <row r="739" spans="1:13" ht="15.75" customHeight="1" x14ac:dyDescent="0.2">
      <c r="A739" s="49"/>
      <c r="B739" s="49"/>
      <c r="C739" s="39"/>
      <c r="D739" s="39"/>
      <c r="E739" s="39"/>
      <c r="G739" s="34"/>
      <c r="H739" s="49"/>
      <c r="I739" s="49"/>
      <c r="J739" s="49"/>
      <c r="K739" s="49"/>
      <c r="L739" s="49"/>
      <c r="M739" s="52"/>
    </row>
    <row r="740" spans="1:13" ht="15.75" customHeight="1" x14ac:dyDescent="0.2">
      <c r="A740" s="49"/>
      <c r="B740" s="49"/>
      <c r="C740" s="39"/>
      <c r="D740" s="39"/>
      <c r="E740" s="39"/>
      <c r="G740" s="34"/>
      <c r="H740" s="49"/>
      <c r="I740" s="49"/>
      <c r="J740" s="49"/>
      <c r="K740" s="49"/>
      <c r="L740" s="49"/>
      <c r="M740" s="52"/>
    </row>
    <row r="741" spans="1:13" ht="15.75" customHeight="1" x14ac:dyDescent="0.2">
      <c r="A741" s="49"/>
      <c r="B741" s="49"/>
      <c r="C741" s="39"/>
      <c r="D741" s="39"/>
      <c r="E741" s="39"/>
      <c r="G741" s="34"/>
      <c r="H741" s="49"/>
      <c r="I741" s="49"/>
      <c r="J741" s="49"/>
      <c r="K741" s="49"/>
      <c r="L741" s="49"/>
      <c r="M741" s="52"/>
    </row>
    <row r="742" spans="1:13" ht="15.75" customHeight="1" x14ac:dyDescent="0.2">
      <c r="A742" s="49"/>
      <c r="B742" s="49"/>
      <c r="C742" s="39"/>
      <c r="D742" s="39"/>
      <c r="E742" s="39"/>
      <c r="G742" s="34"/>
      <c r="H742" s="49"/>
      <c r="I742" s="49"/>
      <c r="J742" s="49"/>
      <c r="K742" s="49"/>
      <c r="L742" s="49"/>
      <c r="M742" s="52"/>
    </row>
    <row r="743" spans="1:13" ht="15.75" customHeight="1" x14ac:dyDescent="0.2">
      <c r="A743" s="49"/>
      <c r="B743" s="49"/>
      <c r="C743" s="39"/>
      <c r="D743" s="39"/>
      <c r="E743" s="39"/>
      <c r="G743" s="34"/>
      <c r="H743" s="49"/>
      <c r="I743" s="49"/>
      <c r="J743" s="49"/>
      <c r="K743" s="49"/>
      <c r="L743" s="49"/>
      <c r="M743" s="52"/>
    </row>
    <row r="744" spans="1:13" ht="15.75" customHeight="1" x14ac:dyDescent="0.2">
      <c r="A744" s="49"/>
      <c r="B744" s="49"/>
      <c r="C744" s="39"/>
      <c r="D744" s="39"/>
      <c r="E744" s="39"/>
      <c r="G744" s="34"/>
      <c r="H744" s="49"/>
      <c r="I744" s="49"/>
      <c r="J744" s="49"/>
      <c r="K744" s="49"/>
      <c r="L744" s="49"/>
      <c r="M744" s="52"/>
    </row>
    <row r="745" spans="1:13" ht="15.75" customHeight="1" x14ac:dyDescent="0.2">
      <c r="A745" s="49"/>
      <c r="B745" s="49"/>
      <c r="C745" s="39"/>
      <c r="D745" s="39"/>
      <c r="E745" s="39"/>
      <c r="G745" s="34"/>
      <c r="H745" s="49"/>
      <c r="I745" s="49"/>
      <c r="J745" s="49"/>
      <c r="K745" s="49"/>
      <c r="L745" s="49"/>
      <c r="M745" s="52"/>
    </row>
    <row r="746" spans="1:13" ht="15.75" customHeight="1" x14ac:dyDescent="0.2">
      <c r="A746" s="49"/>
      <c r="B746" s="49"/>
      <c r="C746" s="39"/>
      <c r="D746" s="39"/>
      <c r="E746" s="39"/>
      <c r="G746" s="34"/>
      <c r="H746" s="49"/>
      <c r="I746" s="49"/>
      <c r="J746" s="49"/>
      <c r="K746" s="49"/>
      <c r="L746" s="49"/>
      <c r="M746" s="52"/>
    </row>
    <row r="747" spans="1:13" ht="15.75" customHeight="1" x14ac:dyDescent="0.2">
      <c r="A747" s="49"/>
      <c r="B747" s="49"/>
      <c r="C747" s="39"/>
      <c r="D747" s="39"/>
      <c r="E747" s="39"/>
      <c r="G747" s="34"/>
      <c r="H747" s="49"/>
      <c r="I747" s="49"/>
      <c r="J747" s="49"/>
      <c r="K747" s="49"/>
      <c r="L747" s="49"/>
      <c r="M747" s="52"/>
    </row>
    <row r="748" spans="1:13" ht="15.75" customHeight="1" x14ac:dyDescent="0.2">
      <c r="A748" s="49"/>
      <c r="B748" s="49"/>
      <c r="C748" s="39"/>
      <c r="D748" s="39"/>
      <c r="E748" s="39"/>
      <c r="G748" s="34"/>
      <c r="H748" s="49"/>
      <c r="I748" s="49"/>
      <c r="J748" s="49"/>
      <c r="K748" s="49"/>
      <c r="L748" s="49"/>
      <c r="M748" s="52"/>
    </row>
    <row r="749" spans="1:13" ht="15.75" customHeight="1" x14ac:dyDescent="0.2">
      <c r="A749" s="49"/>
      <c r="B749" s="49"/>
      <c r="C749" s="39"/>
      <c r="D749" s="39"/>
      <c r="E749" s="39"/>
      <c r="G749" s="34"/>
      <c r="H749" s="49"/>
      <c r="I749" s="49"/>
      <c r="J749" s="49"/>
      <c r="K749" s="49"/>
      <c r="L749" s="49"/>
      <c r="M749" s="52"/>
    </row>
    <row r="750" spans="1:13" ht="15.75" customHeight="1" x14ac:dyDescent="0.2">
      <c r="A750" s="49"/>
      <c r="B750" s="49"/>
      <c r="C750" s="39"/>
      <c r="D750" s="39"/>
      <c r="E750" s="39"/>
      <c r="G750" s="34"/>
      <c r="H750" s="49"/>
      <c r="I750" s="49"/>
      <c r="J750" s="49"/>
      <c r="K750" s="49"/>
      <c r="L750" s="49"/>
      <c r="M750" s="52"/>
    </row>
    <row r="751" spans="1:13" ht="15.75" customHeight="1" x14ac:dyDescent="0.2">
      <c r="A751" s="49"/>
      <c r="B751" s="49"/>
      <c r="C751" s="39"/>
      <c r="D751" s="39"/>
      <c r="E751" s="39"/>
      <c r="G751" s="34"/>
      <c r="H751" s="49"/>
      <c r="I751" s="49"/>
      <c r="J751" s="49"/>
      <c r="K751" s="49"/>
      <c r="L751" s="49"/>
      <c r="M751" s="52"/>
    </row>
    <row r="752" spans="1:13" ht="15.75" customHeight="1" x14ac:dyDescent="0.2">
      <c r="A752" s="49"/>
      <c r="B752" s="49"/>
      <c r="C752" s="39"/>
      <c r="D752" s="39"/>
      <c r="E752" s="39"/>
      <c r="G752" s="34"/>
      <c r="H752" s="49"/>
      <c r="I752" s="49"/>
      <c r="J752" s="49"/>
      <c r="K752" s="49"/>
      <c r="L752" s="49"/>
      <c r="M752" s="52"/>
    </row>
    <row r="753" spans="1:13" ht="15.75" customHeight="1" x14ac:dyDescent="0.2">
      <c r="A753" s="49"/>
      <c r="B753" s="49"/>
      <c r="C753" s="39"/>
      <c r="D753" s="39"/>
      <c r="E753" s="39"/>
      <c r="G753" s="34"/>
      <c r="H753" s="49"/>
      <c r="I753" s="49"/>
      <c r="J753" s="49"/>
      <c r="K753" s="49"/>
      <c r="L753" s="49"/>
      <c r="M753" s="52"/>
    </row>
    <row r="754" spans="1:13" ht="15.75" customHeight="1" x14ac:dyDescent="0.2">
      <c r="A754" s="49"/>
      <c r="B754" s="49"/>
      <c r="C754" s="39"/>
      <c r="D754" s="39"/>
      <c r="E754" s="39"/>
      <c r="G754" s="34"/>
      <c r="H754" s="49"/>
      <c r="I754" s="49"/>
      <c r="J754" s="49"/>
      <c r="K754" s="49"/>
      <c r="L754" s="49"/>
      <c r="M754" s="52"/>
    </row>
    <row r="755" spans="1:13" ht="15.75" customHeight="1" x14ac:dyDescent="0.2">
      <c r="A755" s="49"/>
      <c r="B755" s="49"/>
      <c r="C755" s="39"/>
      <c r="D755" s="39"/>
      <c r="E755" s="39"/>
      <c r="G755" s="34"/>
      <c r="H755" s="49"/>
      <c r="I755" s="49"/>
      <c r="J755" s="49"/>
      <c r="K755" s="49"/>
      <c r="L755" s="49"/>
      <c r="M755" s="52"/>
    </row>
    <row r="756" spans="1:13" ht="15.75" customHeight="1" x14ac:dyDescent="0.2">
      <c r="A756" s="49"/>
      <c r="B756" s="49"/>
      <c r="C756" s="39"/>
      <c r="D756" s="39"/>
      <c r="E756" s="39"/>
      <c r="G756" s="34"/>
      <c r="H756" s="49"/>
      <c r="I756" s="49"/>
      <c r="J756" s="49"/>
      <c r="K756" s="49"/>
      <c r="L756" s="49"/>
      <c r="M756" s="52"/>
    </row>
    <row r="757" spans="1:13" ht="15.75" customHeight="1" x14ac:dyDescent="0.2">
      <c r="A757" s="49"/>
      <c r="B757" s="49"/>
      <c r="C757" s="39"/>
      <c r="D757" s="39"/>
      <c r="E757" s="39"/>
      <c r="G757" s="34"/>
      <c r="H757" s="49"/>
      <c r="I757" s="49"/>
      <c r="J757" s="49"/>
      <c r="K757" s="49"/>
      <c r="L757" s="49"/>
      <c r="M757" s="52"/>
    </row>
    <row r="758" spans="1:13" ht="15.75" customHeight="1" x14ac:dyDescent="0.2">
      <c r="A758" s="49"/>
      <c r="B758" s="49"/>
      <c r="C758" s="39"/>
      <c r="D758" s="39"/>
      <c r="E758" s="39"/>
      <c r="G758" s="34"/>
      <c r="H758" s="49"/>
      <c r="I758" s="49"/>
      <c r="J758" s="49"/>
      <c r="K758" s="49"/>
      <c r="L758" s="49"/>
      <c r="M758" s="52"/>
    </row>
    <row r="759" spans="1:13" ht="15.75" customHeight="1" x14ac:dyDescent="0.2">
      <c r="A759" s="49"/>
      <c r="B759" s="49"/>
      <c r="C759" s="39"/>
      <c r="D759" s="39"/>
      <c r="E759" s="39"/>
      <c r="G759" s="34"/>
      <c r="H759" s="49"/>
      <c r="I759" s="49"/>
      <c r="J759" s="49"/>
      <c r="K759" s="49"/>
      <c r="L759" s="49"/>
      <c r="M759" s="52"/>
    </row>
    <row r="760" spans="1:13" ht="15.75" customHeight="1" x14ac:dyDescent="0.2">
      <c r="A760" s="49"/>
      <c r="B760" s="49"/>
      <c r="C760" s="39"/>
      <c r="D760" s="39"/>
      <c r="E760" s="39"/>
      <c r="G760" s="34"/>
      <c r="H760" s="49"/>
      <c r="I760" s="49"/>
      <c r="J760" s="49"/>
      <c r="K760" s="49"/>
      <c r="L760" s="49"/>
      <c r="M760" s="52"/>
    </row>
    <row r="761" spans="1:13" ht="15.75" customHeight="1" x14ac:dyDescent="0.2">
      <c r="A761" s="49"/>
      <c r="B761" s="49"/>
      <c r="C761" s="39"/>
      <c r="D761" s="39"/>
      <c r="E761" s="39"/>
      <c r="G761" s="34"/>
      <c r="H761" s="49"/>
      <c r="I761" s="49"/>
      <c r="J761" s="49"/>
      <c r="K761" s="49"/>
      <c r="L761" s="49"/>
      <c r="M761" s="52"/>
    </row>
    <row r="762" spans="1:13" ht="15.75" customHeight="1" x14ac:dyDescent="0.2">
      <c r="A762" s="49"/>
      <c r="B762" s="49"/>
      <c r="C762" s="39"/>
      <c r="D762" s="39"/>
      <c r="E762" s="39"/>
      <c r="G762" s="34"/>
      <c r="H762" s="49"/>
      <c r="I762" s="49"/>
      <c r="J762" s="49"/>
      <c r="K762" s="49"/>
      <c r="L762" s="49"/>
      <c r="M762" s="52"/>
    </row>
    <row r="763" spans="1:13" ht="15.75" customHeight="1" x14ac:dyDescent="0.2">
      <c r="A763" s="49"/>
      <c r="B763" s="49"/>
      <c r="C763" s="39"/>
      <c r="D763" s="39"/>
      <c r="E763" s="39"/>
      <c r="G763" s="34"/>
      <c r="H763" s="49"/>
      <c r="I763" s="49"/>
      <c r="J763" s="49"/>
      <c r="K763" s="49"/>
      <c r="L763" s="49"/>
      <c r="M763" s="52"/>
    </row>
    <row r="764" spans="1:13" ht="15.75" customHeight="1" x14ac:dyDescent="0.2">
      <c r="A764" s="49"/>
      <c r="B764" s="49"/>
      <c r="C764" s="39"/>
      <c r="D764" s="39"/>
      <c r="E764" s="39"/>
      <c r="G764" s="34"/>
      <c r="H764" s="49"/>
      <c r="I764" s="49"/>
      <c r="J764" s="49"/>
      <c r="K764" s="49"/>
      <c r="L764" s="49"/>
      <c r="M764" s="52"/>
    </row>
    <row r="765" spans="1:13" ht="15.75" customHeight="1" x14ac:dyDescent="0.2">
      <c r="A765" s="49"/>
      <c r="B765" s="49"/>
      <c r="C765" s="39"/>
      <c r="D765" s="39"/>
      <c r="E765" s="39"/>
      <c r="G765" s="34"/>
      <c r="H765" s="49"/>
      <c r="I765" s="49"/>
      <c r="J765" s="49"/>
      <c r="K765" s="49"/>
      <c r="L765" s="49"/>
      <c r="M765" s="52"/>
    </row>
    <row r="766" spans="1:13" ht="15.75" customHeight="1" x14ac:dyDescent="0.2">
      <c r="A766" s="49"/>
      <c r="B766" s="49"/>
      <c r="C766" s="39"/>
      <c r="D766" s="39"/>
      <c r="E766" s="39"/>
      <c r="G766" s="34"/>
      <c r="H766" s="49"/>
      <c r="I766" s="49"/>
      <c r="J766" s="49"/>
      <c r="K766" s="49"/>
      <c r="L766" s="49"/>
      <c r="M766" s="52"/>
    </row>
    <row r="767" spans="1:13" ht="15.75" customHeight="1" x14ac:dyDescent="0.2">
      <c r="A767" s="49"/>
      <c r="B767" s="49"/>
      <c r="C767" s="39"/>
      <c r="D767" s="39"/>
      <c r="E767" s="39"/>
      <c r="G767" s="34"/>
      <c r="H767" s="49"/>
      <c r="I767" s="49"/>
      <c r="J767" s="49"/>
      <c r="K767" s="49"/>
      <c r="L767" s="49"/>
      <c r="M767" s="52"/>
    </row>
    <row r="768" spans="1:13" ht="15.75" customHeight="1" x14ac:dyDescent="0.2">
      <c r="A768" s="49"/>
      <c r="B768" s="49"/>
      <c r="C768" s="39"/>
      <c r="D768" s="39"/>
      <c r="E768" s="39"/>
      <c r="G768" s="34"/>
      <c r="H768" s="49"/>
      <c r="I768" s="49"/>
      <c r="J768" s="49"/>
      <c r="K768" s="49"/>
      <c r="L768" s="49"/>
      <c r="M768" s="52"/>
    </row>
    <row r="769" spans="1:13" ht="15.75" customHeight="1" x14ac:dyDescent="0.2">
      <c r="A769" s="49"/>
      <c r="B769" s="49"/>
      <c r="C769" s="39"/>
      <c r="D769" s="39"/>
      <c r="E769" s="39"/>
      <c r="G769" s="34"/>
      <c r="H769" s="49"/>
      <c r="I769" s="49"/>
      <c r="J769" s="49"/>
      <c r="K769" s="49"/>
      <c r="L769" s="49"/>
      <c r="M769" s="52"/>
    </row>
    <row r="770" spans="1:13" ht="15.75" customHeight="1" x14ac:dyDescent="0.2">
      <c r="A770" s="49"/>
      <c r="B770" s="49"/>
      <c r="C770" s="39"/>
      <c r="D770" s="39"/>
      <c r="E770" s="39"/>
      <c r="G770" s="34"/>
      <c r="H770" s="49"/>
      <c r="I770" s="49"/>
      <c r="J770" s="49"/>
      <c r="K770" s="49"/>
      <c r="L770" s="49"/>
      <c r="M770" s="52"/>
    </row>
    <row r="771" spans="1:13" ht="15.75" customHeight="1" x14ac:dyDescent="0.2">
      <c r="A771" s="49"/>
      <c r="B771" s="49"/>
      <c r="C771" s="39"/>
      <c r="D771" s="39"/>
      <c r="E771" s="39"/>
      <c r="G771" s="34"/>
      <c r="H771" s="49"/>
      <c r="I771" s="49"/>
      <c r="J771" s="49"/>
      <c r="K771" s="49"/>
      <c r="L771" s="49"/>
      <c r="M771" s="52"/>
    </row>
    <row r="772" spans="1:13" ht="15.75" customHeight="1" x14ac:dyDescent="0.2">
      <c r="A772" s="49"/>
      <c r="B772" s="49"/>
      <c r="C772" s="39"/>
      <c r="D772" s="39"/>
      <c r="E772" s="39"/>
      <c r="G772" s="34"/>
      <c r="H772" s="49"/>
      <c r="I772" s="49"/>
      <c r="J772" s="49"/>
      <c r="K772" s="49"/>
      <c r="L772" s="49"/>
      <c r="M772" s="52"/>
    </row>
    <row r="773" spans="1:13" ht="15.75" customHeight="1" x14ac:dyDescent="0.2">
      <c r="A773" s="49"/>
      <c r="B773" s="49"/>
      <c r="C773" s="39"/>
      <c r="D773" s="39"/>
      <c r="E773" s="39"/>
      <c r="G773" s="34"/>
      <c r="H773" s="49"/>
      <c r="I773" s="49"/>
      <c r="J773" s="49"/>
      <c r="K773" s="49"/>
      <c r="L773" s="49"/>
      <c r="M773" s="52"/>
    </row>
    <row r="774" spans="1:13" ht="15.75" customHeight="1" x14ac:dyDescent="0.2">
      <c r="A774" s="49"/>
      <c r="B774" s="49"/>
      <c r="C774" s="39"/>
      <c r="D774" s="39"/>
      <c r="E774" s="39"/>
      <c r="G774" s="34"/>
      <c r="H774" s="49"/>
      <c r="I774" s="49"/>
      <c r="J774" s="49"/>
      <c r="K774" s="49"/>
      <c r="L774" s="49"/>
      <c r="M774" s="52"/>
    </row>
    <row r="775" spans="1:13" ht="15.75" customHeight="1" x14ac:dyDescent="0.2">
      <c r="A775" s="49"/>
      <c r="B775" s="49"/>
      <c r="C775" s="39"/>
      <c r="D775" s="39"/>
      <c r="E775" s="39"/>
      <c r="G775" s="34"/>
      <c r="H775" s="49"/>
      <c r="I775" s="49"/>
      <c r="J775" s="49"/>
      <c r="K775" s="49"/>
      <c r="L775" s="49"/>
      <c r="M775" s="52"/>
    </row>
    <row r="776" spans="1:13" ht="15.75" customHeight="1" x14ac:dyDescent="0.2">
      <c r="A776" s="49"/>
      <c r="B776" s="49"/>
      <c r="C776" s="39"/>
      <c r="D776" s="39"/>
      <c r="E776" s="39"/>
      <c r="G776" s="34"/>
      <c r="H776" s="49"/>
      <c r="I776" s="49"/>
      <c r="J776" s="49"/>
      <c r="K776" s="49"/>
      <c r="L776" s="49"/>
      <c r="M776" s="52"/>
    </row>
    <row r="777" spans="1:13" ht="15.75" customHeight="1" x14ac:dyDescent="0.2">
      <c r="A777" s="49"/>
      <c r="B777" s="49"/>
      <c r="C777" s="39"/>
      <c r="D777" s="39"/>
      <c r="E777" s="39"/>
      <c r="G777" s="34"/>
      <c r="H777" s="49"/>
      <c r="I777" s="49"/>
      <c r="J777" s="49"/>
      <c r="K777" s="49"/>
      <c r="L777" s="49"/>
      <c r="M777" s="52"/>
    </row>
    <row r="778" spans="1:13" ht="15.75" customHeight="1" x14ac:dyDescent="0.2">
      <c r="A778" s="49"/>
      <c r="B778" s="49"/>
      <c r="C778" s="39"/>
      <c r="D778" s="39"/>
      <c r="E778" s="39"/>
      <c r="G778" s="34"/>
      <c r="H778" s="49"/>
      <c r="I778" s="49"/>
      <c r="J778" s="49"/>
      <c r="K778" s="49"/>
      <c r="L778" s="49"/>
      <c r="M778" s="52"/>
    </row>
    <row r="779" spans="1:13" ht="15.75" customHeight="1" x14ac:dyDescent="0.2">
      <c r="A779" s="49"/>
      <c r="B779" s="49"/>
      <c r="C779" s="39"/>
      <c r="D779" s="39"/>
      <c r="E779" s="39"/>
      <c r="G779" s="34"/>
      <c r="H779" s="49"/>
      <c r="I779" s="49"/>
      <c r="J779" s="49"/>
      <c r="K779" s="49"/>
      <c r="L779" s="49"/>
      <c r="M779" s="52"/>
    </row>
    <row r="780" spans="1:13" ht="15.75" customHeight="1" x14ac:dyDescent="0.2">
      <c r="A780" s="49"/>
      <c r="B780" s="49"/>
      <c r="C780" s="39"/>
      <c r="D780" s="39"/>
      <c r="E780" s="39"/>
      <c r="G780" s="34"/>
      <c r="H780" s="49"/>
      <c r="I780" s="49"/>
      <c r="J780" s="49"/>
      <c r="K780" s="49"/>
      <c r="L780" s="49"/>
      <c r="M780" s="52"/>
    </row>
    <row r="781" spans="1:13" ht="15.75" customHeight="1" x14ac:dyDescent="0.2">
      <c r="A781" s="49"/>
      <c r="B781" s="49"/>
      <c r="C781" s="39"/>
      <c r="D781" s="39"/>
      <c r="E781" s="39"/>
      <c r="G781" s="34"/>
      <c r="H781" s="49"/>
      <c r="I781" s="49"/>
      <c r="J781" s="49"/>
      <c r="K781" s="49"/>
      <c r="L781" s="49"/>
      <c r="M781" s="52"/>
    </row>
    <row r="782" spans="1:13" ht="15.75" customHeight="1" x14ac:dyDescent="0.2">
      <c r="A782" s="49"/>
      <c r="B782" s="49"/>
      <c r="C782" s="39"/>
      <c r="D782" s="39"/>
      <c r="E782" s="39"/>
      <c r="G782" s="34"/>
      <c r="H782" s="49"/>
      <c r="I782" s="49"/>
      <c r="J782" s="49"/>
      <c r="K782" s="49"/>
      <c r="L782" s="49"/>
      <c r="M782" s="52"/>
    </row>
    <row r="783" spans="1:13" ht="15.75" customHeight="1" x14ac:dyDescent="0.2">
      <c r="A783" s="49"/>
      <c r="B783" s="49"/>
      <c r="C783" s="39"/>
      <c r="D783" s="39"/>
      <c r="E783" s="39"/>
      <c r="G783" s="34"/>
      <c r="H783" s="49"/>
      <c r="I783" s="49"/>
      <c r="J783" s="49"/>
      <c r="K783" s="49"/>
      <c r="L783" s="49"/>
      <c r="M783" s="52"/>
    </row>
    <row r="784" spans="1:13" ht="15.75" customHeight="1" x14ac:dyDescent="0.2">
      <c r="A784" s="49"/>
      <c r="B784" s="49"/>
      <c r="C784" s="39"/>
      <c r="D784" s="39"/>
      <c r="E784" s="39"/>
      <c r="G784" s="34"/>
      <c r="H784" s="49"/>
      <c r="I784" s="49"/>
      <c r="J784" s="49"/>
      <c r="K784" s="49"/>
      <c r="L784" s="49"/>
      <c r="M784" s="52"/>
    </row>
    <row r="785" spans="1:13" ht="15.75" customHeight="1" x14ac:dyDescent="0.2">
      <c r="A785" s="49"/>
      <c r="B785" s="49"/>
      <c r="C785" s="39"/>
      <c r="D785" s="39"/>
      <c r="E785" s="39"/>
      <c r="G785" s="34"/>
      <c r="H785" s="49"/>
      <c r="I785" s="49"/>
      <c r="J785" s="49"/>
      <c r="K785" s="49"/>
      <c r="L785" s="49"/>
      <c r="M785" s="52"/>
    </row>
    <row r="786" spans="1:13" ht="15.75" customHeight="1" x14ac:dyDescent="0.2">
      <c r="A786" s="49"/>
      <c r="B786" s="49"/>
      <c r="C786" s="39"/>
      <c r="D786" s="39"/>
      <c r="E786" s="39"/>
      <c r="G786" s="34"/>
      <c r="H786" s="49"/>
      <c r="I786" s="49"/>
      <c r="J786" s="49"/>
      <c r="K786" s="49"/>
      <c r="L786" s="49"/>
      <c r="M786" s="52"/>
    </row>
    <row r="787" spans="1:13" ht="15.75" customHeight="1" x14ac:dyDescent="0.2">
      <c r="A787" s="49"/>
      <c r="B787" s="49"/>
      <c r="C787" s="39"/>
      <c r="D787" s="39"/>
      <c r="E787" s="39"/>
      <c r="G787" s="34"/>
      <c r="H787" s="49"/>
      <c r="I787" s="49"/>
      <c r="J787" s="49"/>
      <c r="K787" s="49"/>
      <c r="L787" s="49"/>
      <c r="M787" s="52"/>
    </row>
    <row r="788" spans="1:13" ht="15.75" customHeight="1" x14ac:dyDescent="0.2">
      <c r="A788" s="49"/>
      <c r="B788" s="49"/>
      <c r="C788" s="39"/>
      <c r="D788" s="39"/>
      <c r="E788" s="39"/>
      <c r="G788" s="34"/>
      <c r="H788" s="49"/>
      <c r="I788" s="49"/>
      <c r="J788" s="49"/>
      <c r="K788" s="49"/>
      <c r="L788" s="49"/>
      <c r="M788" s="52"/>
    </row>
    <row r="789" spans="1:13" ht="15.75" customHeight="1" x14ac:dyDescent="0.2">
      <c r="A789" s="49"/>
      <c r="B789" s="49"/>
      <c r="C789" s="39"/>
      <c r="D789" s="39"/>
      <c r="E789" s="39"/>
      <c r="G789" s="34"/>
      <c r="H789" s="49"/>
      <c r="I789" s="49"/>
      <c r="J789" s="49"/>
      <c r="K789" s="49"/>
      <c r="L789" s="49"/>
      <c r="M789" s="52"/>
    </row>
    <row r="790" spans="1:13" ht="15.75" customHeight="1" x14ac:dyDescent="0.2">
      <c r="A790" s="49"/>
      <c r="B790" s="49"/>
      <c r="C790" s="39"/>
      <c r="D790" s="39"/>
      <c r="E790" s="39"/>
      <c r="G790" s="34"/>
      <c r="H790" s="49"/>
      <c r="I790" s="49"/>
      <c r="J790" s="49"/>
      <c r="K790" s="49"/>
      <c r="L790" s="49"/>
      <c r="M790" s="52"/>
    </row>
    <row r="791" spans="1:13" ht="15.75" customHeight="1" x14ac:dyDescent="0.2">
      <c r="A791" s="49"/>
      <c r="B791" s="49"/>
      <c r="C791" s="39"/>
      <c r="D791" s="39"/>
      <c r="E791" s="39"/>
      <c r="G791" s="34"/>
      <c r="H791" s="49"/>
      <c r="I791" s="49"/>
      <c r="J791" s="49"/>
      <c r="K791" s="49"/>
      <c r="L791" s="49"/>
      <c r="M791" s="52"/>
    </row>
    <row r="792" spans="1:13" ht="15.75" customHeight="1" x14ac:dyDescent="0.2">
      <c r="A792" s="49"/>
      <c r="B792" s="49"/>
      <c r="C792" s="39"/>
      <c r="D792" s="39"/>
      <c r="E792" s="39"/>
      <c r="G792" s="34"/>
      <c r="H792" s="49"/>
      <c r="I792" s="49"/>
      <c r="J792" s="49"/>
      <c r="K792" s="49"/>
      <c r="L792" s="49"/>
      <c r="M792" s="52"/>
    </row>
    <row r="793" spans="1:13" ht="15.75" customHeight="1" x14ac:dyDescent="0.2">
      <c r="A793" s="49"/>
      <c r="B793" s="49"/>
      <c r="C793" s="39"/>
      <c r="D793" s="39"/>
      <c r="E793" s="39"/>
      <c r="G793" s="34"/>
      <c r="H793" s="49"/>
      <c r="I793" s="49"/>
      <c r="J793" s="49"/>
      <c r="K793" s="49"/>
      <c r="L793" s="49"/>
      <c r="M793" s="52"/>
    </row>
    <row r="794" spans="1:13" ht="15.75" customHeight="1" x14ac:dyDescent="0.2">
      <c r="A794" s="49"/>
      <c r="B794" s="49"/>
      <c r="C794" s="39"/>
      <c r="D794" s="39"/>
      <c r="E794" s="39"/>
      <c r="G794" s="34"/>
      <c r="H794" s="49"/>
      <c r="I794" s="49"/>
      <c r="J794" s="49"/>
      <c r="K794" s="49"/>
      <c r="L794" s="49"/>
      <c r="M794" s="52"/>
    </row>
    <row r="795" spans="1:13" ht="15.75" customHeight="1" x14ac:dyDescent="0.2">
      <c r="A795" s="49"/>
      <c r="B795" s="49"/>
      <c r="C795" s="39"/>
      <c r="D795" s="39"/>
      <c r="E795" s="39"/>
      <c r="G795" s="34"/>
      <c r="H795" s="49"/>
      <c r="I795" s="49"/>
      <c r="J795" s="49"/>
      <c r="K795" s="49"/>
      <c r="L795" s="49"/>
      <c r="M795" s="52"/>
    </row>
    <row r="796" spans="1:13" ht="15.75" customHeight="1" x14ac:dyDescent="0.2">
      <c r="A796" s="49"/>
      <c r="B796" s="49"/>
      <c r="C796" s="39"/>
      <c r="D796" s="39"/>
      <c r="E796" s="39"/>
      <c r="G796" s="34"/>
      <c r="H796" s="49"/>
      <c r="I796" s="49"/>
      <c r="J796" s="49"/>
      <c r="K796" s="49"/>
      <c r="L796" s="49"/>
      <c r="M796" s="52"/>
    </row>
    <row r="797" spans="1:13" ht="15.75" customHeight="1" x14ac:dyDescent="0.2">
      <c r="A797" s="49"/>
      <c r="B797" s="49"/>
      <c r="C797" s="39"/>
      <c r="D797" s="39"/>
      <c r="E797" s="39"/>
      <c r="G797" s="34"/>
      <c r="H797" s="49"/>
      <c r="I797" s="49"/>
      <c r="J797" s="49"/>
      <c r="K797" s="49"/>
      <c r="L797" s="49"/>
      <c r="M797" s="52"/>
    </row>
    <row r="798" spans="1:13" ht="15.75" customHeight="1" x14ac:dyDescent="0.2">
      <c r="A798" s="49"/>
      <c r="B798" s="49"/>
      <c r="C798" s="39"/>
      <c r="D798" s="39"/>
      <c r="E798" s="39"/>
      <c r="G798" s="34"/>
      <c r="H798" s="49"/>
      <c r="I798" s="49"/>
      <c r="J798" s="49"/>
      <c r="K798" s="49"/>
      <c r="L798" s="49"/>
      <c r="M798" s="52"/>
    </row>
    <row r="799" spans="1:13" ht="15.75" customHeight="1" x14ac:dyDescent="0.2">
      <c r="A799" s="49"/>
      <c r="B799" s="49"/>
      <c r="C799" s="39"/>
      <c r="D799" s="39"/>
      <c r="E799" s="39"/>
      <c r="G799" s="34"/>
      <c r="H799" s="49"/>
      <c r="I799" s="49"/>
      <c r="J799" s="49"/>
      <c r="K799" s="49"/>
      <c r="L799" s="49"/>
      <c r="M799" s="52"/>
    </row>
    <row r="800" spans="1:13" ht="15.75" customHeight="1" x14ac:dyDescent="0.2">
      <c r="A800" s="49"/>
      <c r="B800" s="49"/>
      <c r="C800" s="39"/>
      <c r="D800" s="39"/>
      <c r="E800" s="39"/>
      <c r="G800" s="34"/>
      <c r="H800" s="49"/>
      <c r="I800" s="49"/>
      <c r="J800" s="49"/>
      <c r="K800" s="49"/>
      <c r="L800" s="49"/>
      <c r="M800" s="52"/>
    </row>
    <row r="801" spans="1:13" ht="15.75" customHeight="1" x14ac:dyDescent="0.2">
      <c r="A801" s="49"/>
      <c r="B801" s="49"/>
      <c r="C801" s="39"/>
      <c r="D801" s="39"/>
      <c r="E801" s="39"/>
      <c r="G801" s="34"/>
      <c r="H801" s="49"/>
      <c r="I801" s="49"/>
      <c r="J801" s="49"/>
      <c r="K801" s="49"/>
      <c r="L801" s="49"/>
      <c r="M801" s="52"/>
    </row>
    <row r="802" spans="1:13" ht="15.75" customHeight="1" x14ac:dyDescent="0.2">
      <c r="A802" s="49"/>
      <c r="B802" s="49"/>
      <c r="C802" s="39"/>
      <c r="D802" s="39"/>
      <c r="E802" s="39"/>
      <c r="G802" s="34"/>
      <c r="H802" s="49"/>
      <c r="I802" s="49"/>
      <c r="J802" s="49"/>
      <c r="K802" s="49"/>
      <c r="L802" s="49"/>
      <c r="M802" s="52"/>
    </row>
    <row r="803" spans="1:13" ht="15.75" customHeight="1" x14ac:dyDescent="0.2">
      <c r="A803" s="49"/>
      <c r="B803" s="49"/>
      <c r="C803" s="39"/>
      <c r="D803" s="39"/>
      <c r="E803" s="39"/>
      <c r="G803" s="34"/>
      <c r="H803" s="49"/>
      <c r="I803" s="49"/>
      <c r="J803" s="49"/>
      <c r="K803" s="49"/>
      <c r="L803" s="49"/>
      <c r="M803" s="52"/>
    </row>
    <row r="804" spans="1:13" ht="15.75" customHeight="1" x14ac:dyDescent="0.2">
      <c r="A804" s="49"/>
      <c r="B804" s="49"/>
      <c r="C804" s="39"/>
      <c r="D804" s="39"/>
      <c r="E804" s="39"/>
      <c r="G804" s="34"/>
      <c r="H804" s="49"/>
      <c r="I804" s="49"/>
      <c r="J804" s="49"/>
      <c r="K804" s="49"/>
      <c r="L804" s="49"/>
      <c r="M804" s="52"/>
    </row>
    <row r="805" spans="1:13" ht="15.75" customHeight="1" x14ac:dyDescent="0.2">
      <c r="A805" s="49"/>
      <c r="B805" s="49"/>
      <c r="C805" s="39"/>
      <c r="D805" s="39"/>
      <c r="E805" s="39"/>
      <c r="G805" s="34"/>
      <c r="H805" s="49"/>
      <c r="I805" s="49"/>
      <c r="J805" s="49"/>
      <c r="K805" s="49"/>
      <c r="L805" s="49"/>
      <c r="M805" s="52"/>
    </row>
    <row r="806" spans="1:13" ht="15.75" customHeight="1" x14ac:dyDescent="0.2">
      <c r="A806" s="49"/>
      <c r="B806" s="49"/>
      <c r="C806" s="39"/>
      <c r="D806" s="39"/>
      <c r="E806" s="39"/>
      <c r="G806" s="34"/>
      <c r="H806" s="49"/>
      <c r="I806" s="49"/>
      <c r="J806" s="49"/>
      <c r="K806" s="49"/>
      <c r="L806" s="49"/>
      <c r="M806" s="52"/>
    </row>
    <row r="807" spans="1:13" ht="15.75" customHeight="1" x14ac:dyDescent="0.2">
      <c r="A807" s="49"/>
      <c r="B807" s="49"/>
      <c r="C807" s="39"/>
      <c r="D807" s="39"/>
      <c r="E807" s="39"/>
      <c r="G807" s="34"/>
      <c r="H807" s="49"/>
      <c r="I807" s="49"/>
      <c r="J807" s="49"/>
      <c r="K807" s="49"/>
      <c r="L807" s="49"/>
      <c r="M807" s="52"/>
    </row>
    <row r="808" spans="1:13" ht="15.75" customHeight="1" x14ac:dyDescent="0.2">
      <c r="A808" s="49"/>
      <c r="B808" s="49"/>
      <c r="C808" s="39"/>
      <c r="D808" s="39"/>
      <c r="E808" s="39"/>
      <c r="G808" s="34"/>
      <c r="H808" s="49"/>
      <c r="I808" s="49"/>
      <c r="J808" s="49"/>
      <c r="K808" s="49"/>
      <c r="L808" s="49"/>
      <c r="M808" s="52"/>
    </row>
    <row r="809" spans="1:13" ht="15.75" customHeight="1" x14ac:dyDescent="0.2">
      <c r="A809" s="49"/>
      <c r="B809" s="49"/>
      <c r="C809" s="39"/>
      <c r="D809" s="39"/>
      <c r="E809" s="39"/>
      <c r="G809" s="34"/>
      <c r="H809" s="49"/>
      <c r="I809" s="49"/>
      <c r="J809" s="49"/>
      <c r="K809" s="49"/>
      <c r="L809" s="49"/>
      <c r="M809" s="52"/>
    </row>
    <row r="810" spans="1:13" ht="15.75" customHeight="1" x14ac:dyDescent="0.2">
      <c r="A810" s="49"/>
      <c r="B810" s="49"/>
      <c r="C810" s="39"/>
      <c r="D810" s="39"/>
      <c r="E810" s="39"/>
      <c r="G810" s="34"/>
      <c r="H810" s="49"/>
      <c r="I810" s="49"/>
      <c r="J810" s="49"/>
      <c r="K810" s="49"/>
      <c r="L810" s="49"/>
      <c r="M810" s="52"/>
    </row>
    <row r="811" spans="1:13" ht="15.75" customHeight="1" x14ac:dyDescent="0.2">
      <c r="A811" s="49"/>
      <c r="B811" s="49"/>
      <c r="C811" s="39"/>
      <c r="D811" s="39"/>
      <c r="E811" s="39"/>
      <c r="G811" s="34"/>
      <c r="H811" s="49"/>
      <c r="I811" s="49"/>
      <c r="J811" s="49"/>
      <c r="K811" s="49"/>
      <c r="L811" s="49"/>
      <c r="M811" s="52"/>
    </row>
    <row r="812" spans="1:13" ht="15.75" customHeight="1" x14ac:dyDescent="0.2">
      <c r="A812" s="49"/>
      <c r="B812" s="49"/>
      <c r="C812" s="39"/>
      <c r="D812" s="39"/>
      <c r="E812" s="39"/>
      <c r="G812" s="34"/>
      <c r="H812" s="49"/>
      <c r="I812" s="49"/>
      <c r="J812" s="49"/>
      <c r="K812" s="49"/>
      <c r="L812" s="49"/>
      <c r="M812" s="52"/>
    </row>
    <row r="813" spans="1:13" ht="15.75" customHeight="1" x14ac:dyDescent="0.2">
      <c r="A813" s="49"/>
      <c r="B813" s="49"/>
      <c r="C813" s="39"/>
      <c r="D813" s="39"/>
      <c r="E813" s="39"/>
      <c r="G813" s="34"/>
      <c r="H813" s="49"/>
      <c r="I813" s="49"/>
      <c r="J813" s="49"/>
      <c r="K813" s="49"/>
      <c r="L813" s="49"/>
      <c r="M813" s="52"/>
    </row>
    <row r="814" spans="1:13" ht="15.75" customHeight="1" x14ac:dyDescent="0.2">
      <c r="A814" s="49"/>
      <c r="B814" s="49"/>
      <c r="C814" s="39"/>
      <c r="D814" s="39"/>
      <c r="E814" s="39"/>
      <c r="G814" s="34"/>
      <c r="H814" s="49"/>
      <c r="I814" s="49"/>
      <c r="J814" s="49"/>
      <c r="K814" s="49"/>
      <c r="L814" s="49"/>
      <c r="M814" s="52"/>
    </row>
    <row r="815" spans="1:13" ht="15.75" customHeight="1" x14ac:dyDescent="0.2">
      <c r="A815" s="49"/>
      <c r="B815" s="49"/>
      <c r="C815" s="39"/>
      <c r="D815" s="39"/>
      <c r="E815" s="39"/>
      <c r="G815" s="34"/>
      <c r="H815" s="49"/>
      <c r="I815" s="49"/>
      <c r="J815" s="49"/>
      <c r="K815" s="49"/>
      <c r="L815" s="49"/>
      <c r="M815" s="52"/>
    </row>
    <row r="816" spans="1:13" ht="15.75" customHeight="1" x14ac:dyDescent="0.2">
      <c r="A816" s="49"/>
      <c r="B816" s="49"/>
      <c r="C816" s="39"/>
      <c r="D816" s="39"/>
      <c r="E816" s="39"/>
      <c r="G816" s="34"/>
      <c r="H816" s="49"/>
      <c r="I816" s="49"/>
      <c r="J816" s="49"/>
      <c r="K816" s="49"/>
      <c r="L816" s="49"/>
      <c r="M816" s="52"/>
    </row>
    <row r="817" spans="1:13" ht="15.75" customHeight="1" x14ac:dyDescent="0.2">
      <c r="A817" s="49"/>
      <c r="B817" s="49"/>
      <c r="C817" s="39"/>
      <c r="D817" s="39"/>
      <c r="E817" s="39"/>
      <c r="G817" s="34"/>
      <c r="H817" s="49"/>
      <c r="I817" s="49"/>
      <c r="J817" s="49"/>
      <c r="K817" s="49"/>
      <c r="L817" s="49"/>
      <c r="M817" s="52"/>
    </row>
    <row r="818" spans="1:13" ht="15.75" customHeight="1" x14ac:dyDescent="0.2">
      <c r="A818" s="49"/>
      <c r="B818" s="49"/>
      <c r="C818" s="39"/>
      <c r="D818" s="39"/>
      <c r="E818" s="39"/>
      <c r="G818" s="34"/>
      <c r="H818" s="49"/>
      <c r="I818" s="49"/>
      <c r="J818" s="49"/>
      <c r="K818" s="49"/>
      <c r="L818" s="49"/>
      <c r="M818" s="52"/>
    </row>
    <row r="819" spans="1:13" ht="15.75" customHeight="1" x14ac:dyDescent="0.2">
      <c r="A819" s="49"/>
      <c r="B819" s="49"/>
      <c r="C819" s="39"/>
      <c r="D819" s="39"/>
      <c r="E819" s="39"/>
      <c r="G819" s="34"/>
      <c r="H819" s="49"/>
      <c r="I819" s="49"/>
      <c r="J819" s="49"/>
      <c r="K819" s="49"/>
      <c r="L819" s="49"/>
      <c r="M819" s="52"/>
    </row>
    <row r="820" spans="1:13" ht="15.75" customHeight="1" x14ac:dyDescent="0.2">
      <c r="A820" s="49"/>
      <c r="B820" s="49"/>
      <c r="C820" s="39"/>
      <c r="D820" s="39"/>
      <c r="E820" s="39"/>
      <c r="G820" s="34"/>
      <c r="H820" s="49"/>
      <c r="I820" s="49"/>
      <c r="J820" s="49"/>
      <c r="K820" s="49"/>
      <c r="L820" s="49"/>
      <c r="M820" s="52"/>
    </row>
    <row r="821" spans="1:13" ht="15.75" customHeight="1" x14ac:dyDescent="0.2">
      <c r="A821" s="49"/>
      <c r="B821" s="49"/>
      <c r="C821" s="39"/>
      <c r="D821" s="39"/>
      <c r="E821" s="39"/>
      <c r="G821" s="34"/>
      <c r="H821" s="49"/>
      <c r="I821" s="49"/>
      <c r="J821" s="49"/>
      <c r="K821" s="49"/>
      <c r="L821" s="49"/>
      <c r="M821" s="52"/>
    </row>
    <row r="822" spans="1:13" ht="15.75" customHeight="1" x14ac:dyDescent="0.2">
      <c r="A822" s="49"/>
      <c r="B822" s="49"/>
      <c r="C822" s="39"/>
      <c r="D822" s="39"/>
      <c r="E822" s="39"/>
      <c r="G822" s="34"/>
      <c r="H822" s="49"/>
      <c r="I822" s="49"/>
      <c r="J822" s="49"/>
      <c r="K822" s="49"/>
      <c r="L822" s="49"/>
      <c r="M822" s="52"/>
    </row>
    <row r="823" spans="1:13" ht="15.75" customHeight="1" x14ac:dyDescent="0.2">
      <c r="A823" s="49"/>
      <c r="B823" s="49"/>
      <c r="C823" s="39"/>
      <c r="D823" s="39"/>
      <c r="E823" s="39"/>
      <c r="G823" s="34"/>
      <c r="H823" s="49"/>
      <c r="I823" s="49"/>
      <c r="J823" s="49"/>
      <c r="K823" s="49"/>
      <c r="L823" s="49"/>
      <c r="M823" s="52"/>
    </row>
    <row r="824" spans="1:13" ht="15.75" customHeight="1" x14ac:dyDescent="0.2">
      <c r="A824" s="49"/>
      <c r="B824" s="49"/>
      <c r="C824" s="39"/>
      <c r="D824" s="39"/>
      <c r="E824" s="39"/>
      <c r="G824" s="34"/>
      <c r="H824" s="49"/>
      <c r="I824" s="49"/>
      <c r="J824" s="49"/>
      <c r="K824" s="49"/>
      <c r="L824" s="49"/>
      <c r="M824" s="52"/>
    </row>
    <row r="825" spans="1:13" ht="15.75" customHeight="1" x14ac:dyDescent="0.2">
      <c r="A825" s="49"/>
      <c r="B825" s="49"/>
      <c r="C825" s="39"/>
      <c r="D825" s="39"/>
      <c r="E825" s="39"/>
      <c r="G825" s="34"/>
      <c r="H825" s="49"/>
      <c r="I825" s="49"/>
      <c r="J825" s="49"/>
      <c r="K825" s="49"/>
      <c r="L825" s="49"/>
      <c r="M825" s="52"/>
    </row>
    <row r="826" spans="1:13" ht="15.75" customHeight="1" x14ac:dyDescent="0.2">
      <c r="A826" s="49"/>
      <c r="B826" s="49"/>
      <c r="C826" s="39"/>
      <c r="D826" s="39"/>
      <c r="E826" s="39"/>
      <c r="G826" s="34"/>
      <c r="H826" s="49"/>
      <c r="I826" s="49"/>
      <c r="J826" s="49"/>
      <c r="K826" s="49"/>
      <c r="L826" s="49"/>
      <c r="M826" s="52"/>
    </row>
    <row r="827" spans="1:13" ht="15.75" customHeight="1" x14ac:dyDescent="0.2">
      <c r="A827" s="49"/>
      <c r="B827" s="49"/>
      <c r="C827" s="39"/>
      <c r="D827" s="39"/>
      <c r="E827" s="39"/>
      <c r="G827" s="34"/>
      <c r="H827" s="49"/>
      <c r="I827" s="49"/>
      <c r="J827" s="49"/>
      <c r="K827" s="49"/>
      <c r="L827" s="49"/>
      <c r="M827" s="52"/>
    </row>
    <row r="828" spans="1:13" ht="15.75" customHeight="1" x14ac:dyDescent="0.2">
      <c r="A828" s="49"/>
      <c r="B828" s="49"/>
      <c r="C828" s="39"/>
      <c r="D828" s="39"/>
      <c r="E828" s="39"/>
      <c r="G828" s="34"/>
      <c r="H828" s="49"/>
      <c r="I828" s="49"/>
      <c r="J828" s="49"/>
      <c r="K828" s="49"/>
      <c r="L828" s="49"/>
      <c r="M828" s="52"/>
    </row>
    <row r="829" spans="1:13" ht="15.75" customHeight="1" x14ac:dyDescent="0.2">
      <c r="A829" s="49"/>
      <c r="B829" s="49"/>
      <c r="C829" s="39"/>
      <c r="D829" s="39"/>
      <c r="E829" s="39"/>
      <c r="G829" s="34"/>
      <c r="H829" s="49"/>
      <c r="I829" s="49"/>
      <c r="J829" s="49"/>
      <c r="K829" s="49"/>
      <c r="L829" s="49"/>
      <c r="M829" s="52"/>
    </row>
    <row r="830" spans="1:13" ht="15.75" customHeight="1" x14ac:dyDescent="0.2">
      <c r="A830" s="49"/>
      <c r="B830" s="49"/>
      <c r="C830" s="39"/>
      <c r="D830" s="39"/>
      <c r="E830" s="39"/>
      <c r="G830" s="34"/>
      <c r="H830" s="49"/>
      <c r="I830" s="49"/>
      <c r="J830" s="49"/>
      <c r="K830" s="49"/>
      <c r="L830" s="49"/>
      <c r="M830" s="52"/>
    </row>
    <row r="831" spans="1:13" ht="15.75" customHeight="1" x14ac:dyDescent="0.2">
      <c r="A831" s="49"/>
      <c r="B831" s="49"/>
      <c r="C831" s="39"/>
      <c r="D831" s="39"/>
      <c r="E831" s="39"/>
      <c r="G831" s="34"/>
      <c r="H831" s="49"/>
      <c r="I831" s="49"/>
      <c r="J831" s="49"/>
      <c r="K831" s="49"/>
      <c r="L831" s="49"/>
      <c r="M831" s="52"/>
    </row>
    <row r="832" spans="1:13" ht="15.75" customHeight="1" x14ac:dyDescent="0.2">
      <c r="A832" s="49"/>
      <c r="B832" s="49"/>
      <c r="C832" s="39"/>
      <c r="D832" s="39"/>
      <c r="E832" s="39"/>
      <c r="G832" s="34"/>
      <c r="H832" s="49"/>
      <c r="I832" s="49"/>
      <c r="J832" s="49"/>
      <c r="K832" s="49"/>
      <c r="L832" s="49"/>
      <c r="M832" s="52"/>
    </row>
    <row r="833" spans="1:13" ht="15.75" customHeight="1" x14ac:dyDescent="0.2">
      <c r="A833" s="49"/>
      <c r="B833" s="49"/>
      <c r="C833" s="39"/>
      <c r="D833" s="39"/>
      <c r="E833" s="39"/>
      <c r="G833" s="34"/>
      <c r="H833" s="49"/>
      <c r="I833" s="49"/>
      <c r="J833" s="49"/>
      <c r="K833" s="49"/>
      <c r="L833" s="49"/>
      <c r="M833" s="52"/>
    </row>
    <row r="834" spans="1:13" ht="15.75" customHeight="1" x14ac:dyDescent="0.2">
      <c r="A834" s="49"/>
      <c r="B834" s="49"/>
      <c r="C834" s="39"/>
      <c r="D834" s="39"/>
      <c r="E834" s="39"/>
      <c r="G834" s="34"/>
      <c r="H834" s="49"/>
      <c r="I834" s="49"/>
      <c r="J834" s="49"/>
      <c r="K834" s="49"/>
      <c r="L834" s="49"/>
      <c r="M834" s="52"/>
    </row>
    <row r="835" spans="1:13" ht="15.75" customHeight="1" x14ac:dyDescent="0.2">
      <c r="A835" s="49"/>
      <c r="B835" s="49"/>
      <c r="C835" s="39"/>
      <c r="D835" s="39"/>
      <c r="E835" s="39"/>
      <c r="G835" s="34"/>
      <c r="H835" s="49"/>
      <c r="I835" s="49"/>
      <c r="J835" s="49"/>
      <c r="K835" s="49"/>
      <c r="L835" s="49"/>
      <c r="M835" s="52"/>
    </row>
    <row r="836" spans="1:13" ht="15.75" customHeight="1" x14ac:dyDescent="0.2">
      <c r="A836" s="49"/>
      <c r="B836" s="49"/>
      <c r="C836" s="39"/>
      <c r="D836" s="39"/>
      <c r="E836" s="39"/>
      <c r="G836" s="34"/>
      <c r="H836" s="49"/>
      <c r="I836" s="49"/>
      <c r="J836" s="49"/>
      <c r="K836" s="49"/>
      <c r="L836" s="49"/>
      <c r="M836" s="52"/>
    </row>
    <row r="837" spans="1:13" ht="15.75" customHeight="1" x14ac:dyDescent="0.2">
      <c r="A837" s="49"/>
      <c r="B837" s="49"/>
      <c r="C837" s="39"/>
      <c r="D837" s="39"/>
      <c r="E837" s="39"/>
      <c r="G837" s="34"/>
      <c r="H837" s="49"/>
      <c r="I837" s="49"/>
      <c r="J837" s="49"/>
      <c r="K837" s="49"/>
      <c r="L837" s="49"/>
      <c r="M837" s="52"/>
    </row>
    <row r="838" spans="1:13" ht="15.75" customHeight="1" x14ac:dyDescent="0.2">
      <c r="A838" s="49"/>
      <c r="B838" s="49"/>
      <c r="C838" s="39"/>
      <c r="D838" s="39"/>
      <c r="E838" s="39"/>
      <c r="G838" s="34"/>
      <c r="H838" s="49"/>
      <c r="I838" s="49"/>
      <c r="J838" s="49"/>
      <c r="K838" s="49"/>
      <c r="L838" s="49"/>
      <c r="M838" s="52"/>
    </row>
    <row r="839" spans="1:13" ht="15.75" customHeight="1" x14ac:dyDescent="0.2">
      <c r="A839" s="49"/>
      <c r="B839" s="49"/>
      <c r="C839" s="39"/>
      <c r="D839" s="39"/>
      <c r="E839" s="39"/>
      <c r="G839" s="34"/>
      <c r="H839" s="49"/>
      <c r="I839" s="49"/>
      <c r="J839" s="49"/>
      <c r="K839" s="49"/>
      <c r="L839" s="49"/>
      <c r="M839" s="52"/>
    </row>
    <row r="840" spans="1:13" ht="15.75" customHeight="1" x14ac:dyDescent="0.2">
      <c r="A840" s="49"/>
      <c r="B840" s="49"/>
      <c r="C840" s="39"/>
      <c r="D840" s="39"/>
      <c r="E840" s="39"/>
      <c r="G840" s="34"/>
      <c r="H840" s="49"/>
      <c r="I840" s="49"/>
      <c r="J840" s="49"/>
      <c r="K840" s="49"/>
      <c r="L840" s="49"/>
      <c r="M840" s="52"/>
    </row>
    <row r="841" spans="1:13" ht="15.75" customHeight="1" x14ac:dyDescent="0.2">
      <c r="A841" s="49"/>
      <c r="B841" s="49"/>
      <c r="C841" s="39"/>
      <c r="D841" s="39"/>
      <c r="E841" s="39"/>
      <c r="G841" s="34"/>
      <c r="H841" s="49"/>
      <c r="I841" s="49"/>
      <c r="J841" s="49"/>
      <c r="K841" s="49"/>
      <c r="L841" s="49"/>
      <c r="M841" s="52"/>
    </row>
    <row r="842" spans="1:13" ht="15.75" customHeight="1" x14ac:dyDescent="0.2">
      <c r="A842" s="49"/>
      <c r="B842" s="49"/>
      <c r="C842" s="39"/>
      <c r="D842" s="39"/>
      <c r="E842" s="39"/>
      <c r="G842" s="34"/>
      <c r="H842" s="49"/>
      <c r="I842" s="49"/>
      <c r="J842" s="49"/>
      <c r="K842" s="49"/>
      <c r="L842" s="49"/>
      <c r="M842" s="52"/>
    </row>
    <row r="843" spans="1:13" ht="15.75" customHeight="1" x14ac:dyDescent="0.2">
      <c r="A843" s="49"/>
      <c r="B843" s="49"/>
      <c r="C843" s="39"/>
      <c r="D843" s="39"/>
      <c r="E843" s="39"/>
      <c r="G843" s="34"/>
      <c r="H843" s="49"/>
      <c r="I843" s="49"/>
      <c r="J843" s="49"/>
      <c r="K843" s="49"/>
      <c r="L843" s="49"/>
      <c r="M843" s="52"/>
    </row>
    <row r="844" spans="1:13" ht="15.75" customHeight="1" x14ac:dyDescent="0.2">
      <c r="A844" s="49"/>
      <c r="B844" s="49"/>
      <c r="C844" s="39"/>
      <c r="D844" s="39"/>
      <c r="E844" s="39"/>
      <c r="G844" s="34"/>
      <c r="H844" s="49"/>
      <c r="I844" s="49"/>
      <c r="J844" s="49"/>
      <c r="K844" s="49"/>
      <c r="L844" s="49"/>
      <c r="M844" s="52"/>
    </row>
    <row r="845" spans="1:13" ht="15.75" customHeight="1" x14ac:dyDescent="0.2">
      <c r="A845" s="49"/>
      <c r="B845" s="49"/>
      <c r="C845" s="39"/>
      <c r="D845" s="39"/>
      <c r="E845" s="39"/>
      <c r="G845" s="34"/>
      <c r="H845" s="49"/>
      <c r="I845" s="49"/>
      <c r="J845" s="49"/>
      <c r="K845" s="49"/>
      <c r="L845" s="49"/>
      <c r="M845" s="52"/>
    </row>
    <row r="846" spans="1:13" ht="15.75" customHeight="1" x14ac:dyDescent="0.2">
      <c r="A846" s="49"/>
      <c r="B846" s="49"/>
      <c r="C846" s="39"/>
      <c r="D846" s="39"/>
      <c r="E846" s="39"/>
      <c r="G846" s="34"/>
      <c r="H846" s="49"/>
      <c r="I846" s="49"/>
      <c r="J846" s="49"/>
      <c r="K846" s="49"/>
      <c r="L846" s="49"/>
      <c r="M846" s="52"/>
    </row>
    <row r="847" spans="1:13" ht="15.75" customHeight="1" x14ac:dyDescent="0.2">
      <c r="A847" s="49"/>
      <c r="B847" s="49"/>
      <c r="C847" s="39"/>
      <c r="D847" s="39"/>
      <c r="E847" s="39"/>
      <c r="G847" s="34"/>
      <c r="H847" s="49"/>
      <c r="I847" s="49"/>
      <c r="J847" s="49"/>
      <c r="K847" s="49"/>
      <c r="L847" s="49"/>
      <c r="M847" s="52"/>
    </row>
    <row r="848" spans="1:13" ht="15.75" customHeight="1" x14ac:dyDescent="0.2">
      <c r="A848" s="49"/>
      <c r="B848" s="49"/>
      <c r="C848" s="39"/>
      <c r="D848" s="39"/>
      <c r="E848" s="39"/>
      <c r="G848" s="34"/>
      <c r="H848" s="49"/>
      <c r="I848" s="49"/>
      <c r="J848" s="49"/>
      <c r="K848" s="49"/>
      <c r="L848" s="49"/>
      <c r="M848" s="52"/>
    </row>
    <row r="849" spans="1:13" ht="15.75" customHeight="1" x14ac:dyDescent="0.2">
      <c r="A849" s="49"/>
      <c r="B849" s="49"/>
      <c r="C849" s="39"/>
      <c r="D849" s="39"/>
      <c r="E849" s="39"/>
      <c r="G849" s="34"/>
      <c r="H849" s="49"/>
      <c r="I849" s="49"/>
      <c r="J849" s="49"/>
      <c r="K849" s="49"/>
      <c r="L849" s="49"/>
      <c r="M849" s="52"/>
    </row>
    <row r="850" spans="1:13" ht="15.75" customHeight="1" x14ac:dyDescent="0.2">
      <c r="A850" s="49"/>
      <c r="B850" s="49"/>
      <c r="C850" s="39"/>
      <c r="D850" s="39"/>
      <c r="E850" s="39"/>
      <c r="G850" s="34"/>
      <c r="H850" s="49"/>
      <c r="I850" s="49"/>
      <c r="J850" s="49"/>
      <c r="K850" s="49"/>
      <c r="L850" s="49"/>
      <c r="M850" s="52"/>
    </row>
    <row r="851" spans="1:13" ht="15.75" customHeight="1" x14ac:dyDescent="0.2">
      <c r="A851" s="49"/>
      <c r="B851" s="49"/>
      <c r="C851" s="39"/>
      <c r="D851" s="39"/>
      <c r="E851" s="39"/>
      <c r="G851" s="34"/>
      <c r="H851" s="49"/>
      <c r="I851" s="49"/>
      <c r="J851" s="49"/>
      <c r="K851" s="49"/>
      <c r="L851" s="49"/>
      <c r="M851" s="52"/>
    </row>
    <row r="852" spans="1:13" ht="15.75" customHeight="1" x14ac:dyDescent="0.2">
      <c r="A852" s="49"/>
      <c r="B852" s="49"/>
      <c r="C852" s="39"/>
      <c r="D852" s="39"/>
      <c r="E852" s="39"/>
      <c r="G852" s="34"/>
      <c r="H852" s="49"/>
      <c r="I852" s="49"/>
      <c r="J852" s="49"/>
      <c r="K852" s="49"/>
      <c r="L852" s="49"/>
      <c r="M852" s="52"/>
    </row>
    <row r="853" spans="1:13" ht="15.75" customHeight="1" x14ac:dyDescent="0.2">
      <c r="A853" s="49"/>
      <c r="B853" s="49"/>
      <c r="C853" s="39"/>
      <c r="D853" s="39"/>
      <c r="E853" s="39"/>
      <c r="G853" s="34"/>
      <c r="H853" s="49"/>
      <c r="I853" s="49"/>
      <c r="J853" s="49"/>
      <c r="K853" s="49"/>
      <c r="L853" s="49"/>
      <c r="M853" s="52"/>
    </row>
    <row r="854" spans="1:13" ht="15.75" customHeight="1" x14ac:dyDescent="0.2">
      <c r="A854" s="49"/>
      <c r="B854" s="49"/>
      <c r="C854" s="39"/>
      <c r="D854" s="39"/>
      <c r="E854" s="39"/>
      <c r="G854" s="34"/>
      <c r="H854" s="49"/>
      <c r="I854" s="49"/>
      <c r="J854" s="49"/>
      <c r="K854" s="49"/>
      <c r="L854" s="49"/>
      <c r="M854" s="52"/>
    </row>
    <row r="855" spans="1:13" ht="15.75" customHeight="1" x14ac:dyDescent="0.2">
      <c r="A855" s="49"/>
      <c r="B855" s="49"/>
      <c r="C855" s="39"/>
      <c r="D855" s="39"/>
      <c r="E855" s="39"/>
      <c r="G855" s="34"/>
      <c r="H855" s="49"/>
      <c r="I855" s="49"/>
      <c r="J855" s="49"/>
      <c r="K855" s="49"/>
      <c r="L855" s="49"/>
      <c r="M855" s="52"/>
    </row>
    <row r="856" spans="1:13" ht="15.75" customHeight="1" x14ac:dyDescent="0.2">
      <c r="A856" s="49"/>
      <c r="B856" s="49"/>
      <c r="C856" s="39"/>
      <c r="D856" s="39"/>
      <c r="E856" s="39"/>
      <c r="G856" s="34"/>
      <c r="H856" s="49"/>
      <c r="I856" s="49"/>
      <c r="J856" s="49"/>
      <c r="K856" s="49"/>
      <c r="L856" s="49"/>
      <c r="M856" s="52"/>
    </row>
    <row r="857" spans="1:13" ht="15.75" customHeight="1" x14ac:dyDescent="0.2">
      <c r="A857" s="49"/>
      <c r="B857" s="49"/>
      <c r="C857" s="39"/>
      <c r="D857" s="39"/>
      <c r="E857" s="39"/>
      <c r="G857" s="34"/>
      <c r="H857" s="49"/>
      <c r="I857" s="49"/>
      <c r="J857" s="49"/>
      <c r="K857" s="49"/>
      <c r="L857" s="49"/>
      <c r="M857" s="52"/>
    </row>
    <row r="858" spans="1:13" ht="15.75" customHeight="1" x14ac:dyDescent="0.2">
      <c r="A858" s="49"/>
      <c r="B858" s="49"/>
      <c r="C858" s="39"/>
      <c r="D858" s="39"/>
      <c r="E858" s="39"/>
      <c r="G858" s="34"/>
      <c r="H858" s="49"/>
      <c r="I858" s="49"/>
      <c r="J858" s="49"/>
      <c r="K858" s="49"/>
      <c r="L858" s="49"/>
      <c r="M858" s="52"/>
    </row>
    <row r="859" spans="1:13" ht="15.75" customHeight="1" x14ac:dyDescent="0.2">
      <c r="A859" s="49"/>
      <c r="B859" s="49"/>
      <c r="C859" s="39"/>
      <c r="D859" s="39"/>
      <c r="E859" s="39"/>
      <c r="G859" s="34"/>
      <c r="H859" s="49"/>
      <c r="I859" s="49"/>
      <c r="J859" s="49"/>
      <c r="K859" s="49"/>
      <c r="L859" s="49"/>
      <c r="M859" s="52"/>
    </row>
    <row r="860" spans="1:13" ht="15.75" customHeight="1" x14ac:dyDescent="0.2">
      <c r="A860" s="49"/>
      <c r="B860" s="49"/>
      <c r="C860" s="39"/>
      <c r="D860" s="39"/>
      <c r="E860" s="39"/>
      <c r="G860" s="34"/>
      <c r="H860" s="49"/>
      <c r="I860" s="49"/>
      <c r="J860" s="49"/>
      <c r="K860" s="49"/>
      <c r="L860" s="49"/>
      <c r="M860" s="52"/>
    </row>
    <row r="861" spans="1:13" ht="15.75" customHeight="1" x14ac:dyDescent="0.2">
      <c r="A861" s="49"/>
      <c r="B861" s="49"/>
      <c r="C861" s="39"/>
      <c r="D861" s="39"/>
      <c r="E861" s="39"/>
      <c r="G861" s="34"/>
      <c r="H861" s="49"/>
      <c r="I861" s="49"/>
      <c r="J861" s="49"/>
      <c r="K861" s="49"/>
      <c r="L861" s="49"/>
      <c r="M861" s="52"/>
    </row>
    <row r="862" spans="1:13" ht="15.75" customHeight="1" x14ac:dyDescent="0.2">
      <c r="A862" s="49"/>
      <c r="B862" s="49"/>
      <c r="C862" s="39"/>
      <c r="D862" s="39"/>
      <c r="E862" s="39"/>
      <c r="G862" s="34"/>
      <c r="H862" s="49"/>
      <c r="I862" s="49"/>
      <c r="J862" s="49"/>
      <c r="K862" s="49"/>
      <c r="L862" s="49"/>
      <c r="M862" s="52"/>
    </row>
    <row r="863" spans="1:13" ht="15.75" customHeight="1" x14ac:dyDescent="0.2">
      <c r="A863" s="49"/>
      <c r="B863" s="49"/>
      <c r="C863" s="39"/>
      <c r="D863" s="39"/>
      <c r="E863" s="39"/>
      <c r="G863" s="34"/>
      <c r="H863" s="49"/>
      <c r="I863" s="49"/>
      <c r="J863" s="49"/>
      <c r="K863" s="49"/>
      <c r="L863" s="49"/>
      <c r="M863" s="52"/>
    </row>
    <row r="864" spans="1:13" ht="15.75" customHeight="1" x14ac:dyDescent="0.2">
      <c r="A864" s="49"/>
      <c r="B864" s="49"/>
      <c r="C864" s="39"/>
      <c r="D864" s="39"/>
      <c r="E864" s="39"/>
      <c r="G864" s="34"/>
      <c r="H864" s="49"/>
      <c r="I864" s="49"/>
      <c r="J864" s="49"/>
      <c r="K864" s="49"/>
      <c r="L864" s="49"/>
      <c r="M864" s="52"/>
    </row>
    <row r="865" spans="1:13" ht="15.75" customHeight="1" x14ac:dyDescent="0.2">
      <c r="A865" s="49"/>
      <c r="B865" s="49"/>
      <c r="C865" s="39"/>
      <c r="D865" s="39"/>
      <c r="E865" s="39"/>
      <c r="G865" s="34"/>
      <c r="H865" s="49"/>
      <c r="I865" s="49"/>
      <c r="J865" s="49"/>
      <c r="K865" s="49"/>
      <c r="L865" s="49"/>
      <c r="M865" s="52"/>
    </row>
    <row r="866" spans="1:13" ht="15.75" customHeight="1" x14ac:dyDescent="0.2">
      <c r="A866" s="49"/>
      <c r="B866" s="49"/>
      <c r="C866" s="39"/>
      <c r="D866" s="39"/>
      <c r="E866" s="39"/>
      <c r="G866" s="34"/>
      <c r="H866" s="49"/>
      <c r="I866" s="49"/>
      <c r="J866" s="49"/>
      <c r="K866" s="49"/>
      <c r="L866" s="49"/>
      <c r="M866" s="52"/>
    </row>
    <row r="867" spans="1:13" ht="15.75" customHeight="1" x14ac:dyDescent="0.2">
      <c r="A867" s="49"/>
      <c r="B867" s="49"/>
      <c r="C867" s="39"/>
      <c r="D867" s="39"/>
      <c r="E867" s="39"/>
      <c r="G867" s="34"/>
      <c r="H867" s="49"/>
      <c r="I867" s="49"/>
      <c r="J867" s="49"/>
      <c r="K867" s="49"/>
      <c r="L867" s="49"/>
      <c r="M867" s="52"/>
    </row>
    <row r="868" spans="1:13" ht="15.75" customHeight="1" x14ac:dyDescent="0.2">
      <c r="A868" s="49"/>
      <c r="B868" s="49"/>
      <c r="C868" s="39"/>
      <c r="D868" s="39"/>
      <c r="E868" s="39"/>
      <c r="G868" s="34"/>
      <c r="H868" s="49"/>
      <c r="I868" s="49"/>
      <c r="J868" s="49"/>
      <c r="K868" s="49"/>
      <c r="L868" s="49"/>
      <c r="M868" s="52"/>
    </row>
    <row r="869" spans="1:13" ht="15.75" customHeight="1" x14ac:dyDescent="0.2">
      <c r="A869" s="49"/>
      <c r="B869" s="49"/>
      <c r="C869" s="39"/>
      <c r="D869" s="39"/>
      <c r="E869" s="39"/>
      <c r="G869" s="34"/>
      <c r="H869" s="49"/>
      <c r="I869" s="49"/>
      <c r="J869" s="49"/>
      <c r="K869" s="49"/>
      <c r="L869" s="49"/>
      <c r="M869" s="52"/>
    </row>
    <row r="870" spans="1:13" ht="15.75" customHeight="1" x14ac:dyDescent="0.2">
      <c r="A870" s="49"/>
      <c r="B870" s="49"/>
      <c r="C870" s="39"/>
      <c r="D870" s="39"/>
      <c r="E870" s="39"/>
      <c r="G870" s="34"/>
      <c r="H870" s="49"/>
      <c r="I870" s="49"/>
      <c r="J870" s="49"/>
      <c r="K870" s="49"/>
      <c r="L870" s="49"/>
      <c r="M870" s="52"/>
    </row>
    <row r="871" spans="1:13" ht="15.75" customHeight="1" x14ac:dyDescent="0.2">
      <c r="A871" s="49"/>
      <c r="B871" s="49"/>
      <c r="C871" s="39"/>
      <c r="D871" s="39"/>
      <c r="E871" s="39"/>
      <c r="G871" s="34"/>
      <c r="H871" s="49"/>
      <c r="I871" s="49"/>
      <c r="J871" s="49"/>
      <c r="K871" s="49"/>
      <c r="L871" s="49"/>
      <c r="M871" s="52"/>
    </row>
    <row r="872" spans="1:13" ht="15.75" customHeight="1" x14ac:dyDescent="0.2">
      <c r="A872" s="49"/>
      <c r="B872" s="49"/>
      <c r="C872" s="39"/>
      <c r="D872" s="39"/>
      <c r="E872" s="39"/>
      <c r="G872" s="34"/>
      <c r="H872" s="49"/>
      <c r="I872" s="49"/>
      <c r="J872" s="49"/>
      <c r="K872" s="49"/>
      <c r="L872" s="49"/>
      <c r="M872" s="52"/>
    </row>
    <row r="873" spans="1:13" ht="15.75" customHeight="1" x14ac:dyDescent="0.2">
      <c r="A873" s="49"/>
      <c r="B873" s="49"/>
      <c r="C873" s="39"/>
      <c r="D873" s="39"/>
      <c r="E873" s="39"/>
      <c r="G873" s="34"/>
      <c r="H873" s="49"/>
      <c r="I873" s="49"/>
      <c r="J873" s="49"/>
      <c r="K873" s="49"/>
      <c r="L873" s="49"/>
      <c r="M873" s="52"/>
    </row>
    <row r="874" spans="1:13" ht="15.75" customHeight="1" x14ac:dyDescent="0.2">
      <c r="A874" s="49"/>
      <c r="B874" s="49"/>
      <c r="C874" s="39"/>
      <c r="D874" s="39"/>
      <c r="E874" s="39"/>
      <c r="G874" s="34"/>
      <c r="H874" s="49"/>
      <c r="I874" s="49"/>
      <c r="J874" s="49"/>
      <c r="K874" s="49"/>
      <c r="L874" s="49"/>
      <c r="M874" s="52"/>
    </row>
    <row r="875" spans="1:13" ht="15.75" customHeight="1" x14ac:dyDescent="0.2">
      <c r="A875" s="49"/>
      <c r="B875" s="49"/>
      <c r="C875" s="39"/>
      <c r="D875" s="39"/>
      <c r="E875" s="39"/>
      <c r="G875" s="34"/>
      <c r="H875" s="49"/>
      <c r="I875" s="49"/>
      <c r="J875" s="49"/>
      <c r="K875" s="49"/>
      <c r="L875" s="49"/>
      <c r="M875" s="52"/>
    </row>
    <row r="876" spans="1:13" ht="15.75" customHeight="1" x14ac:dyDescent="0.2">
      <c r="A876" s="49"/>
      <c r="B876" s="49"/>
      <c r="C876" s="39"/>
      <c r="D876" s="39"/>
      <c r="E876" s="39"/>
      <c r="G876" s="34"/>
      <c r="H876" s="49"/>
      <c r="I876" s="49"/>
      <c r="J876" s="49"/>
      <c r="K876" s="49"/>
      <c r="L876" s="49"/>
      <c r="M876" s="52"/>
    </row>
    <row r="877" spans="1:13" ht="15.75" customHeight="1" x14ac:dyDescent="0.2">
      <c r="A877" s="49"/>
      <c r="B877" s="49"/>
      <c r="C877" s="39"/>
      <c r="D877" s="39"/>
      <c r="E877" s="39"/>
      <c r="G877" s="34"/>
      <c r="H877" s="49"/>
      <c r="I877" s="49"/>
      <c r="J877" s="49"/>
      <c r="K877" s="49"/>
      <c r="L877" s="49"/>
      <c r="M877" s="52"/>
    </row>
    <row r="878" spans="1:13" ht="15.75" customHeight="1" x14ac:dyDescent="0.2">
      <c r="A878" s="49"/>
      <c r="B878" s="49"/>
      <c r="C878" s="39"/>
      <c r="D878" s="39"/>
      <c r="E878" s="39"/>
      <c r="G878" s="34"/>
      <c r="H878" s="49"/>
      <c r="I878" s="49"/>
      <c r="J878" s="49"/>
      <c r="K878" s="49"/>
      <c r="L878" s="49"/>
      <c r="M878" s="52"/>
    </row>
    <row r="879" spans="1:13" ht="15.75" customHeight="1" x14ac:dyDescent="0.2">
      <c r="A879" s="49"/>
      <c r="B879" s="49"/>
      <c r="C879" s="39"/>
      <c r="D879" s="39"/>
      <c r="E879" s="39"/>
      <c r="G879" s="34"/>
      <c r="H879" s="49"/>
      <c r="I879" s="49"/>
      <c r="J879" s="49"/>
      <c r="K879" s="49"/>
      <c r="L879" s="49"/>
      <c r="M879" s="52"/>
    </row>
    <row r="880" spans="1:13" ht="15.75" customHeight="1" x14ac:dyDescent="0.2">
      <c r="A880" s="49"/>
      <c r="B880" s="49"/>
      <c r="C880" s="39"/>
      <c r="D880" s="39"/>
      <c r="E880" s="39"/>
      <c r="G880" s="34"/>
      <c r="H880" s="49"/>
      <c r="I880" s="49"/>
      <c r="J880" s="49"/>
      <c r="K880" s="49"/>
      <c r="L880" s="49"/>
      <c r="M880" s="52"/>
    </row>
    <row r="881" spans="1:13" ht="15.75" customHeight="1" x14ac:dyDescent="0.2">
      <c r="A881" s="49"/>
      <c r="B881" s="49"/>
      <c r="C881" s="39"/>
      <c r="D881" s="39"/>
      <c r="E881" s="39"/>
      <c r="G881" s="34"/>
      <c r="H881" s="49"/>
      <c r="I881" s="49"/>
      <c r="J881" s="49"/>
      <c r="K881" s="49"/>
      <c r="L881" s="49"/>
      <c r="M881" s="52"/>
    </row>
    <row r="882" spans="1:13" ht="15.75" customHeight="1" x14ac:dyDescent="0.2">
      <c r="A882" s="49"/>
      <c r="B882" s="49"/>
      <c r="C882" s="39"/>
      <c r="D882" s="39"/>
      <c r="E882" s="39"/>
      <c r="G882" s="34"/>
      <c r="H882" s="49"/>
      <c r="I882" s="49"/>
      <c r="J882" s="49"/>
      <c r="K882" s="49"/>
      <c r="L882" s="49"/>
      <c r="M882" s="52"/>
    </row>
    <row r="883" spans="1:13" ht="15.75" customHeight="1" x14ac:dyDescent="0.2">
      <c r="A883" s="49"/>
      <c r="B883" s="49"/>
      <c r="C883" s="39"/>
      <c r="D883" s="39"/>
      <c r="E883" s="39"/>
      <c r="G883" s="34"/>
      <c r="H883" s="49"/>
      <c r="I883" s="49"/>
      <c r="J883" s="49"/>
      <c r="K883" s="49"/>
      <c r="L883" s="49"/>
      <c r="M883" s="52"/>
    </row>
    <row r="884" spans="1:13" ht="15.75" customHeight="1" x14ac:dyDescent="0.2">
      <c r="A884" s="49"/>
      <c r="B884" s="49"/>
      <c r="C884" s="39"/>
      <c r="D884" s="39"/>
      <c r="E884" s="39"/>
      <c r="G884" s="34"/>
      <c r="H884" s="49"/>
      <c r="I884" s="49"/>
      <c r="J884" s="49"/>
      <c r="K884" s="49"/>
      <c r="L884" s="49"/>
      <c r="M884" s="52"/>
    </row>
    <row r="885" spans="1:13" ht="15.75" customHeight="1" x14ac:dyDescent="0.2">
      <c r="A885" s="49"/>
      <c r="B885" s="49"/>
      <c r="C885" s="39"/>
      <c r="D885" s="39"/>
      <c r="E885" s="39"/>
      <c r="G885" s="34"/>
      <c r="H885" s="49"/>
      <c r="I885" s="49"/>
      <c r="J885" s="49"/>
      <c r="K885" s="49"/>
      <c r="L885" s="49"/>
      <c r="M885" s="52"/>
    </row>
    <row r="886" spans="1:13" ht="15.75" customHeight="1" x14ac:dyDescent="0.2">
      <c r="A886" s="49"/>
      <c r="B886" s="49"/>
      <c r="C886" s="39"/>
      <c r="D886" s="39"/>
      <c r="E886" s="39"/>
      <c r="G886" s="34"/>
      <c r="H886" s="49"/>
      <c r="I886" s="49"/>
      <c r="J886" s="49"/>
      <c r="K886" s="49"/>
      <c r="L886" s="49"/>
      <c r="M886" s="52"/>
    </row>
    <row r="887" spans="1:13" ht="15.75" customHeight="1" x14ac:dyDescent="0.2">
      <c r="A887" s="49"/>
      <c r="B887" s="49"/>
      <c r="C887" s="39"/>
      <c r="D887" s="39"/>
      <c r="E887" s="39"/>
      <c r="G887" s="34"/>
      <c r="H887" s="49"/>
      <c r="I887" s="49"/>
      <c r="J887" s="49"/>
      <c r="K887" s="49"/>
      <c r="L887" s="49"/>
      <c r="M887" s="52"/>
    </row>
    <row r="888" spans="1:13" ht="15.75" customHeight="1" x14ac:dyDescent="0.2">
      <c r="A888" s="49"/>
      <c r="B888" s="49"/>
      <c r="C888" s="39"/>
      <c r="D888" s="39"/>
      <c r="E888" s="39"/>
      <c r="G888" s="34"/>
      <c r="H888" s="49"/>
      <c r="I888" s="49"/>
      <c r="J888" s="49"/>
      <c r="K888" s="49"/>
      <c r="L888" s="49"/>
      <c r="M888" s="52"/>
    </row>
    <row r="889" spans="1:13" ht="15.75" customHeight="1" x14ac:dyDescent="0.2">
      <c r="A889" s="49"/>
      <c r="B889" s="49"/>
      <c r="C889" s="39"/>
      <c r="D889" s="39"/>
      <c r="E889" s="39"/>
      <c r="G889" s="34"/>
      <c r="H889" s="49"/>
      <c r="I889" s="49"/>
      <c r="J889" s="49"/>
      <c r="K889" s="49"/>
      <c r="L889" s="49"/>
      <c r="M889" s="52"/>
    </row>
    <row r="890" spans="1:13" ht="15.75" customHeight="1" x14ac:dyDescent="0.2">
      <c r="A890" s="49"/>
      <c r="B890" s="49"/>
      <c r="C890" s="39"/>
      <c r="D890" s="39"/>
      <c r="E890" s="39"/>
      <c r="G890" s="34"/>
      <c r="H890" s="49"/>
      <c r="I890" s="49"/>
      <c r="J890" s="49"/>
      <c r="K890" s="49"/>
      <c r="L890" s="49"/>
      <c r="M890" s="52"/>
    </row>
    <row r="891" spans="1:13" ht="15.75" customHeight="1" x14ac:dyDescent="0.2">
      <c r="A891" s="49"/>
      <c r="B891" s="49"/>
      <c r="C891" s="39"/>
      <c r="D891" s="39"/>
      <c r="E891" s="39"/>
      <c r="G891" s="34"/>
      <c r="H891" s="49"/>
      <c r="I891" s="49"/>
      <c r="J891" s="49"/>
      <c r="K891" s="49"/>
      <c r="L891" s="49"/>
      <c r="M891" s="52"/>
    </row>
    <row r="892" spans="1:13" ht="15.75" customHeight="1" x14ac:dyDescent="0.2">
      <c r="A892" s="49"/>
      <c r="B892" s="49"/>
      <c r="C892" s="39"/>
      <c r="D892" s="39"/>
      <c r="E892" s="39"/>
      <c r="G892" s="34"/>
      <c r="H892" s="49"/>
      <c r="I892" s="49"/>
      <c r="J892" s="49"/>
      <c r="K892" s="49"/>
      <c r="L892" s="49"/>
      <c r="M892" s="52"/>
    </row>
    <row r="893" spans="1:13" ht="15.75" customHeight="1" x14ac:dyDescent="0.2">
      <c r="A893" s="49"/>
      <c r="B893" s="49"/>
      <c r="C893" s="39"/>
      <c r="D893" s="39"/>
      <c r="E893" s="39"/>
      <c r="G893" s="34"/>
      <c r="H893" s="49"/>
      <c r="I893" s="49"/>
      <c r="J893" s="49"/>
      <c r="K893" s="49"/>
      <c r="L893" s="49"/>
      <c r="M893" s="52"/>
    </row>
    <row r="894" spans="1:13" ht="15.75" customHeight="1" x14ac:dyDescent="0.2">
      <c r="A894" s="49"/>
      <c r="B894" s="49"/>
      <c r="C894" s="39"/>
      <c r="D894" s="39"/>
      <c r="E894" s="39"/>
      <c r="G894" s="34"/>
      <c r="H894" s="49"/>
      <c r="I894" s="49"/>
      <c r="J894" s="49"/>
      <c r="K894" s="49"/>
      <c r="L894" s="49"/>
      <c r="M894" s="52"/>
    </row>
    <row r="895" spans="1:13" ht="15.75" customHeight="1" x14ac:dyDescent="0.2">
      <c r="A895" s="49"/>
      <c r="B895" s="49"/>
      <c r="C895" s="39"/>
      <c r="D895" s="39"/>
      <c r="E895" s="39"/>
      <c r="G895" s="34"/>
      <c r="H895" s="49"/>
      <c r="I895" s="49"/>
      <c r="J895" s="49"/>
      <c r="K895" s="49"/>
      <c r="L895" s="49"/>
      <c r="M895" s="52"/>
    </row>
    <row r="896" spans="1:13" ht="15.75" customHeight="1" x14ac:dyDescent="0.2">
      <c r="A896" s="49"/>
      <c r="B896" s="49"/>
      <c r="C896" s="39"/>
      <c r="D896" s="39"/>
      <c r="E896" s="39"/>
      <c r="G896" s="34"/>
      <c r="H896" s="49"/>
      <c r="I896" s="49"/>
      <c r="J896" s="49"/>
      <c r="K896" s="49"/>
      <c r="L896" s="49"/>
      <c r="M896" s="52"/>
    </row>
    <row r="897" spans="1:13" ht="15.75" customHeight="1" x14ac:dyDescent="0.2">
      <c r="A897" s="49"/>
      <c r="B897" s="49"/>
      <c r="C897" s="39"/>
      <c r="D897" s="39"/>
      <c r="E897" s="39"/>
      <c r="G897" s="34"/>
      <c r="H897" s="49"/>
      <c r="I897" s="49"/>
      <c r="J897" s="49"/>
      <c r="K897" s="49"/>
      <c r="L897" s="49"/>
      <c r="M897" s="52"/>
    </row>
    <row r="898" spans="1:13" ht="15.75" customHeight="1" x14ac:dyDescent="0.2">
      <c r="A898" s="49"/>
      <c r="B898" s="49"/>
      <c r="C898" s="39"/>
      <c r="D898" s="39"/>
      <c r="E898" s="39"/>
      <c r="G898" s="34"/>
      <c r="H898" s="49"/>
      <c r="I898" s="49"/>
      <c r="J898" s="49"/>
      <c r="K898" s="49"/>
      <c r="L898" s="49"/>
      <c r="M898" s="52"/>
    </row>
    <row r="899" spans="1:13" ht="15.75" customHeight="1" x14ac:dyDescent="0.2">
      <c r="A899" s="49"/>
      <c r="B899" s="49"/>
      <c r="C899" s="39"/>
      <c r="D899" s="39"/>
      <c r="E899" s="39"/>
      <c r="G899" s="34"/>
      <c r="H899" s="49"/>
      <c r="I899" s="49"/>
      <c r="J899" s="49"/>
      <c r="K899" s="49"/>
      <c r="L899" s="49"/>
      <c r="M899" s="52"/>
    </row>
    <row r="900" spans="1:13" ht="15.75" customHeight="1" x14ac:dyDescent="0.2">
      <c r="A900" s="49"/>
      <c r="B900" s="49"/>
      <c r="C900" s="39"/>
      <c r="D900" s="39"/>
      <c r="E900" s="39"/>
      <c r="G900" s="34"/>
      <c r="H900" s="49"/>
      <c r="I900" s="49"/>
      <c r="J900" s="49"/>
      <c r="K900" s="49"/>
      <c r="L900" s="49"/>
      <c r="M900" s="52"/>
    </row>
    <row r="901" spans="1:13" ht="15.75" customHeight="1" x14ac:dyDescent="0.2">
      <c r="A901" s="49"/>
      <c r="B901" s="49"/>
      <c r="C901" s="39"/>
      <c r="D901" s="39"/>
      <c r="E901" s="39"/>
      <c r="G901" s="34"/>
      <c r="H901" s="49"/>
      <c r="I901" s="49"/>
      <c r="J901" s="49"/>
      <c r="K901" s="49"/>
      <c r="L901" s="49"/>
      <c r="M901" s="52"/>
    </row>
    <row r="902" spans="1:13" ht="15.75" customHeight="1" x14ac:dyDescent="0.2">
      <c r="A902" s="49"/>
      <c r="B902" s="49"/>
      <c r="C902" s="39"/>
      <c r="D902" s="39"/>
      <c r="E902" s="39"/>
      <c r="G902" s="34"/>
      <c r="H902" s="49"/>
      <c r="I902" s="49"/>
      <c r="J902" s="49"/>
      <c r="K902" s="49"/>
      <c r="L902" s="49"/>
      <c r="M902" s="52"/>
    </row>
    <row r="903" spans="1:13" ht="15.75" customHeight="1" x14ac:dyDescent="0.2">
      <c r="A903" s="49"/>
      <c r="B903" s="49"/>
      <c r="C903" s="39"/>
      <c r="D903" s="39"/>
      <c r="E903" s="39"/>
      <c r="G903" s="34"/>
      <c r="H903" s="49"/>
      <c r="I903" s="49"/>
      <c r="J903" s="49"/>
      <c r="K903" s="49"/>
      <c r="L903" s="49"/>
      <c r="M903" s="52"/>
    </row>
    <row r="904" spans="1:13" ht="15.75" customHeight="1" x14ac:dyDescent="0.2">
      <c r="A904" s="49"/>
      <c r="B904" s="49"/>
      <c r="C904" s="39"/>
      <c r="D904" s="39"/>
      <c r="E904" s="39"/>
      <c r="G904" s="34"/>
      <c r="H904" s="49"/>
      <c r="I904" s="49"/>
      <c r="J904" s="49"/>
      <c r="K904" s="49"/>
      <c r="L904" s="49"/>
      <c r="M904" s="52"/>
    </row>
    <row r="905" spans="1:13" ht="15.75" customHeight="1" x14ac:dyDescent="0.2">
      <c r="A905" s="49"/>
      <c r="B905" s="49"/>
      <c r="C905" s="39"/>
      <c r="D905" s="39"/>
      <c r="E905" s="39"/>
      <c r="G905" s="34"/>
      <c r="H905" s="49"/>
      <c r="I905" s="49"/>
      <c r="J905" s="49"/>
      <c r="K905" s="49"/>
      <c r="L905" s="49"/>
      <c r="M905" s="52"/>
    </row>
    <row r="906" spans="1:13" ht="15.75" customHeight="1" x14ac:dyDescent="0.2">
      <c r="A906" s="49"/>
      <c r="B906" s="49"/>
      <c r="C906" s="39"/>
      <c r="D906" s="39"/>
      <c r="E906" s="39"/>
      <c r="G906" s="34"/>
      <c r="H906" s="49"/>
      <c r="I906" s="49"/>
      <c r="J906" s="49"/>
      <c r="K906" s="49"/>
      <c r="L906" s="49"/>
      <c r="M906" s="52"/>
    </row>
    <row r="907" spans="1:13" ht="15.75" customHeight="1" x14ac:dyDescent="0.2">
      <c r="A907" s="49"/>
      <c r="B907" s="49"/>
      <c r="C907" s="39"/>
      <c r="D907" s="39"/>
      <c r="E907" s="39"/>
      <c r="G907" s="34"/>
      <c r="H907" s="49"/>
      <c r="I907" s="49"/>
      <c r="J907" s="49"/>
      <c r="K907" s="49"/>
      <c r="L907" s="49"/>
      <c r="M907" s="52"/>
    </row>
    <row r="908" spans="1:13" ht="15.75" customHeight="1" x14ac:dyDescent="0.2">
      <c r="A908" s="49"/>
      <c r="B908" s="49"/>
      <c r="C908" s="39"/>
      <c r="D908" s="39"/>
      <c r="E908" s="39"/>
      <c r="G908" s="34"/>
      <c r="H908" s="49"/>
      <c r="I908" s="49"/>
      <c r="J908" s="49"/>
      <c r="K908" s="49"/>
      <c r="L908" s="49"/>
      <c r="M908" s="52"/>
    </row>
    <row r="909" spans="1:13" ht="15.75" customHeight="1" x14ac:dyDescent="0.2">
      <c r="A909" s="49"/>
      <c r="B909" s="49"/>
      <c r="C909" s="39"/>
      <c r="D909" s="39"/>
      <c r="E909" s="39"/>
      <c r="G909" s="34"/>
      <c r="H909" s="49"/>
      <c r="I909" s="49"/>
      <c r="J909" s="49"/>
      <c r="K909" s="49"/>
      <c r="L909" s="49"/>
      <c r="M909" s="52"/>
    </row>
    <row r="910" spans="1:13" ht="15.75" customHeight="1" x14ac:dyDescent="0.2">
      <c r="A910" s="49"/>
      <c r="B910" s="49"/>
      <c r="C910" s="39"/>
      <c r="D910" s="39"/>
      <c r="E910" s="39"/>
      <c r="G910" s="34"/>
      <c r="H910" s="49"/>
      <c r="I910" s="49"/>
      <c r="J910" s="49"/>
      <c r="K910" s="49"/>
      <c r="L910" s="49"/>
      <c r="M910" s="52"/>
    </row>
    <row r="911" spans="1:13" ht="15.75" customHeight="1" x14ac:dyDescent="0.2">
      <c r="A911" s="49"/>
      <c r="B911" s="49"/>
      <c r="C911" s="39"/>
      <c r="D911" s="39"/>
      <c r="E911" s="39"/>
      <c r="G911" s="34"/>
      <c r="H911" s="49"/>
      <c r="I911" s="49"/>
      <c r="J911" s="49"/>
      <c r="K911" s="49"/>
      <c r="L911" s="49"/>
      <c r="M911" s="52"/>
    </row>
    <row r="912" spans="1:13" ht="15.75" customHeight="1" x14ac:dyDescent="0.2">
      <c r="A912" s="49"/>
      <c r="B912" s="49"/>
      <c r="C912" s="39"/>
      <c r="D912" s="39"/>
      <c r="E912" s="39"/>
      <c r="G912" s="34"/>
      <c r="H912" s="49"/>
      <c r="I912" s="49"/>
      <c r="J912" s="49"/>
      <c r="K912" s="49"/>
      <c r="L912" s="49"/>
      <c r="M912" s="52"/>
    </row>
    <row r="913" spans="1:13" ht="15.75" customHeight="1" x14ac:dyDescent="0.2">
      <c r="A913" s="49"/>
      <c r="B913" s="49"/>
      <c r="C913" s="39"/>
      <c r="D913" s="39"/>
      <c r="E913" s="39"/>
      <c r="G913" s="34"/>
      <c r="H913" s="49"/>
      <c r="I913" s="49"/>
      <c r="J913" s="49"/>
      <c r="K913" s="49"/>
      <c r="L913" s="49"/>
      <c r="M913" s="52"/>
    </row>
    <row r="914" spans="1:13" ht="15.75" customHeight="1" x14ac:dyDescent="0.2">
      <c r="A914" s="49"/>
      <c r="B914" s="49"/>
      <c r="C914" s="39"/>
      <c r="D914" s="39"/>
      <c r="E914" s="39"/>
      <c r="G914" s="34"/>
      <c r="H914" s="49"/>
      <c r="I914" s="49"/>
      <c r="J914" s="49"/>
      <c r="K914" s="49"/>
      <c r="L914" s="49"/>
      <c r="M914" s="52"/>
    </row>
    <row r="915" spans="1:13" ht="15.75" customHeight="1" x14ac:dyDescent="0.2">
      <c r="A915" s="49"/>
      <c r="B915" s="49"/>
      <c r="C915" s="39"/>
      <c r="D915" s="39"/>
      <c r="E915" s="39"/>
      <c r="G915" s="34"/>
      <c r="H915" s="49"/>
      <c r="I915" s="49"/>
      <c r="J915" s="49"/>
      <c r="K915" s="49"/>
      <c r="L915" s="49"/>
      <c r="M915" s="52"/>
    </row>
    <row r="916" spans="1:13" ht="15.75" customHeight="1" x14ac:dyDescent="0.2">
      <c r="A916" s="49"/>
      <c r="B916" s="49"/>
      <c r="C916" s="39"/>
      <c r="D916" s="39"/>
      <c r="E916" s="39"/>
      <c r="G916" s="34"/>
      <c r="H916" s="49"/>
      <c r="I916" s="49"/>
      <c r="J916" s="49"/>
      <c r="K916" s="49"/>
      <c r="L916" s="49"/>
      <c r="M916" s="52"/>
    </row>
    <row r="917" spans="1:13" ht="15.75" customHeight="1" x14ac:dyDescent="0.2">
      <c r="A917" s="49"/>
      <c r="B917" s="49"/>
      <c r="C917" s="39"/>
      <c r="D917" s="39"/>
      <c r="E917" s="39"/>
      <c r="G917" s="34"/>
      <c r="H917" s="49"/>
      <c r="I917" s="49"/>
      <c r="J917" s="49"/>
      <c r="K917" s="49"/>
      <c r="L917" s="49"/>
      <c r="M917" s="52"/>
    </row>
    <row r="918" spans="1:13" ht="15.75" customHeight="1" x14ac:dyDescent="0.2">
      <c r="A918" s="49"/>
      <c r="B918" s="49"/>
      <c r="C918" s="39"/>
      <c r="D918" s="39"/>
      <c r="E918" s="39"/>
      <c r="G918" s="34"/>
      <c r="H918" s="49"/>
      <c r="I918" s="49"/>
      <c r="J918" s="49"/>
      <c r="K918" s="49"/>
      <c r="L918" s="49"/>
      <c r="M918" s="52"/>
    </row>
    <row r="919" spans="1:13" ht="15.75" customHeight="1" x14ac:dyDescent="0.2">
      <c r="A919" s="49"/>
      <c r="B919" s="49"/>
      <c r="C919" s="39"/>
      <c r="D919" s="39"/>
      <c r="E919" s="39"/>
      <c r="G919" s="34"/>
      <c r="H919" s="49"/>
      <c r="I919" s="49"/>
      <c r="J919" s="49"/>
      <c r="K919" s="49"/>
      <c r="L919" s="49"/>
      <c r="M919" s="52"/>
    </row>
    <row r="920" spans="1:13" ht="15.75" customHeight="1" x14ac:dyDescent="0.2">
      <c r="A920" s="49"/>
      <c r="B920" s="49"/>
      <c r="C920" s="39"/>
      <c r="D920" s="39"/>
      <c r="E920" s="39"/>
      <c r="G920" s="34"/>
      <c r="H920" s="49"/>
      <c r="I920" s="49"/>
      <c r="J920" s="49"/>
      <c r="K920" s="49"/>
      <c r="L920" s="49"/>
      <c r="M920" s="52"/>
    </row>
    <row r="921" spans="1:13" ht="15.75" customHeight="1" x14ac:dyDescent="0.2">
      <c r="A921" s="49"/>
      <c r="B921" s="49"/>
      <c r="C921" s="39"/>
      <c r="D921" s="39"/>
      <c r="E921" s="39"/>
      <c r="G921" s="34"/>
      <c r="H921" s="49"/>
      <c r="I921" s="49"/>
      <c r="J921" s="49"/>
      <c r="K921" s="49"/>
      <c r="L921" s="49"/>
      <c r="M921" s="52"/>
    </row>
    <row r="922" spans="1:13" ht="15.75" customHeight="1" x14ac:dyDescent="0.2">
      <c r="A922" s="49"/>
      <c r="B922" s="49"/>
      <c r="C922" s="39"/>
      <c r="D922" s="39"/>
      <c r="E922" s="39"/>
      <c r="G922" s="34"/>
      <c r="H922" s="49"/>
      <c r="I922" s="49"/>
      <c r="J922" s="49"/>
      <c r="K922" s="49"/>
      <c r="L922" s="49"/>
      <c r="M922" s="52"/>
    </row>
    <row r="923" spans="1:13" ht="15.75" customHeight="1" x14ac:dyDescent="0.2">
      <c r="A923" s="49"/>
      <c r="B923" s="49"/>
      <c r="C923" s="39"/>
      <c r="D923" s="39"/>
      <c r="E923" s="39"/>
      <c r="G923" s="34"/>
      <c r="H923" s="49"/>
      <c r="I923" s="49"/>
      <c r="J923" s="49"/>
      <c r="K923" s="49"/>
      <c r="L923" s="49"/>
      <c r="M923" s="52"/>
    </row>
    <row r="924" spans="1:13" ht="15.75" customHeight="1" x14ac:dyDescent="0.2">
      <c r="A924" s="49"/>
      <c r="B924" s="49"/>
      <c r="C924" s="39"/>
      <c r="D924" s="39"/>
      <c r="E924" s="39"/>
      <c r="G924" s="34"/>
      <c r="H924" s="49"/>
      <c r="I924" s="49"/>
      <c r="J924" s="49"/>
      <c r="K924" s="49"/>
      <c r="L924" s="49"/>
      <c r="M924" s="52"/>
    </row>
    <row r="925" spans="1:13" ht="15.75" customHeight="1" x14ac:dyDescent="0.2">
      <c r="A925" s="49"/>
      <c r="B925" s="49"/>
      <c r="C925" s="39"/>
      <c r="D925" s="39"/>
      <c r="E925" s="39"/>
      <c r="G925" s="34"/>
      <c r="H925" s="49"/>
      <c r="I925" s="49"/>
      <c r="J925" s="49"/>
      <c r="K925" s="49"/>
      <c r="L925" s="49"/>
      <c r="M925" s="52"/>
    </row>
    <row r="926" spans="1:13" ht="15.75" customHeight="1" x14ac:dyDescent="0.2">
      <c r="A926" s="49"/>
      <c r="B926" s="49"/>
      <c r="C926" s="39"/>
      <c r="D926" s="39"/>
      <c r="E926" s="39"/>
      <c r="G926" s="34"/>
      <c r="H926" s="49"/>
      <c r="I926" s="49"/>
      <c r="J926" s="49"/>
      <c r="K926" s="49"/>
      <c r="L926" s="49"/>
      <c r="M926" s="52"/>
    </row>
    <row r="927" spans="1:13" ht="15.75" customHeight="1" x14ac:dyDescent="0.2">
      <c r="A927" s="49"/>
      <c r="B927" s="49"/>
      <c r="C927" s="39"/>
      <c r="D927" s="39"/>
      <c r="E927" s="39"/>
      <c r="G927" s="34"/>
      <c r="H927" s="49"/>
      <c r="I927" s="49"/>
      <c r="J927" s="49"/>
      <c r="K927" s="49"/>
      <c r="L927" s="49"/>
      <c r="M927" s="52"/>
    </row>
    <row r="928" spans="1:13" ht="15.75" customHeight="1" x14ac:dyDescent="0.2">
      <c r="A928" s="49"/>
      <c r="B928" s="49"/>
      <c r="C928" s="39"/>
      <c r="D928" s="39"/>
      <c r="E928" s="39"/>
      <c r="G928" s="34"/>
      <c r="H928" s="49"/>
      <c r="I928" s="49"/>
      <c r="J928" s="49"/>
      <c r="K928" s="49"/>
      <c r="L928" s="49"/>
      <c r="M928" s="52"/>
    </row>
    <row r="929" spans="1:13" ht="15.75" customHeight="1" x14ac:dyDescent="0.2">
      <c r="A929" s="49"/>
      <c r="B929" s="49"/>
      <c r="C929" s="39"/>
      <c r="D929" s="39"/>
      <c r="E929" s="39"/>
      <c r="G929" s="34"/>
      <c r="H929" s="49"/>
      <c r="I929" s="49"/>
      <c r="J929" s="49"/>
      <c r="K929" s="49"/>
      <c r="L929" s="49"/>
      <c r="M929" s="52"/>
    </row>
    <row r="930" spans="1:13" ht="15.75" customHeight="1" x14ac:dyDescent="0.2">
      <c r="A930" s="49"/>
      <c r="B930" s="49"/>
      <c r="C930" s="39"/>
      <c r="D930" s="39"/>
      <c r="E930" s="39"/>
      <c r="G930" s="34"/>
      <c r="H930" s="49"/>
      <c r="I930" s="49"/>
      <c r="J930" s="49"/>
      <c r="K930" s="49"/>
      <c r="L930" s="49"/>
      <c r="M930" s="52"/>
    </row>
    <row r="931" spans="1:13" ht="15.75" customHeight="1" x14ac:dyDescent="0.2">
      <c r="A931" s="49"/>
      <c r="B931" s="49"/>
      <c r="C931" s="39"/>
      <c r="D931" s="39"/>
      <c r="E931" s="39"/>
      <c r="G931" s="34"/>
      <c r="H931" s="49"/>
      <c r="I931" s="49"/>
      <c r="J931" s="49"/>
      <c r="K931" s="49"/>
      <c r="L931" s="49"/>
      <c r="M931" s="52"/>
    </row>
    <row r="932" spans="1:13" ht="15.75" customHeight="1" x14ac:dyDescent="0.2">
      <c r="A932" s="49"/>
      <c r="B932" s="49"/>
      <c r="C932" s="39"/>
      <c r="D932" s="39"/>
      <c r="E932" s="39"/>
      <c r="G932" s="34"/>
      <c r="H932" s="49"/>
      <c r="I932" s="49"/>
      <c r="J932" s="49"/>
      <c r="K932" s="49"/>
      <c r="L932" s="49"/>
      <c r="M932" s="52"/>
    </row>
    <row r="933" spans="1:13" ht="15.75" customHeight="1" x14ac:dyDescent="0.2">
      <c r="A933" s="49"/>
      <c r="B933" s="49"/>
      <c r="C933" s="39"/>
      <c r="D933" s="39"/>
      <c r="E933" s="39"/>
      <c r="G933" s="34"/>
      <c r="H933" s="49"/>
      <c r="I933" s="49"/>
      <c r="J933" s="49"/>
      <c r="K933" s="49"/>
      <c r="L933" s="49"/>
      <c r="M933" s="52"/>
    </row>
    <row r="934" spans="1:13" ht="15.75" customHeight="1" x14ac:dyDescent="0.2">
      <c r="A934" s="49"/>
      <c r="B934" s="49"/>
      <c r="C934" s="39"/>
      <c r="D934" s="39"/>
      <c r="E934" s="39"/>
      <c r="G934" s="34"/>
      <c r="H934" s="49"/>
      <c r="I934" s="49"/>
      <c r="J934" s="49"/>
      <c r="K934" s="49"/>
      <c r="L934" s="49"/>
      <c r="M934" s="52"/>
    </row>
    <row r="935" spans="1:13" ht="15.75" customHeight="1" x14ac:dyDescent="0.2">
      <c r="A935" s="49"/>
      <c r="B935" s="49"/>
      <c r="C935" s="39"/>
      <c r="D935" s="39"/>
      <c r="E935" s="39"/>
      <c r="G935" s="34"/>
      <c r="H935" s="49"/>
      <c r="I935" s="49"/>
      <c r="J935" s="49"/>
      <c r="K935" s="49"/>
      <c r="L935" s="49"/>
      <c r="M935" s="52"/>
    </row>
    <row r="936" spans="1:13" ht="15.75" customHeight="1" x14ac:dyDescent="0.2">
      <c r="A936" s="49"/>
      <c r="B936" s="49"/>
      <c r="C936" s="39"/>
      <c r="D936" s="39"/>
      <c r="E936" s="39"/>
      <c r="G936" s="34"/>
      <c r="H936" s="49"/>
      <c r="I936" s="49"/>
      <c r="J936" s="49"/>
      <c r="K936" s="49"/>
      <c r="L936" s="49"/>
      <c r="M936" s="52"/>
    </row>
    <row r="937" spans="1:13" ht="15.75" customHeight="1" x14ac:dyDescent="0.2">
      <c r="A937" s="49"/>
      <c r="B937" s="49"/>
      <c r="C937" s="39"/>
      <c r="D937" s="39"/>
      <c r="E937" s="39"/>
      <c r="G937" s="34"/>
      <c r="H937" s="49"/>
      <c r="I937" s="49"/>
      <c r="J937" s="49"/>
      <c r="K937" s="49"/>
      <c r="L937" s="49"/>
      <c r="M937" s="52"/>
    </row>
    <row r="938" spans="1:13" ht="15.75" customHeight="1" x14ac:dyDescent="0.2">
      <c r="A938" s="49"/>
      <c r="B938" s="49"/>
      <c r="C938" s="39"/>
      <c r="D938" s="39"/>
      <c r="E938" s="39"/>
      <c r="G938" s="34"/>
      <c r="H938" s="49"/>
      <c r="I938" s="49"/>
      <c r="J938" s="49"/>
      <c r="K938" s="49"/>
      <c r="L938" s="49"/>
      <c r="M938" s="52"/>
    </row>
    <row r="939" spans="1:13" ht="15.75" customHeight="1" x14ac:dyDescent="0.2">
      <c r="A939" s="49"/>
      <c r="B939" s="49"/>
      <c r="C939" s="39"/>
      <c r="D939" s="39"/>
      <c r="E939" s="39"/>
      <c r="G939" s="34"/>
      <c r="H939" s="49"/>
      <c r="I939" s="49"/>
      <c r="J939" s="49"/>
      <c r="K939" s="49"/>
      <c r="L939" s="49"/>
      <c r="M939" s="52"/>
    </row>
    <row r="940" spans="1:13" ht="15.75" customHeight="1" x14ac:dyDescent="0.2">
      <c r="A940" s="49"/>
      <c r="B940" s="49"/>
      <c r="C940" s="39"/>
      <c r="D940" s="39"/>
      <c r="E940" s="39"/>
      <c r="G940" s="34"/>
      <c r="H940" s="49"/>
      <c r="I940" s="49"/>
      <c r="J940" s="49"/>
      <c r="K940" s="49"/>
      <c r="L940" s="49"/>
      <c r="M940" s="52"/>
    </row>
    <row r="941" spans="1:13" ht="15.75" customHeight="1" x14ac:dyDescent="0.2">
      <c r="A941" s="49"/>
      <c r="B941" s="49"/>
      <c r="C941" s="39"/>
      <c r="D941" s="39"/>
      <c r="E941" s="39"/>
      <c r="G941" s="34"/>
      <c r="H941" s="49"/>
      <c r="I941" s="49"/>
      <c r="J941" s="49"/>
      <c r="K941" s="49"/>
      <c r="L941" s="49"/>
      <c r="M941" s="52"/>
    </row>
    <row r="942" spans="1:13" ht="15.75" customHeight="1" x14ac:dyDescent="0.2">
      <c r="A942" s="49"/>
      <c r="B942" s="49"/>
      <c r="C942" s="39"/>
      <c r="D942" s="39"/>
      <c r="E942" s="39"/>
      <c r="G942" s="34"/>
      <c r="H942" s="49"/>
      <c r="I942" s="49"/>
      <c r="J942" s="49"/>
      <c r="K942" s="49"/>
      <c r="L942" s="49"/>
      <c r="M942" s="52"/>
    </row>
    <row r="943" spans="1:13" ht="15.75" customHeight="1" x14ac:dyDescent="0.2">
      <c r="A943" s="49"/>
      <c r="B943" s="49"/>
      <c r="C943" s="39"/>
      <c r="D943" s="39"/>
      <c r="E943" s="39"/>
      <c r="G943" s="34"/>
      <c r="H943" s="49"/>
      <c r="I943" s="49"/>
      <c r="J943" s="49"/>
      <c r="K943" s="49"/>
      <c r="L943" s="49"/>
      <c r="M943" s="52"/>
    </row>
    <row r="944" spans="1:13" ht="15.75" customHeight="1" x14ac:dyDescent="0.2">
      <c r="A944" s="49"/>
      <c r="B944" s="49"/>
      <c r="C944" s="39"/>
      <c r="D944" s="39"/>
      <c r="E944" s="39"/>
      <c r="G944" s="34"/>
      <c r="H944" s="49"/>
      <c r="I944" s="49"/>
      <c r="J944" s="49"/>
      <c r="K944" s="49"/>
      <c r="L944" s="49"/>
      <c r="M944" s="52"/>
    </row>
    <row r="945" spans="1:13" ht="15.75" customHeight="1" x14ac:dyDescent="0.2">
      <c r="A945" s="49"/>
      <c r="B945" s="49"/>
      <c r="C945" s="39"/>
      <c r="D945" s="39"/>
      <c r="E945" s="39"/>
      <c r="G945" s="34"/>
      <c r="H945" s="49"/>
      <c r="I945" s="49"/>
      <c r="J945" s="49"/>
      <c r="K945" s="49"/>
      <c r="L945" s="49"/>
      <c r="M945" s="52"/>
    </row>
    <row r="946" spans="1:13" ht="15.75" customHeight="1" x14ac:dyDescent="0.2">
      <c r="A946" s="49"/>
      <c r="B946" s="49"/>
      <c r="C946" s="39"/>
      <c r="D946" s="39"/>
      <c r="E946" s="39"/>
      <c r="G946" s="34"/>
      <c r="H946" s="49"/>
      <c r="I946" s="49"/>
      <c r="J946" s="49"/>
      <c r="K946" s="49"/>
      <c r="L946" s="49"/>
      <c r="M946" s="52"/>
    </row>
    <row r="947" spans="1:13" ht="15.75" customHeight="1" x14ac:dyDescent="0.2">
      <c r="A947" s="49"/>
      <c r="B947" s="49"/>
      <c r="C947" s="39"/>
      <c r="D947" s="39"/>
      <c r="E947" s="39"/>
      <c r="G947" s="34"/>
      <c r="H947" s="49"/>
      <c r="I947" s="49"/>
      <c r="J947" s="49"/>
      <c r="K947" s="49"/>
      <c r="L947" s="49"/>
      <c r="M947" s="52"/>
    </row>
    <row r="948" spans="1:13" ht="15.75" customHeight="1" x14ac:dyDescent="0.2">
      <c r="A948" s="49"/>
      <c r="B948" s="49"/>
      <c r="C948" s="39"/>
      <c r="D948" s="39"/>
      <c r="E948" s="39"/>
      <c r="G948" s="34"/>
      <c r="H948" s="49"/>
      <c r="I948" s="49"/>
      <c r="J948" s="49"/>
      <c r="K948" s="49"/>
      <c r="L948" s="49"/>
      <c r="M948" s="52"/>
    </row>
    <row r="949" spans="1:13" ht="15.75" customHeight="1" x14ac:dyDescent="0.2">
      <c r="A949" s="49"/>
      <c r="B949" s="49"/>
      <c r="C949" s="39"/>
      <c r="D949" s="39"/>
      <c r="E949" s="39"/>
      <c r="G949" s="34"/>
      <c r="H949" s="49"/>
      <c r="I949" s="49"/>
      <c r="J949" s="49"/>
      <c r="K949" s="49"/>
      <c r="L949" s="49"/>
      <c r="M949" s="52"/>
    </row>
    <row r="950" spans="1:13" ht="15.75" customHeight="1" x14ac:dyDescent="0.2">
      <c r="A950" s="49"/>
      <c r="B950" s="49"/>
      <c r="C950" s="39"/>
      <c r="D950" s="39"/>
      <c r="E950" s="39"/>
      <c r="G950" s="34"/>
      <c r="H950" s="49"/>
      <c r="I950" s="49"/>
      <c r="J950" s="49"/>
      <c r="K950" s="49"/>
      <c r="L950" s="49"/>
      <c r="M950" s="52"/>
    </row>
    <row r="951" spans="1:13" ht="15.75" customHeight="1" x14ac:dyDescent="0.2">
      <c r="A951" s="49"/>
      <c r="B951" s="49"/>
      <c r="C951" s="39"/>
      <c r="D951" s="39"/>
      <c r="E951" s="39"/>
      <c r="G951" s="34"/>
      <c r="H951" s="49"/>
      <c r="I951" s="49"/>
      <c r="J951" s="49"/>
      <c r="K951" s="49"/>
      <c r="L951" s="49"/>
      <c r="M951" s="52"/>
    </row>
    <row r="952" spans="1:13" ht="15.75" customHeight="1" x14ac:dyDescent="0.2">
      <c r="A952" s="49"/>
      <c r="B952" s="49"/>
      <c r="C952" s="39"/>
      <c r="D952" s="39"/>
      <c r="E952" s="39"/>
      <c r="G952" s="34"/>
      <c r="H952" s="49"/>
      <c r="I952" s="49"/>
      <c r="J952" s="49"/>
      <c r="K952" s="49"/>
      <c r="L952" s="49"/>
      <c r="M952" s="52"/>
    </row>
    <row r="953" spans="1:13" ht="15.75" customHeight="1" x14ac:dyDescent="0.2">
      <c r="A953" s="49"/>
      <c r="B953" s="49"/>
      <c r="C953" s="39"/>
      <c r="D953" s="39"/>
      <c r="E953" s="39"/>
      <c r="G953" s="34"/>
      <c r="H953" s="49"/>
      <c r="I953" s="49"/>
      <c r="J953" s="49"/>
      <c r="K953" s="49"/>
      <c r="L953" s="49"/>
      <c r="M953" s="52"/>
    </row>
    <row r="954" spans="1:13" ht="15.75" customHeight="1" x14ac:dyDescent="0.2">
      <c r="A954" s="49"/>
      <c r="B954" s="49"/>
      <c r="C954" s="39"/>
      <c r="D954" s="39"/>
      <c r="E954" s="39"/>
      <c r="G954" s="34"/>
      <c r="H954" s="49"/>
      <c r="I954" s="49"/>
      <c r="J954" s="49"/>
      <c r="K954" s="49"/>
      <c r="L954" s="49"/>
      <c r="M954" s="52"/>
    </row>
    <row r="955" spans="1:13" ht="15.75" customHeight="1" x14ac:dyDescent="0.2">
      <c r="A955" s="49"/>
      <c r="B955" s="49"/>
      <c r="C955" s="39"/>
      <c r="D955" s="39"/>
      <c r="E955" s="39"/>
      <c r="G955" s="34"/>
      <c r="H955" s="49"/>
      <c r="I955" s="49"/>
      <c r="J955" s="49"/>
      <c r="K955" s="49"/>
      <c r="L955" s="49"/>
      <c r="M955" s="52"/>
    </row>
    <row r="956" spans="1:13" ht="15.75" customHeight="1" x14ac:dyDescent="0.2">
      <c r="A956" s="49"/>
      <c r="B956" s="49"/>
      <c r="C956" s="39"/>
      <c r="D956" s="39"/>
      <c r="E956" s="39"/>
      <c r="G956" s="34"/>
      <c r="H956" s="49"/>
      <c r="I956" s="49"/>
      <c r="J956" s="49"/>
      <c r="K956" s="49"/>
      <c r="L956" s="49"/>
      <c r="M956" s="52"/>
    </row>
    <row r="957" spans="1:13" ht="15.75" customHeight="1" x14ac:dyDescent="0.2">
      <c r="A957" s="49"/>
      <c r="B957" s="49"/>
      <c r="C957" s="39"/>
      <c r="D957" s="39"/>
      <c r="E957" s="39"/>
      <c r="G957" s="34"/>
      <c r="H957" s="49"/>
      <c r="I957" s="49"/>
      <c r="J957" s="49"/>
      <c r="K957" s="49"/>
      <c r="L957" s="49"/>
      <c r="M957" s="52"/>
    </row>
    <row r="958" spans="1:13" ht="15.75" customHeight="1" x14ac:dyDescent="0.2">
      <c r="A958" s="49"/>
      <c r="B958" s="49"/>
      <c r="C958" s="39"/>
      <c r="D958" s="39"/>
      <c r="E958" s="39"/>
      <c r="G958" s="34"/>
      <c r="H958" s="49"/>
      <c r="I958" s="49"/>
      <c r="J958" s="49"/>
      <c r="K958" s="49"/>
      <c r="L958" s="49"/>
      <c r="M958" s="52"/>
    </row>
    <row r="959" spans="1:13" ht="15.75" customHeight="1" x14ac:dyDescent="0.2">
      <c r="A959" s="49"/>
      <c r="B959" s="49"/>
      <c r="C959" s="39"/>
      <c r="D959" s="39"/>
      <c r="E959" s="39"/>
      <c r="G959" s="34"/>
      <c r="H959" s="49"/>
      <c r="I959" s="49"/>
      <c r="J959" s="49"/>
      <c r="K959" s="49"/>
      <c r="L959" s="49"/>
      <c r="M959" s="52"/>
    </row>
    <row r="960" spans="1:13" ht="15.75" customHeight="1" x14ac:dyDescent="0.2">
      <c r="A960" s="49"/>
      <c r="B960" s="49"/>
      <c r="C960" s="39"/>
      <c r="D960" s="39"/>
      <c r="E960" s="39"/>
      <c r="G960" s="34"/>
      <c r="H960" s="49"/>
      <c r="I960" s="49"/>
      <c r="J960" s="49"/>
      <c r="K960" s="49"/>
      <c r="L960" s="49"/>
      <c r="M960" s="52"/>
    </row>
    <row r="961" spans="1:13" ht="15.75" customHeight="1" x14ac:dyDescent="0.2">
      <c r="A961" s="49"/>
      <c r="B961" s="49"/>
      <c r="C961" s="39"/>
      <c r="D961" s="39"/>
      <c r="E961" s="39"/>
      <c r="G961" s="34"/>
      <c r="H961" s="49"/>
      <c r="I961" s="49"/>
      <c r="J961" s="49"/>
      <c r="K961" s="49"/>
      <c r="L961" s="49"/>
      <c r="M961" s="52"/>
    </row>
    <row r="962" spans="1:13" ht="15.75" customHeight="1" x14ac:dyDescent="0.2">
      <c r="A962" s="49"/>
      <c r="B962" s="49"/>
      <c r="C962" s="39"/>
      <c r="D962" s="39"/>
      <c r="E962" s="39"/>
      <c r="G962" s="34"/>
      <c r="H962" s="49"/>
      <c r="I962" s="49"/>
      <c r="J962" s="49"/>
      <c r="K962" s="49"/>
      <c r="L962" s="49"/>
      <c r="M962" s="52"/>
    </row>
    <row r="963" spans="1:13" ht="15.75" customHeight="1" x14ac:dyDescent="0.2">
      <c r="A963" s="49"/>
      <c r="B963" s="49"/>
      <c r="C963" s="39"/>
      <c r="D963" s="39"/>
      <c r="E963" s="39"/>
      <c r="G963" s="34"/>
      <c r="H963" s="49"/>
      <c r="I963" s="49"/>
      <c r="J963" s="49"/>
      <c r="K963" s="49"/>
      <c r="L963" s="49"/>
      <c r="M963" s="52"/>
    </row>
    <row r="964" spans="1:13" ht="15.75" customHeight="1" x14ac:dyDescent="0.2">
      <c r="A964" s="49"/>
      <c r="B964" s="49"/>
      <c r="C964" s="39"/>
      <c r="D964" s="39"/>
      <c r="E964" s="39"/>
      <c r="G964" s="34"/>
      <c r="H964" s="49"/>
      <c r="I964" s="49"/>
      <c r="J964" s="49"/>
      <c r="K964" s="49"/>
      <c r="L964" s="49"/>
      <c r="M964" s="52"/>
    </row>
    <row r="965" spans="1:13" ht="15.75" customHeight="1" x14ac:dyDescent="0.2">
      <c r="A965" s="49"/>
      <c r="B965" s="49"/>
      <c r="C965" s="39"/>
      <c r="D965" s="39"/>
      <c r="E965" s="39"/>
      <c r="G965" s="34"/>
      <c r="H965" s="49"/>
      <c r="I965" s="49"/>
      <c r="J965" s="49"/>
      <c r="K965" s="49"/>
      <c r="L965" s="49"/>
      <c r="M965" s="52"/>
    </row>
    <row r="966" spans="1:13" ht="15.75" customHeight="1" x14ac:dyDescent="0.2">
      <c r="A966" s="49"/>
      <c r="B966" s="49"/>
      <c r="C966" s="39"/>
      <c r="D966" s="39"/>
      <c r="E966" s="39"/>
      <c r="G966" s="34"/>
      <c r="H966" s="49"/>
      <c r="I966" s="49"/>
      <c r="J966" s="49"/>
      <c r="K966" s="49"/>
      <c r="L966" s="49"/>
      <c r="M966" s="52"/>
    </row>
    <row r="967" spans="1:13" ht="15.75" customHeight="1" x14ac:dyDescent="0.2">
      <c r="A967" s="49"/>
      <c r="B967" s="49"/>
      <c r="C967" s="39"/>
      <c r="D967" s="39"/>
      <c r="E967" s="39"/>
      <c r="G967" s="34"/>
      <c r="H967" s="49"/>
      <c r="I967" s="49"/>
      <c r="J967" s="49"/>
      <c r="K967" s="49"/>
      <c r="L967" s="49"/>
      <c r="M967" s="52"/>
    </row>
    <row r="968" spans="1:13" ht="15.75" customHeight="1" x14ac:dyDescent="0.2">
      <c r="A968" s="49"/>
      <c r="B968" s="49"/>
      <c r="C968" s="39"/>
      <c r="D968" s="39"/>
      <c r="E968" s="39"/>
      <c r="G968" s="34"/>
      <c r="H968" s="49"/>
      <c r="I968" s="49"/>
      <c r="J968" s="49"/>
      <c r="K968" s="49"/>
      <c r="L968" s="49"/>
      <c r="M968" s="52"/>
    </row>
    <row r="969" spans="1:13" ht="15.75" customHeight="1" x14ac:dyDescent="0.2">
      <c r="A969" s="49"/>
      <c r="B969" s="49"/>
      <c r="C969" s="39"/>
      <c r="D969" s="39"/>
      <c r="E969" s="39"/>
      <c r="G969" s="34"/>
      <c r="H969" s="49"/>
      <c r="I969" s="49"/>
      <c r="J969" s="49"/>
      <c r="K969" s="49"/>
      <c r="L969" s="49"/>
      <c r="M969" s="52"/>
    </row>
    <row r="970" spans="1:13" ht="15.75" customHeight="1" x14ac:dyDescent="0.2">
      <c r="A970" s="49"/>
      <c r="B970" s="49"/>
      <c r="C970" s="39"/>
      <c r="D970" s="39"/>
      <c r="E970" s="39"/>
      <c r="G970" s="34"/>
      <c r="H970" s="49"/>
      <c r="I970" s="49"/>
      <c r="J970" s="49"/>
      <c r="K970" s="49"/>
      <c r="L970" s="49"/>
      <c r="M970" s="52"/>
    </row>
    <row r="971" spans="1:13" ht="15.75" customHeight="1" x14ac:dyDescent="0.2">
      <c r="A971" s="49"/>
      <c r="B971" s="49"/>
      <c r="C971" s="39"/>
      <c r="D971" s="39"/>
      <c r="E971" s="39"/>
      <c r="G971" s="34"/>
      <c r="H971" s="49"/>
      <c r="I971" s="49"/>
      <c r="J971" s="49"/>
      <c r="K971" s="49"/>
      <c r="L971" s="49"/>
      <c r="M971" s="52"/>
    </row>
    <row r="972" spans="1:13" ht="15.75" customHeight="1" x14ac:dyDescent="0.2">
      <c r="A972" s="49"/>
      <c r="B972" s="49"/>
      <c r="C972" s="39"/>
      <c r="D972" s="39"/>
      <c r="E972" s="39"/>
      <c r="G972" s="34"/>
      <c r="H972" s="49"/>
      <c r="I972" s="49"/>
      <c r="J972" s="49"/>
      <c r="K972" s="49"/>
      <c r="L972" s="49"/>
      <c r="M972" s="52"/>
    </row>
    <row r="973" spans="1:13" ht="15.75" customHeight="1" x14ac:dyDescent="0.2">
      <c r="A973" s="49"/>
      <c r="B973" s="49"/>
      <c r="C973" s="39"/>
      <c r="D973" s="39"/>
      <c r="E973" s="39"/>
      <c r="G973" s="34"/>
      <c r="H973" s="49"/>
      <c r="I973" s="49"/>
      <c r="J973" s="49"/>
      <c r="K973" s="49"/>
      <c r="L973" s="49"/>
      <c r="M973" s="52"/>
    </row>
    <row r="974" spans="1:13" ht="15.75" customHeight="1" x14ac:dyDescent="0.2">
      <c r="A974" s="49"/>
      <c r="B974" s="49"/>
      <c r="C974" s="39"/>
      <c r="D974" s="39"/>
      <c r="E974" s="39"/>
      <c r="G974" s="34"/>
      <c r="H974" s="49"/>
      <c r="I974" s="49"/>
      <c r="J974" s="49"/>
      <c r="K974" s="49"/>
      <c r="L974" s="49"/>
      <c r="M974" s="52"/>
    </row>
    <row r="975" spans="1:13" ht="15.75" customHeight="1" x14ac:dyDescent="0.2">
      <c r="A975" s="49"/>
      <c r="B975" s="49"/>
      <c r="C975" s="39"/>
      <c r="D975" s="39"/>
      <c r="E975" s="39"/>
      <c r="G975" s="34"/>
      <c r="H975" s="49"/>
      <c r="I975" s="49"/>
      <c r="J975" s="49"/>
      <c r="K975" s="49"/>
      <c r="L975" s="49"/>
      <c r="M975" s="52"/>
    </row>
    <row r="976" spans="1:13" ht="15.75" customHeight="1" x14ac:dyDescent="0.2">
      <c r="A976" s="49"/>
      <c r="B976" s="49"/>
      <c r="C976" s="39"/>
      <c r="D976" s="39"/>
      <c r="E976" s="39"/>
      <c r="G976" s="34"/>
      <c r="H976" s="49"/>
      <c r="I976" s="49"/>
      <c r="J976" s="49"/>
      <c r="K976" s="49"/>
      <c r="L976" s="49"/>
      <c r="M976" s="52"/>
    </row>
    <row r="977" spans="1:13" ht="15.75" customHeight="1" x14ac:dyDescent="0.2">
      <c r="A977" s="49"/>
      <c r="B977" s="49"/>
      <c r="C977" s="39"/>
      <c r="D977" s="39"/>
      <c r="E977" s="39"/>
      <c r="G977" s="34"/>
      <c r="H977" s="49"/>
      <c r="I977" s="49"/>
      <c r="J977" s="49"/>
      <c r="K977" s="49"/>
      <c r="L977" s="49"/>
      <c r="M977" s="52"/>
    </row>
    <row r="978" spans="1:13" ht="15.75" customHeight="1" x14ac:dyDescent="0.2">
      <c r="A978" s="49"/>
      <c r="B978" s="49"/>
      <c r="C978" s="39"/>
      <c r="D978" s="39"/>
      <c r="E978" s="39"/>
      <c r="G978" s="34"/>
      <c r="H978" s="49"/>
      <c r="I978" s="49"/>
      <c r="J978" s="49"/>
      <c r="K978" s="49"/>
      <c r="L978" s="49"/>
      <c r="M978" s="52"/>
    </row>
    <row r="979" spans="1:13" ht="15.75" customHeight="1" x14ac:dyDescent="0.2">
      <c r="A979" s="49"/>
      <c r="B979" s="49"/>
      <c r="C979" s="39"/>
      <c r="D979" s="39"/>
      <c r="E979" s="39"/>
      <c r="G979" s="34"/>
      <c r="H979" s="49"/>
      <c r="I979" s="49"/>
      <c r="J979" s="49"/>
      <c r="K979" s="49"/>
      <c r="L979" s="49"/>
      <c r="M979" s="52"/>
    </row>
    <row r="980" spans="1:13" ht="15.75" customHeight="1" x14ac:dyDescent="0.2">
      <c r="A980" s="49"/>
      <c r="B980" s="49"/>
      <c r="C980" s="39"/>
      <c r="D980" s="39"/>
      <c r="E980" s="39"/>
      <c r="G980" s="34"/>
      <c r="H980" s="49"/>
      <c r="I980" s="49"/>
      <c r="J980" s="49"/>
      <c r="K980" s="49"/>
      <c r="L980" s="49"/>
      <c r="M980" s="52"/>
    </row>
    <row r="981" spans="1:13" ht="15.75" customHeight="1" x14ac:dyDescent="0.2">
      <c r="A981" s="49"/>
      <c r="B981" s="49"/>
      <c r="C981" s="39"/>
      <c r="D981" s="39"/>
      <c r="E981" s="39"/>
      <c r="G981" s="34"/>
      <c r="H981" s="49"/>
      <c r="I981" s="49"/>
      <c r="J981" s="49"/>
      <c r="K981" s="49"/>
      <c r="L981" s="49"/>
      <c r="M981" s="52"/>
    </row>
    <row r="982" spans="1:13" ht="15.75" customHeight="1" x14ac:dyDescent="0.2">
      <c r="A982" s="49"/>
      <c r="B982" s="49"/>
      <c r="C982" s="39"/>
      <c r="D982" s="39"/>
      <c r="E982" s="39"/>
      <c r="G982" s="34"/>
      <c r="H982" s="49"/>
      <c r="I982" s="49"/>
      <c r="J982" s="49"/>
      <c r="K982" s="49"/>
      <c r="L982" s="49"/>
      <c r="M982" s="52"/>
    </row>
    <row r="983" spans="1:13" ht="15.75" customHeight="1" x14ac:dyDescent="0.2">
      <c r="A983" s="49"/>
      <c r="B983" s="49"/>
      <c r="C983" s="39"/>
      <c r="D983" s="39"/>
      <c r="E983" s="39"/>
      <c r="G983" s="34"/>
      <c r="H983" s="49"/>
      <c r="I983" s="49"/>
      <c r="J983" s="49"/>
      <c r="K983" s="49"/>
      <c r="L983" s="49"/>
      <c r="M983" s="52"/>
    </row>
    <row r="984" spans="1:13" ht="15.75" customHeight="1" x14ac:dyDescent="0.2">
      <c r="A984" s="49"/>
      <c r="B984" s="49"/>
      <c r="C984" s="39"/>
      <c r="D984" s="39"/>
      <c r="E984" s="39"/>
      <c r="G984" s="34"/>
      <c r="H984" s="49"/>
      <c r="I984" s="49"/>
      <c r="J984" s="49"/>
      <c r="K984" s="49"/>
      <c r="L984" s="49"/>
      <c r="M984" s="52"/>
    </row>
    <row r="985" spans="1:13" ht="15.75" customHeight="1" x14ac:dyDescent="0.2">
      <c r="A985" s="49"/>
      <c r="B985" s="49"/>
      <c r="C985" s="39"/>
      <c r="D985" s="39"/>
      <c r="E985" s="39"/>
      <c r="G985" s="34"/>
      <c r="H985" s="49"/>
      <c r="I985" s="49"/>
      <c r="J985" s="49"/>
      <c r="K985" s="49"/>
      <c r="L985" s="49"/>
      <c r="M985" s="52"/>
    </row>
    <row r="986" spans="1:13" ht="15.75" customHeight="1" x14ac:dyDescent="0.2">
      <c r="A986" s="49"/>
      <c r="B986" s="49"/>
      <c r="C986" s="39"/>
      <c r="D986" s="39"/>
      <c r="E986" s="39"/>
      <c r="G986" s="34"/>
      <c r="H986" s="49"/>
      <c r="I986" s="49"/>
      <c r="J986" s="49"/>
      <c r="K986" s="49"/>
      <c r="L986" s="49"/>
      <c r="M986" s="52"/>
    </row>
    <row r="987" spans="1:13" ht="15.75" customHeight="1" x14ac:dyDescent="0.2">
      <c r="A987" s="49"/>
      <c r="B987" s="49"/>
      <c r="C987" s="39"/>
      <c r="D987" s="39"/>
      <c r="E987" s="39"/>
      <c r="G987" s="34"/>
      <c r="H987" s="49"/>
      <c r="I987" s="49"/>
      <c r="J987" s="49"/>
      <c r="K987" s="49"/>
      <c r="L987" s="49"/>
      <c r="M987" s="52"/>
    </row>
    <row r="988" spans="1:13" ht="15.75" customHeight="1" x14ac:dyDescent="0.2">
      <c r="A988" s="49"/>
      <c r="B988" s="49"/>
      <c r="C988" s="39"/>
      <c r="D988" s="39"/>
      <c r="E988" s="39"/>
      <c r="G988" s="34"/>
      <c r="H988" s="49"/>
      <c r="I988" s="49"/>
      <c r="J988" s="49"/>
      <c r="K988" s="49"/>
      <c r="L988" s="49"/>
      <c r="M988" s="52"/>
    </row>
    <row r="989" spans="1:13" ht="15.75" customHeight="1" x14ac:dyDescent="0.2">
      <c r="A989" s="49"/>
      <c r="B989" s="49"/>
      <c r="C989" s="39"/>
      <c r="D989" s="39"/>
      <c r="E989" s="39"/>
      <c r="G989" s="34"/>
      <c r="H989" s="49"/>
      <c r="I989" s="49"/>
      <c r="J989" s="49"/>
      <c r="K989" s="49"/>
      <c r="L989" s="49"/>
      <c r="M989" s="52"/>
    </row>
    <row r="990" spans="1:13" ht="15.75" customHeight="1" x14ac:dyDescent="0.2">
      <c r="A990" s="49"/>
      <c r="B990" s="49"/>
      <c r="C990" s="39"/>
      <c r="D990" s="39"/>
      <c r="E990" s="39"/>
      <c r="G990" s="34"/>
      <c r="H990" s="49"/>
      <c r="I990" s="49"/>
      <c r="J990" s="49"/>
      <c r="K990" s="49"/>
      <c r="L990" s="49"/>
      <c r="M990" s="52"/>
    </row>
    <row r="991" spans="1:13" ht="15.75" customHeight="1" x14ac:dyDescent="0.2">
      <c r="A991" s="49"/>
      <c r="B991" s="49"/>
      <c r="C991" s="39"/>
      <c r="D991" s="39"/>
      <c r="E991" s="39"/>
      <c r="G991" s="34"/>
      <c r="H991" s="49"/>
      <c r="I991" s="49"/>
      <c r="J991" s="49"/>
      <c r="K991" s="49"/>
      <c r="L991" s="49"/>
      <c r="M991" s="52"/>
    </row>
    <row r="992" spans="1:13" ht="15.75" customHeight="1" x14ac:dyDescent="0.2">
      <c r="A992" s="49"/>
      <c r="B992" s="49"/>
      <c r="C992" s="39"/>
      <c r="D992" s="39"/>
      <c r="E992" s="39"/>
      <c r="G992" s="34"/>
      <c r="H992" s="49"/>
      <c r="I992" s="49"/>
      <c r="J992" s="49"/>
      <c r="K992" s="49"/>
      <c r="L992" s="49"/>
      <c r="M992" s="52"/>
    </row>
    <row r="993" spans="1:13" ht="15.75" customHeight="1" x14ac:dyDescent="0.2">
      <c r="A993" s="49"/>
      <c r="B993" s="49"/>
      <c r="C993" s="39"/>
      <c r="D993" s="39"/>
      <c r="E993" s="39"/>
      <c r="G993" s="34"/>
      <c r="H993" s="49"/>
      <c r="I993" s="49"/>
      <c r="J993" s="49"/>
      <c r="K993" s="49"/>
      <c r="L993" s="49"/>
      <c r="M993" s="52"/>
    </row>
    <row r="994" spans="1:13" ht="15.75" customHeight="1" x14ac:dyDescent="0.2">
      <c r="A994" s="49"/>
      <c r="B994" s="49"/>
      <c r="C994" s="39"/>
      <c r="D994" s="39"/>
      <c r="E994" s="39"/>
      <c r="G994" s="34"/>
      <c r="H994" s="49"/>
      <c r="I994" s="49"/>
      <c r="J994" s="49"/>
      <c r="K994" s="49"/>
      <c r="L994" s="49"/>
      <c r="M994" s="52"/>
    </row>
    <row r="995" spans="1:13" ht="15.75" customHeight="1" x14ac:dyDescent="0.2">
      <c r="A995" s="49"/>
      <c r="B995" s="49"/>
      <c r="C995" s="39"/>
      <c r="D995" s="39"/>
      <c r="E995" s="39"/>
      <c r="G995" s="34"/>
      <c r="H995" s="49"/>
      <c r="I995" s="49"/>
      <c r="J995" s="49"/>
      <c r="K995" s="49"/>
      <c r="L995" s="49"/>
      <c r="M995" s="52"/>
    </row>
    <row r="996" spans="1:13" ht="15.75" customHeight="1" x14ac:dyDescent="0.2">
      <c r="A996" s="49"/>
      <c r="B996" s="49"/>
      <c r="C996" s="39"/>
      <c r="D996" s="39"/>
      <c r="E996" s="39"/>
      <c r="G996" s="34"/>
      <c r="H996" s="49"/>
      <c r="I996" s="49"/>
      <c r="J996" s="49"/>
      <c r="K996" s="49"/>
      <c r="L996" s="49"/>
      <c r="M996" s="52"/>
    </row>
    <row r="997" spans="1:13" ht="15.75" customHeight="1" x14ac:dyDescent="0.2">
      <c r="A997" s="49"/>
      <c r="B997" s="49"/>
      <c r="C997" s="39"/>
      <c r="D997" s="39"/>
      <c r="E997" s="39"/>
      <c r="G997" s="34"/>
      <c r="H997" s="49"/>
      <c r="I997" s="49"/>
      <c r="J997" s="49"/>
      <c r="K997" s="49"/>
      <c r="L997" s="49"/>
      <c r="M997" s="52"/>
    </row>
    <row r="998" spans="1:13" ht="15.75" customHeight="1" x14ac:dyDescent="0.2">
      <c r="A998" s="49"/>
      <c r="B998" s="49"/>
      <c r="C998" s="39"/>
      <c r="D998" s="39"/>
      <c r="E998" s="39"/>
      <c r="G998" s="34"/>
      <c r="H998" s="49"/>
      <c r="I998" s="49"/>
      <c r="J998" s="49"/>
      <c r="K998" s="49"/>
      <c r="L998" s="49"/>
      <c r="M998" s="52"/>
    </row>
    <row r="999" spans="1:13" ht="15.75" customHeight="1" x14ac:dyDescent="0.2">
      <c r="A999" s="49"/>
      <c r="B999" s="49"/>
      <c r="C999" s="39"/>
      <c r="D999" s="39"/>
      <c r="E999" s="39"/>
      <c r="G999" s="34"/>
      <c r="H999" s="49"/>
      <c r="I999" s="49"/>
      <c r="J999" s="49"/>
      <c r="K999" s="49"/>
      <c r="L999" s="49"/>
      <c r="M999" s="52"/>
    </row>
    <row r="1000" spans="1:13" ht="15.75" customHeight="1" x14ac:dyDescent="0.2">
      <c r="A1000" s="49"/>
      <c r="B1000" s="49"/>
      <c r="C1000" s="39"/>
      <c r="D1000" s="39"/>
      <c r="E1000" s="39"/>
      <c r="G1000" s="34"/>
      <c r="H1000" s="49"/>
      <c r="I1000" s="49"/>
      <c r="J1000" s="49"/>
      <c r="K1000" s="49"/>
      <c r="L1000" s="49"/>
      <c r="M1000" s="5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M1000"/>
  <sheetViews>
    <sheetView zoomScaleNormal="148" workbookViewId="0">
      <pane ySplit="1" topLeftCell="A2" activePane="bottomLeft" state="frozen"/>
      <selection pane="bottomLeft" activeCell="E81" sqref="E81"/>
    </sheetView>
  </sheetViews>
  <sheetFormatPr baseColWidth="10" defaultColWidth="11.1640625" defaultRowHeight="15" customHeight="1" x14ac:dyDescent="0.2"/>
  <cols>
    <col min="1" max="2" width="10.5" customWidth="1"/>
    <col min="3" max="4" width="30.83203125" customWidth="1"/>
    <col min="5" max="5" width="197.33203125" customWidth="1"/>
    <col min="6" max="6" width="10.83203125" customWidth="1"/>
    <col min="7" max="12" width="10.5" customWidth="1"/>
    <col min="13" max="13" width="8.83203125" style="50" customWidth="1"/>
    <col min="14" max="26" width="10.5" customWidth="1"/>
  </cols>
  <sheetData>
    <row r="1" spans="1:13" ht="15.75" customHeight="1" x14ac:dyDescent="0.2">
      <c r="A1" s="44" t="s">
        <v>22</v>
      </c>
      <c r="B1" s="44" t="s">
        <v>592</v>
      </c>
      <c r="C1" s="44" t="s">
        <v>6183</v>
      </c>
      <c r="D1" s="44" t="s">
        <v>6184</v>
      </c>
      <c r="E1" s="44" t="s">
        <v>6185</v>
      </c>
      <c r="F1" s="44" t="s">
        <v>6186</v>
      </c>
      <c r="G1" s="44" t="s">
        <v>6187</v>
      </c>
      <c r="H1" s="44" t="s">
        <v>6188</v>
      </c>
      <c r="I1" s="44" t="s">
        <v>6189</v>
      </c>
      <c r="J1" s="44" t="s">
        <v>6190</v>
      </c>
      <c r="K1" s="44" t="s">
        <v>6191</v>
      </c>
      <c r="L1" s="44" t="s">
        <v>6192</v>
      </c>
      <c r="M1" s="51" t="s">
        <v>6878</v>
      </c>
    </row>
    <row r="2" spans="1:13" ht="62" customHeight="1" x14ac:dyDescent="0.2">
      <c r="A2" s="34">
        <v>17311</v>
      </c>
      <c r="B2" s="34">
        <v>1</v>
      </c>
      <c r="C2" s="34" t="s">
        <v>596</v>
      </c>
      <c r="D2" s="34" t="s">
        <v>6194</v>
      </c>
      <c r="E2" s="34" t="s">
        <v>6195</v>
      </c>
      <c r="F2" s="34">
        <v>1</v>
      </c>
      <c r="G2" s="34" t="b">
        <v>1</v>
      </c>
      <c r="H2" s="34">
        <v>1</v>
      </c>
      <c r="I2" s="34">
        <v>1</v>
      </c>
      <c r="J2" s="34"/>
      <c r="K2" s="34"/>
      <c r="L2" s="34"/>
    </row>
    <row r="3" spans="1:13" ht="58" customHeight="1" x14ac:dyDescent="0.2">
      <c r="A3" s="34">
        <v>17312</v>
      </c>
      <c r="B3" s="34">
        <v>2</v>
      </c>
      <c r="C3" s="34" t="s">
        <v>598</v>
      </c>
      <c r="D3" s="34" t="s">
        <v>6196</v>
      </c>
      <c r="E3" s="34" t="s">
        <v>6197</v>
      </c>
      <c r="F3" s="34">
        <v>1</v>
      </c>
      <c r="G3" s="34" t="b">
        <v>1</v>
      </c>
      <c r="H3" s="34">
        <v>1</v>
      </c>
      <c r="I3" s="34">
        <v>1</v>
      </c>
      <c r="J3" s="34"/>
      <c r="K3" s="34"/>
      <c r="L3" s="34"/>
    </row>
    <row r="4" spans="1:13" ht="52" customHeight="1" x14ac:dyDescent="0.2">
      <c r="A4" s="34">
        <v>17312</v>
      </c>
      <c r="B4" s="34">
        <v>3</v>
      </c>
      <c r="C4" s="34" t="s">
        <v>600</v>
      </c>
      <c r="D4" s="34" t="s">
        <v>6198</v>
      </c>
      <c r="E4" s="34" t="s">
        <v>6199</v>
      </c>
      <c r="F4" s="34">
        <v>1</v>
      </c>
      <c r="G4" s="34" t="b">
        <v>1</v>
      </c>
      <c r="H4" s="34">
        <v>3</v>
      </c>
      <c r="I4" s="34">
        <v>3</v>
      </c>
      <c r="J4" s="34"/>
      <c r="K4" s="34"/>
      <c r="L4" s="34"/>
    </row>
    <row r="5" spans="1:13" ht="15.75" customHeight="1" x14ac:dyDescent="0.2">
      <c r="A5" s="34">
        <v>17312</v>
      </c>
      <c r="B5" s="34">
        <v>4</v>
      </c>
      <c r="C5" s="34" t="s">
        <v>601</v>
      </c>
      <c r="D5" s="34" t="s">
        <v>6200</v>
      </c>
      <c r="E5" s="34" t="s">
        <v>6201</v>
      </c>
      <c r="F5" s="34">
        <v>1</v>
      </c>
      <c r="G5" s="34" t="b">
        <v>1</v>
      </c>
      <c r="H5" s="34">
        <v>2</v>
      </c>
      <c r="I5" s="34">
        <v>2</v>
      </c>
      <c r="J5" s="34"/>
      <c r="K5" s="34"/>
      <c r="L5" s="34"/>
    </row>
    <row r="6" spans="1:13" ht="15.75" customHeight="1" x14ac:dyDescent="0.2">
      <c r="A6" s="34">
        <v>17312</v>
      </c>
      <c r="B6" s="34">
        <v>5</v>
      </c>
      <c r="C6" s="34" t="s">
        <v>604</v>
      </c>
      <c r="D6" s="34" t="s">
        <v>6202</v>
      </c>
      <c r="E6" s="34" t="s">
        <v>6203</v>
      </c>
      <c r="F6" s="34">
        <v>1</v>
      </c>
      <c r="G6" s="34" t="b">
        <v>1</v>
      </c>
      <c r="H6" s="34">
        <v>1</v>
      </c>
      <c r="I6" s="34">
        <v>1</v>
      </c>
      <c r="J6" s="34"/>
      <c r="K6" s="34"/>
      <c r="L6" s="34"/>
    </row>
    <row r="7" spans="1:13" ht="15.75" customHeight="1" x14ac:dyDescent="0.2">
      <c r="A7" s="34">
        <v>17312</v>
      </c>
      <c r="B7" s="34">
        <v>6</v>
      </c>
      <c r="C7" s="34" t="s">
        <v>605</v>
      </c>
      <c r="D7" s="34" t="s">
        <v>6204</v>
      </c>
      <c r="E7" s="34" t="s">
        <v>6205</v>
      </c>
      <c r="F7" s="34">
        <v>1</v>
      </c>
      <c r="G7" s="34" t="b">
        <v>1</v>
      </c>
      <c r="H7" s="34">
        <v>1</v>
      </c>
      <c r="I7" s="34">
        <v>1</v>
      </c>
      <c r="J7" s="34"/>
      <c r="K7" s="34"/>
      <c r="L7" s="34"/>
    </row>
    <row r="8" spans="1:13" ht="15.75" customHeight="1" x14ac:dyDescent="0.2">
      <c r="A8" s="34">
        <v>17312</v>
      </c>
      <c r="B8" s="34">
        <v>7</v>
      </c>
      <c r="C8" s="34" t="s">
        <v>606</v>
      </c>
      <c r="D8" s="34" t="s">
        <v>6206</v>
      </c>
      <c r="E8" s="34" t="s">
        <v>6207</v>
      </c>
      <c r="F8" s="34">
        <v>1</v>
      </c>
      <c r="G8" s="34" t="b">
        <v>1</v>
      </c>
      <c r="H8" s="34">
        <v>2</v>
      </c>
      <c r="I8" s="34">
        <v>2</v>
      </c>
      <c r="J8" s="34"/>
      <c r="K8" s="34"/>
      <c r="L8" s="34"/>
      <c r="M8" s="50">
        <v>1</v>
      </c>
    </row>
    <row r="9" spans="1:13" ht="15.75" customHeight="1" x14ac:dyDescent="0.2">
      <c r="A9" s="34">
        <v>17312</v>
      </c>
      <c r="B9" s="34">
        <v>8</v>
      </c>
      <c r="C9" s="34" t="s">
        <v>607</v>
      </c>
      <c r="D9" s="34" t="s">
        <v>6879</v>
      </c>
      <c r="E9" s="34" t="s">
        <v>6880</v>
      </c>
      <c r="F9" s="34">
        <v>2</v>
      </c>
      <c r="G9" s="34" t="b">
        <v>1</v>
      </c>
      <c r="H9" s="34">
        <v>2</v>
      </c>
      <c r="I9" s="34"/>
      <c r="J9" s="34">
        <v>2</v>
      </c>
      <c r="K9" s="34"/>
      <c r="L9" s="34"/>
      <c r="M9" s="50">
        <v>1</v>
      </c>
    </row>
    <row r="10" spans="1:13" ht="15.75" customHeight="1" x14ac:dyDescent="0.2">
      <c r="A10" s="34">
        <v>17313</v>
      </c>
      <c r="B10" s="34">
        <v>9</v>
      </c>
      <c r="C10" s="34" t="s">
        <v>608</v>
      </c>
      <c r="D10" s="34" t="s">
        <v>6210</v>
      </c>
      <c r="E10" s="34" t="s">
        <v>6211</v>
      </c>
      <c r="F10" s="34">
        <v>1</v>
      </c>
      <c r="G10" s="34" t="b">
        <v>1</v>
      </c>
      <c r="H10" s="34">
        <v>4</v>
      </c>
      <c r="I10" s="34">
        <v>4</v>
      </c>
      <c r="J10" s="34"/>
      <c r="K10" s="34"/>
      <c r="L10" s="34"/>
    </row>
    <row r="11" spans="1:13" ht="15.75" customHeight="1" x14ac:dyDescent="0.2">
      <c r="A11" s="34">
        <v>17314</v>
      </c>
      <c r="B11" s="34">
        <v>10</v>
      </c>
      <c r="C11" s="34" t="s">
        <v>611</v>
      </c>
      <c r="D11" s="34" t="s">
        <v>6881</v>
      </c>
      <c r="E11" s="34" t="s">
        <v>6882</v>
      </c>
      <c r="F11" s="34">
        <v>3</v>
      </c>
      <c r="G11" s="34" t="b">
        <v>1</v>
      </c>
      <c r="H11" s="34">
        <v>1</v>
      </c>
      <c r="I11" s="34">
        <v>1</v>
      </c>
      <c r="J11" s="34"/>
      <c r="K11" s="34"/>
      <c r="L11" s="34"/>
    </row>
    <row r="12" spans="1:13" ht="15.75" customHeight="1" x14ac:dyDescent="0.2">
      <c r="A12" s="34">
        <v>17314</v>
      </c>
      <c r="B12" s="34">
        <v>11</v>
      </c>
      <c r="C12" s="34" t="s">
        <v>614</v>
      </c>
      <c r="D12" s="34" t="s">
        <v>6883</v>
      </c>
      <c r="E12" s="34" t="s">
        <v>6884</v>
      </c>
      <c r="F12" s="34">
        <v>2</v>
      </c>
      <c r="G12" s="34" t="b">
        <v>1</v>
      </c>
      <c r="H12" s="34">
        <v>1</v>
      </c>
      <c r="I12" s="34">
        <v>1</v>
      </c>
      <c r="J12" s="34"/>
      <c r="K12" s="34"/>
      <c r="L12" s="34"/>
    </row>
    <row r="13" spans="1:13" ht="408.75" customHeight="1" x14ac:dyDescent="0.2">
      <c r="A13" s="34">
        <v>17314</v>
      </c>
      <c r="B13" s="34">
        <v>12</v>
      </c>
      <c r="C13" s="34" t="s">
        <v>617</v>
      </c>
      <c r="D13" s="34" t="s">
        <v>6216</v>
      </c>
      <c r="E13" s="34" t="s">
        <v>6885</v>
      </c>
      <c r="F13" s="34">
        <v>1</v>
      </c>
      <c r="G13" s="34" t="b">
        <v>1</v>
      </c>
      <c r="H13" s="34">
        <v>7</v>
      </c>
      <c r="I13" s="34">
        <v>2</v>
      </c>
      <c r="J13" s="34">
        <v>4</v>
      </c>
      <c r="K13" s="34">
        <v>1</v>
      </c>
      <c r="L13" s="34"/>
    </row>
    <row r="14" spans="1:13" ht="15.75" customHeight="1" x14ac:dyDescent="0.2">
      <c r="A14" s="34">
        <v>17314</v>
      </c>
      <c r="B14" s="34">
        <v>13</v>
      </c>
      <c r="C14" s="34" t="s">
        <v>620</v>
      </c>
      <c r="D14" s="34" t="s">
        <v>6218</v>
      </c>
      <c r="E14" s="34" t="s">
        <v>6219</v>
      </c>
      <c r="F14" s="34">
        <v>1</v>
      </c>
      <c r="G14" s="34" t="b">
        <v>1</v>
      </c>
      <c r="H14" s="34">
        <v>5</v>
      </c>
      <c r="I14" s="34">
        <v>5</v>
      </c>
      <c r="J14" s="34"/>
      <c r="K14" s="34"/>
      <c r="L14" s="34"/>
    </row>
    <row r="15" spans="1:13" ht="15.75" customHeight="1" x14ac:dyDescent="0.2">
      <c r="A15" s="34">
        <v>17314</v>
      </c>
      <c r="B15" s="34">
        <v>14</v>
      </c>
      <c r="C15" s="34" t="s">
        <v>623</v>
      </c>
      <c r="D15" s="34" t="s">
        <v>6220</v>
      </c>
      <c r="E15" s="34" t="s">
        <v>6221</v>
      </c>
      <c r="F15" s="34">
        <v>1</v>
      </c>
      <c r="G15" s="34" t="b">
        <v>1</v>
      </c>
      <c r="H15" s="34">
        <v>4</v>
      </c>
      <c r="I15" s="34">
        <v>3</v>
      </c>
      <c r="J15" s="34"/>
      <c r="K15" s="34"/>
      <c r="L15" s="34">
        <v>1</v>
      </c>
    </row>
    <row r="16" spans="1:13" ht="15.75" customHeight="1" x14ac:dyDescent="0.2">
      <c r="A16" s="34">
        <v>17314</v>
      </c>
      <c r="B16" s="34">
        <v>15</v>
      </c>
      <c r="C16" s="34" t="s">
        <v>625</v>
      </c>
      <c r="D16" s="34" t="s">
        <v>6886</v>
      </c>
      <c r="E16" s="34" t="s">
        <v>6887</v>
      </c>
      <c r="F16" s="34">
        <v>2</v>
      </c>
      <c r="G16" s="34" t="b">
        <v>1</v>
      </c>
      <c r="H16" s="34">
        <v>1</v>
      </c>
      <c r="I16" s="34">
        <v>1</v>
      </c>
      <c r="J16" s="34"/>
      <c r="K16" s="34"/>
      <c r="L16" s="34"/>
    </row>
    <row r="17" spans="1:12" ht="15.75" customHeight="1" x14ac:dyDescent="0.2">
      <c r="A17" s="34">
        <v>17314</v>
      </c>
      <c r="B17" s="34">
        <v>16</v>
      </c>
      <c r="C17" s="34" t="s">
        <v>626</v>
      </c>
      <c r="D17" s="34" t="s">
        <v>6888</v>
      </c>
      <c r="E17" s="34" t="s">
        <v>6889</v>
      </c>
      <c r="F17" s="34">
        <v>3</v>
      </c>
      <c r="G17" s="34" t="b">
        <v>1</v>
      </c>
      <c r="H17" s="34">
        <v>5</v>
      </c>
      <c r="I17" s="34">
        <v>3</v>
      </c>
      <c r="J17" s="34"/>
      <c r="K17" s="34">
        <v>1</v>
      </c>
      <c r="L17" s="34">
        <v>1</v>
      </c>
    </row>
    <row r="18" spans="1:12" ht="15.75" customHeight="1" x14ac:dyDescent="0.2">
      <c r="A18" s="34">
        <v>17315</v>
      </c>
      <c r="B18" s="34">
        <v>17</v>
      </c>
      <c r="C18" s="34" t="s">
        <v>627</v>
      </c>
      <c r="D18" s="34" t="s">
        <v>6226</v>
      </c>
      <c r="E18" s="34" t="s">
        <v>6890</v>
      </c>
      <c r="F18" s="34">
        <v>1</v>
      </c>
      <c r="G18" s="34" t="b">
        <v>1</v>
      </c>
      <c r="H18" s="34">
        <v>3</v>
      </c>
      <c r="I18" s="34">
        <v>3</v>
      </c>
      <c r="J18" s="34"/>
      <c r="K18" s="34"/>
      <c r="L18" s="34"/>
    </row>
    <row r="19" spans="1:12" ht="15.75" customHeight="1" x14ac:dyDescent="0.2">
      <c r="A19" s="34">
        <v>17315</v>
      </c>
      <c r="B19" s="34">
        <v>18</v>
      </c>
      <c r="C19" s="34" t="s">
        <v>629</v>
      </c>
      <c r="D19" s="34" t="s">
        <v>6228</v>
      </c>
      <c r="E19" s="34" t="s">
        <v>6891</v>
      </c>
      <c r="F19" s="34">
        <v>1</v>
      </c>
      <c r="G19" s="34" t="b">
        <v>1</v>
      </c>
      <c r="H19" s="34">
        <v>2</v>
      </c>
      <c r="I19" s="34">
        <v>2</v>
      </c>
      <c r="J19" s="34"/>
      <c r="K19" s="34"/>
      <c r="L19" s="34"/>
    </row>
    <row r="20" spans="1:12" ht="15.75" customHeight="1" x14ac:dyDescent="0.2">
      <c r="A20" s="34">
        <v>17315</v>
      </c>
      <c r="B20" s="34">
        <v>19</v>
      </c>
      <c r="C20" s="34" t="s">
        <v>632</v>
      </c>
      <c r="D20" s="34" t="s">
        <v>6230</v>
      </c>
      <c r="E20" s="34" t="s">
        <v>6892</v>
      </c>
      <c r="F20" s="34">
        <v>1</v>
      </c>
      <c r="G20" s="34" t="b">
        <v>1</v>
      </c>
      <c r="H20" s="34">
        <v>5</v>
      </c>
      <c r="I20" s="34">
        <v>5</v>
      </c>
      <c r="J20" s="34"/>
      <c r="K20" s="34"/>
      <c r="L20" s="34"/>
    </row>
    <row r="21" spans="1:12" ht="15.75" customHeight="1" x14ac:dyDescent="0.2">
      <c r="A21" s="34">
        <v>17315</v>
      </c>
      <c r="B21" s="34">
        <v>20</v>
      </c>
      <c r="C21" s="34" t="s">
        <v>633</v>
      </c>
      <c r="D21" s="34" t="s">
        <v>6232</v>
      </c>
      <c r="E21" s="34" t="s">
        <v>6893</v>
      </c>
      <c r="F21" s="34">
        <v>1</v>
      </c>
      <c r="G21" s="34" t="b">
        <v>1</v>
      </c>
      <c r="H21" s="34">
        <v>1</v>
      </c>
      <c r="I21" s="34">
        <v>1</v>
      </c>
      <c r="J21" s="34"/>
      <c r="K21" s="34"/>
      <c r="L21" s="34"/>
    </row>
    <row r="22" spans="1:12" ht="15.75" customHeight="1" x14ac:dyDescent="0.2">
      <c r="A22" s="34">
        <v>17315</v>
      </c>
      <c r="B22" s="34">
        <v>21</v>
      </c>
      <c r="C22" s="34" t="s">
        <v>634</v>
      </c>
      <c r="D22" s="34" t="s">
        <v>6234</v>
      </c>
      <c r="E22" s="34" t="s">
        <v>6235</v>
      </c>
      <c r="F22" s="34">
        <v>1</v>
      </c>
      <c r="G22" s="34" t="b">
        <v>1</v>
      </c>
      <c r="H22" s="34">
        <v>4</v>
      </c>
      <c r="I22" s="34">
        <v>3</v>
      </c>
      <c r="J22" s="34"/>
      <c r="K22" s="34"/>
      <c r="L22" s="34">
        <v>1</v>
      </c>
    </row>
    <row r="23" spans="1:12" ht="15.75" customHeight="1" x14ac:dyDescent="0.2">
      <c r="A23" s="34">
        <v>17316</v>
      </c>
      <c r="B23" s="34">
        <v>22</v>
      </c>
      <c r="C23" s="34" t="s">
        <v>637</v>
      </c>
      <c r="D23" s="34" t="s">
        <v>6236</v>
      </c>
      <c r="E23" s="34" t="s">
        <v>6237</v>
      </c>
      <c r="F23" s="34">
        <v>1</v>
      </c>
      <c r="G23" s="34" t="b">
        <v>1</v>
      </c>
      <c r="H23" s="34">
        <v>3</v>
      </c>
      <c r="I23" s="34">
        <v>2</v>
      </c>
      <c r="J23" s="34">
        <v>1</v>
      </c>
      <c r="K23" s="34"/>
      <c r="L23" s="34"/>
    </row>
    <row r="24" spans="1:12" ht="15.75" customHeight="1" x14ac:dyDescent="0.2">
      <c r="A24" s="34">
        <v>17316</v>
      </c>
      <c r="B24" s="34">
        <v>23</v>
      </c>
      <c r="C24" s="34" t="s">
        <v>640</v>
      </c>
      <c r="D24" s="34" t="s">
        <v>6238</v>
      </c>
      <c r="E24" s="34" t="s">
        <v>6239</v>
      </c>
      <c r="F24" s="34">
        <v>1</v>
      </c>
      <c r="G24" s="34" t="b">
        <v>1</v>
      </c>
      <c r="H24" s="34">
        <v>8</v>
      </c>
      <c r="I24" s="34">
        <v>8</v>
      </c>
      <c r="J24" s="34"/>
      <c r="K24" s="34"/>
      <c r="L24" s="34"/>
    </row>
    <row r="25" spans="1:12" ht="15.75" customHeight="1" x14ac:dyDescent="0.2">
      <c r="A25" s="34">
        <v>17316</v>
      </c>
      <c r="B25" s="34">
        <v>24</v>
      </c>
      <c r="C25" s="34" t="s">
        <v>642</v>
      </c>
      <c r="D25" s="34" t="s">
        <v>6240</v>
      </c>
      <c r="E25" s="34" t="s">
        <v>6241</v>
      </c>
      <c r="F25" s="34">
        <v>1</v>
      </c>
      <c r="G25" s="34" t="b">
        <v>1</v>
      </c>
      <c r="H25" s="34">
        <v>3</v>
      </c>
      <c r="I25" s="34">
        <v>2</v>
      </c>
      <c r="J25" s="34">
        <v>1</v>
      </c>
      <c r="K25" s="34"/>
      <c r="L25" s="34"/>
    </row>
    <row r="26" spans="1:12" ht="15.75" customHeight="1" x14ac:dyDescent="0.2">
      <c r="A26" s="34">
        <v>17316</v>
      </c>
      <c r="B26" s="34">
        <v>25</v>
      </c>
      <c r="C26" s="34" t="s">
        <v>643</v>
      </c>
      <c r="D26" s="34" t="s">
        <v>6894</v>
      </c>
      <c r="E26" s="34" t="s">
        <v>6895</v>
      </c>
      <c r="F26" s="34">
        <v>5</v>
      </c>
      <c r="G26" s="34" t="b">
        <v>0</v>
      </c>
      <c r="H26" s="34">
        <v>4</v>
      </c>
      <c r="I26" s="34">
        <v>4</v>
      </c>
      <c r="J26" s="34"/>
      <c r="K26" s="34"/>
      <c r="L26" s="34"/>
    </row>
    <row r="27" spans="1:12" ht="15.75" customHeight="1" x14ac:dyDescent="0.2">
      <c r="A27" s="34">
        <v>17317</v>
      </c>
      <c r="B27" s="34">
        <v>26</v>
      </c>
      <c r="C27" s="34" t="s">
        <v>644</v>
      </c>
      <c r="D27" s="34" t="s">
        <v>6244</v>
      </c>
      <c r="E27" s="34" t="s">
        <v>6245</v>
      </c>
      <c r="F27" s="34">
        <v>1</v>
      </c>
      <c r="G27" s="34" t="b">
        <v>1</v>
      </c>
      <c r="H27" s="34">
        <v>1</v>
      </c>
      <c r="I27" s="34">
        <v>1</v>
      </c>
      <c r="J27" s="34"/>
      <c r="K27" s="34"/>
      <c r="L27" s="34"/>
    </row>
    <row r="28" spans="1:12" ht="15.75" customHeight="1" x14ac:dyDescent="0.2">
      <c r="A28" s="34">
        <v>17318</v>
      </c>
      <c r="B28" s="34">
        <v>27</v>
      </c>
      <c r="C28" s="34" t="s">
        <v>647</v>
      </c>
      <c r="D28" s="34" t="s">
        <v>1808</v>
      </c>
      <c r="E28" s="34" t="s">
        <v>6246</v>
      </c>
      <c r="F28" s="34">
        <v>1</v>
      </c>
      <c r="G28" s="34" t="b">
        <v>1</v>
      </c>
      <c r="H28" s="34">
        <v>2</v>
      </c>
      <c r="I28" s="34">
        <v>2</v>
      </c>
      <c r="J28" s="34"/>
      <c r="K28" s="34"/>
      <c r="L28" s="34"/>
    </row>
    <row r="29" spans="1:12" ht="15.75" customHeight="1" x14ac:dyDescent="0.2">
      <c r="A29" s="34">
        <v>17318</v>
      </c>
      <c r="B29" s="34">
        <v>28</v>
      </c>
      <c r="C29" s="34" t="s">
        <v>649</v>
      </c>
      <c r="D29" s="34" t="s">
        <v>6247</v>
      </c>
      <c r="E29" s="34" t="s">
        <v>6248</v>
      </c>
      <c r="F29" s="34">
        <v>1</v>
      </c>
      <c r="G29" s="34" t="b">
        <v>1</v>
      </c>
      <c r="H29" s="34">
        <v>2</v>
      </c>
      <c r="I29" s="34">
        <v>1</v>
      </c>
      <c r="J29" s="34">
        <v>1</v>
      </c>
      <c r="K29" s="34"/>
      <c r="L29" s="34"/>
    </row>
    <row r="30" spans="1:12" ht="15.75" customHeight="1" x14ac:dyDescent="0.2">
      <c r="A30" s="34">
        <v>17318</v>
      </c>
      <c r="B30" s="34">
        <v>29</v>
      </c>
      <c r="C30" s="34" t="s">
        <v>650</v>
      </c>
      <c r="D30" s="34" t="s">
        <v>6249</v>
      </c>
      <c r="E30" s="34" t="s">
        <v>6250</v>
      </c>
      <c r="F30" s="34">
        <v>1</v>
      </c>
      <c r="G30" s="34" t="b">
        <v>1</v>
      </c>
      <c r="H30" s="34">
        <v>2</v>
      </c>
      <c r="I30" s="34">
        <v>2</v>
      </c>
      <c r="J30" s="34"/>
      <c r="K30" s="34"/>
      <c r="L30" s="34"/>
    </row>
    <row r="31" spans="1:12" ht="15.75" customHeight="1" x14ac:dyDescent="0.2">
      <c r="A31" s="34">
        <v>17318</v>
      </c>
      <c r="B31" s="34">
        <v>30</v>
      </c>
      <c r="C31" s="34" t="s">
        <v>651</v>
      </c>
      <c r="D31" s="34" t="s">
        <v>1808</v>
      </c>
      <c r="E31" s="34" t="s">
        <v>6251</v>
      </c>
      <c r="F31" s="34">
        <v>1</v>
      </c>
      <c r="G31" s="34" t="b">
        <v>1</v>
      </c>
      <c r="H31" s="34">
        <v>1</v>
      </c>
      <c r="I31" s="34">
        <v>1</v>
      </c>
      <c r="J31" s="34"/>
      <c r="K31" s="34"/>
      <c r="L31" s="34"/>
    </row>
    <row r="32" spans="1:12" ht="15.75" customHeight="1" x14ac:dyDescent="0.2">
      <c r="A32" s="34">
        <v>17319</v>
      </c>
      <c r="B32" s="34">
        <v>31</v>
      </c>
      <c r="C32" s="34" t="s">
        <v>654</v>
      </c>
      <c r="D32" s="34" t="s">
        <v>6252</v>
      </c>
      <c r="E32" s="34" t="s">
        <v>6253</v>
      </c>
      <c r="F32" s="34">
        <v>1</v>
      </c>
      <c r="G32" s="34" t="b">
        <v>1</v>
      </c>
      <c r="H32" s="34">
        <v>5</v>
      </c>
      <c r="I32" s="34">
        <v>5</v>
      </c>
      <c r="J32" s="34"/>
      <c r="K32" s="34"/>
      <c r="L32" s="34"/>
    </row>
    <row r="33" spans="1:13" ht="15.75" customHeight="1" x14ac:dyDescent="0.2">
      <c r="A33" s="34">
        <v>17320</v>
      </c>
      <c r="B33" s="34">
        <v>32</v>
      </c>
      <c r="C33" s="34" t="s">
        <v>656</v>
      </c>
      <c r="D33" s="34" t="s">
        <v>6254</v>
      </c>
      <c r="E33" s="34" t="s">
        <v>6255</v>
      </c>
      <c r="F33" s="34">
        <v>1</v>
      </c>
      <c r="G33" s="34" t="b">
        <v>1</v>
      </c>
      <c r="H33" s="34">
        <v>1</v>
      </c>
      <c r="I33" s="34">
        <v>1</v>
      </c>
      <c r="J33" s="34"/>
      <c r="K33" s="34"/>
      <c r="L33" s="34"/>
    </row>
    <row r="34" spans="1:13" ht="15.75" customHeight="1" x14ac:dyDescent="0.2">
      <c r="A34" s="34">
        <v>17320</v>
      </c>
      <c r="B34" s="34">
        <v>33</v>
      </c>
      <c r="C34" s="34" t="s">
        <v>658</v>
      </c>
      <c r="D34" s="34" t="s">
        <v>6256</v>
      </c>
      <c r="E34" s="34" t="s">
        <v>6257</v>
      </c>
      <c r="F34" s="34">
        <v>1</v>
      </c>
      <c r="G34" s="34" t="b">
        <v>1</v>
      </c>
      <c r="H34" s="34">
        <v>1</v>
      </c>
      <c r="I34" s="34">
        <v>1</v>
      </c>
      <c r="J34" s="34"/>
      <c r="K34" s="34"/>
      <c r="L34" s="34"/>
    </row>
    <row r="35" spans="1:13" ht="15.75" customHeight="1" x14ac:dyDescent="0.2">
      <c r="A35" s="34">
        <v>17322</v>
      </c>
      <c r="B35" s="34">
        <v>34</v>
      </c>
      <c r="C35" s="34" t="s">
        <v>659</v>
      </c>
      <c r="D35" s="34" t="s">
        <v>6258</v>
      </c>
      <c r="E35" s="34" t="s">
        <v>6259</v>
      </c>
      <c r="F35" s="34">
        <v>1</v>
      </c>
      <c r="G35" s="34" t="b">
        <v>1</v>
      </c>
      <c r="H35" s="34">
        <v>4</v>
      </c>
      <c r="I35" s="34">
        <v>4</v>
      </c>
      <c r="J35" s="34"/>
      <c r="K35" s="34"/>
      <c r="L35" s="34"/>
    </row>
    <row r="36" spans="1:13" ht="15.75" customHeight="1" x14ac:dyDescent="0.2">
      <c r="A36" s="34">
        <v>17323</v>
      </c>
      <c r="B36" s="34">
        <v>35</v>
      </c>
      <c r="C36" s="34" t="s">
        <v>661</v>
      </c>
      <c r="D36" s="34" t="s">
        <v>2050</v>
      </c>
      <c r="E36" s="34" t="s">
        <v>6260</v>
      </c>
      <c r="F36" s="34">
        <v>1</v>
      </c>
      <c r="G36" s="34" t="b">
        <v>1</v>
      </c>
      <c r="H36" s="34">
        <v>1</v>
      </c>
      <c r="I36" s="34">
        <v>1</v>
      </c>
      <c r="J36" s="34"/>
      <c r="K36" s="34"/>
      <c r="L36" s="34"/>
    </row>
    <row r="37" spans="1:13" ht="15.75" customHeight="1" x14ac:dyDescent="0.2">
      <c r="A37" s="34">
        <v>17323</v>
      </c>
      <c r="B37" s="34">
        <v>36</v>
      </c>
      <c r="C37" s="34" t="s">
        <v>664</v>
      </c>
      <c r="D37" s="34" t="s">
        <v>6261</v>
      </c>
      <c r="E37" s="34" t="s">
        <v>6262</v>
      </c>
      <c r="F37" s="34">
        <v>1</v>
      </c>
      <c r="G37" s="34" t="b">
        <v>1</v>
      </c>
      <c r="H37" s="34">
        <v>3</v>
      </c>
      <c r="I37" s="34">
        <v>3</v>
      </c>
      <c r="J37" s="34"/>
      <c r="K37" s="34"/>
      <c r="L37" s="34"/>
      <c r="M37" s="50">
        <v>1</v>
      </c>
    </row>
    <row r="38" spans="1:13" ht="15.75" customHeight="1" x14ac:dyDescent="0.2">
      <c r="A38" s="34">
        <v>17324</v>
      </c>
      <c r="B38" s="34">
        <v>37</v>
      </c>
      <c r="C38" s="34" t="s">
        <v>666</v>
      </c>
      <c r="D38" s="34" t="s">
        <v>6263</v>
      </c>
      <c r="E38" s="34" t="s">
        <v>6264</v>
      </c>
      <c r="F38" s="34">
        <v>1</v>
      </c>
      <c r="G38" s="34" t="b">
        <v>1</v>
      </c>
      <c r="H38" s="34">
        <v>1</v>
      </c>
      <c r="I38" s="34">
        <v>1</v>
      </c>
      <c r="J38" s="34"/>
      <c r="K38" s="34"/>
      <c r="L38" s="34"/>
    </row>
    <row r="39" spans="1:13" ht="15.75" customHeight="1" x14ac:dyDescent="0.2">
      <c r="A39" s="34">
        <v>17324</v>
      </c>
      <c r="B39" s="34">
        <v>38</v>
      </c>
      <c r="C39" s="34" t="s">
        <v>669</v>
      </c>
      <c r="D39" s="34" t="s">
        <v>6265</v>
      </c>
      <c r="E39" s="34" t="s">
        <v>6266</v>
      </c>
      <c r="F39" s="34">
        <v>1</v>
      </c>
      <c r="G39" s="34" t="b">
        <v>1</v>
      </c>
      <c r="H39" s="34">
        <v>3</v>
      </c>
      <c r="I39" s="34">
        <v>3</v>
      </c>
      <c r="J39" s="34"/>
      <c r="K39" s="34"/>
      <c r="L39" s="34"/>
    </row>
    <row r="40" spans="1:13" ht="15.75" customHeight="1" x14ac:dyDescent="0.2">
      <c r="A40" s="34">
        <v>17325</v>
      </c>
      <c r="B40" s="34">
        <v>39</v>
      </c>
      <c r="C40" s="34" t="s">
        <v>671</v>
      </c>
      <c r="D40" s="34" t="s">
        <v>6267</v>
      </c>
      <c r="E40" s="34" t="s">
        <v>6268</v>
      </c>
      <c r="F40" s="34">
        <v>1</v>
      </c>
      <c r="G40" s="34" t="b">
        <v>1</v>
      </c>
      <c r="H40" s="34">
        <v>2</v>
      </c>
      <c r="I40" s="34">
        <v>2</v>
      </c>
      <c r="J40" s="34"/>
      <c r="K40" s="34"/>
      <c r="L40" s="34"/>
    </row>
    <row r="41" spans="1:13" ht="15.75" customHeight="1" x14ac:dyDescent="0.2">
      <c r="A41" s="34">
        <v>17326</v>
      </c>
      <c r="B41" s="34">
        <v>40</v>
      </c>
      <c r="C41" s="34" t="s">
        <v>674</v>
      </c>
      <c r="D41" s="34" t="s">
        <v>6269</v>
      </c>
      <c r="E41" s="34" t="s">
        <v>6270</v>
      </c>
      <c r="F41" s="34">
        <v>1</v>
      </c>
      <c r="G41" s="34" t="b">
        <v>1</v>
      </c>
      <c r="H41" s="34">
        <v>2</v>
      </c>
      <c r="I41" s="34">
        <v>2</v>
      </c>
      <c r="J41" s="34"/>
      <c r="K41" s="34"/>
      <c r="L41" s="34"/>
    </row>
    <row r="42" spans="1:13" ht="15.75" customHeight="1" x14ac:dyDescent="0.2">
      <c r="A42" s="34">
        <v>17327</v>
      </c>
      <c r="B42" s="34">
        <v>41</v>
      </c>
      <c r="C42" s="34" t="s">
        <v>676</v>
      </c>
      <c r="D42" s="34" t="s">
        <v>6271</v>
      </c>
      <c r="E42" s="34" t="s">
        <v>6272</v>
      </c>
      <c r="F42" s="34">
        <v>1</v>
      </c>
      <c r="G42" s="34" t="b">
        <v>1</v>
      </c>
      <c r="H42" s="34">
        <v>2</v>
      </c>
      <c r="I42" s="34">
        <v>2</v>
      </c>
      <c r="J42" s="34"/>
      <c r="K42" s="34"/>
      <c r="L42" s="34"/>
    </row>
    <row r="43" spans="1:13" ht="15.75" customHeight="1" x14ac:dyDescent="0.2">
      <c r="A43" s="34">
        <v>17329</v>
      </c>
      <c r="B43" s="34">
        <v>42</v>
      </c>
      <c r="C43" s="34" t="s">
        <v>678</v>
      </c>
      <c r="D43" s="34" t="s">
        <v>6273</v>
      </c>
      <c r="E43" s="34" t="s">
        <v>6274</v>
      </c>
      <c r="F43" s="34">
        <v>1</v>
      </c>
      <c r="G43" s="34" t="b">
        <v>1</v>
      </c>
      <c r="H43" s="34">
        <v>3</v>
      </c>
      <c r="I43" s="34">
        <v>1</v>
      </c>
      <c r="J43" s="34"/>
      <c r="K43" s="34">
        <v>1</v>
      </c>
      <c r="L43" s="34">
        <v>1</v>
      </c>
    </row>
    <row r="44" spans="1:13" ht="15.75" customHeight="1" x14ac:dyDescent="0.2">
      <c r="A44" s="34">
        <v>17329</v>
      </c>
      <c r="B44" s="34">
        <v>43</v>
      </c>
      <c r="C44" s="34" t="s">
        <v>680</v>
      </c>
      <c r="D44" s="34" t="s">
        <v>6896</v>
      </c>
      <c r="E44" s="34" t="s">
        <v>6897</v>
      </c>
      <c r="F44" s="34">
        <v>5</v>
      </c>
      <c r="G44" s="34" t="b">
        <v>0</v>
      </c>
      <c r="H44" s="34">
        <v>1</v>
      </c>
      <c r="I44" s="34">
        <v>1</v>
      </c>
      <c r="J44" s="34"/>
      <c r="K44" s="34"/>
      <c r="L44" s="34"/>
      <c r="M44" s="50">
        <v>1</v>
      </c>
    </row>
    <row r="45" spans="1:13" ht="15.75" customHeight="1" x14ac:dyDescent="0.2">
      <c r="A45" s="34">
        <v>17329</v>
      </c>
      <c r="B45" s="34">
        <v>44</v>
      </c>
      <c r="C45" s="34" t="s">
        <v>683</v>
      </c>
      <c r="D45" s="34" t="s">
        <v>6277</v>
      </c>
      <c r="E45" s="34" t="s">
        <v>6278</v>
      </c>
      <c r="F45" s="34">
        <v>1</v>
      </c>
      <c r="G45" s="34" t="b">
        <v>1</v>
      </c>
      <c r="H45" s="34">
        <v>4</v>
      </c>
      <c r="I45" s="34">
        <v>3</v>
      </c>
      <c r="J45" s="34">
        <v>1</v>
      </c>
      <c r="K45" s="34"/>
      <c r="L45" s="34"/>
    </row>
    <row r="46" spans="1:13" ht="15.75" customHeight="1" x14ac:dyDescent="0.2">
      <c r="A46" s="34">
        <v>17329</v>
      </c>
      <c r="B46" s="34">
        <v>45</v>
      </c>
      <c r="C46" s="34" t="s">
        <v>684</v>
      </c>
      <c r="D46" s="34" t="s">
        <v>6279</v>
      </c>
      <c r="E46" s="34" t="s">
        <v>6898</v>
      </c>
      <c r="F46" s="34">
        <v>1</v>
      </c>
      <c r="G46" s="34" t="b">
        <v>1</v>
      </c>
      <c r="H46" s="34">
        <v>6</v>
      </c>
      <c r="I46" s="34">
        <v>3</v>
      </c>
      <c r="J46" s="34">
        <v>2</v>
      </c>
      <c r="K46" s="34"/>
      <c r="L46" s="34">
        <v>1</v>
      </c>
    </row>
    <row r="47" spans="1:13" ht="15.75" customHeight="1" x14ac:dyDescent="0.2">
      <c r="A47" s="34">
        <v>17329</v>
      </c>
      <c r="B47" s="34">
        <v>46</v>
      </c>
      <c r="C47" s="34" t="s">
        <v>687</v>
      </c>
      <c r="D47" s="34" t="s">
        <v>6281</v>
      </c>
      <c r="E47" s="34" t="s">
        <v>6282</v>
      </c>
      <c r="F47" s="34">
        <v>1</v>
      </c>
      <c r="G47" s="34" t="b">
        <v>1</v>
      </c>
      <c r="H47" s="34">
        <v>1</v>
      </c>
      <c r="I47" s="34">
        <v>1</v>
      </c>
      <c r="J47" s="34"/>
      <c r="K47" s="34"/>
      <c r="L47" s="34"/>
    </row>
    <row r="48" spans="1:13" ht="15.75" customHeight="1" x14ac:dyDescent="0.2">
      <c r="A48" s="34">
        <v>17330</v>
      </c>
      <c r="B48" s="34">
        <v>47</v>
      </c>
      <c r="C48" s="34" t="s">
        <v>688</v>
      </c>
      <c r="D48" s="34" t="s">
        <v>6283</v>
      </c>
      <c r="E48" s="34" t="s">
        <v>6284</v>
      </c>
      <c r="F48" s="34">
        <v>1</v>
      </c>
      <c r="G48" s="34" t="b">
        <v>1</v>
      </c>
      <c r="H48" s="34">
        <v>3</v>
      </c>
      <c r="I48" s="34">
        <v>3</v>
      </c>
      <c r="J48" s="34"/>
      <c r="K48" s="34"/>
      <c r="L48" s="34"/>
    </row>
    <row r="49" spans="1:13" ht="15.75" customHeight="1" x14ac:dyDescent="0.2">
      <c r="A49" s="34">
        <v>17330</v>
      </c>
      <c r="B49" s="34">
        <v>48</v>
      </c>
      <c r="C49" s="34" t="s">
        <v>691</v>
      </c>
      <c r="D49" s="34" t="s">
        <v>6285</v>
      </c>
      <c r="E49" s="34" t="s">
        <v>6286</v>
      </c>
      <c r="F49" s="34">
        <v>1</v>
      </c>
      <c r="G49" s="34" t="b">
        <v>1</v>
      </c>
      <c r="H49" s="34">
        <v>3</v>
      </c>
      <c r="I49" s="34">
        <v>2</v>
      </c>
      <c r="J49" s="34"/>
      <c r="K49" s="34"/>
      <c r="L49" s="34">
        <v>1</v>
      </c>
    </row>
    <row r="50" spans="1:13" ht="15.75" customHeight="1" x14ac:dyDescent="0.2">
      <c r="A50" s="34">
        <v>17330</v>
      </c>
      <c r="B50" s="34">
        <v>49</v>
      </c>
      <c r="C50" s="34" t="s">
        <v>693</v>
      </c>
      <c r="D50" s="34" t="s">
        <v>6287</v>
      </c>
      <c r="E50" s="34" t="s">
        <v>6288</v>
      </c>
      <c r="F50" s="34">
        <v>1</v>
      </c>
      <c r="G50" s="34" t="b">
        <v>1</v>
      </c>
      <c r="H50" s="34">
        <v>2</v>
      </c>
      <c r="I50" s="34">
        <v>2</v>
      </c>
      <c r="J50" s="34"/>
      <c r="K50" s="34"/>
      <c r="L50" s="34"/>
    </row>
    <row r="51" spans="1:13" ht="15.75" customHeight="1" x14ac:dyDescent="0.2">
      <c r="A51" s="34">
        <v>17330</v>
      </c>
      <c r="B51" s="34">
        <v>50</v>
      </c>
      <c r="C51" s="34" t="s">
        <v>696</v>
      </c>
      <c r="D51" s="34" t="s">
        <v>6289</v>
      </c>
      <c r="E51" s="34" t="s">
        <v>6290</v>
      </c>
      <c r="F51" s="34">
        <v>1</v>
      </c>
      <c r="G51" s="34" t="b">
        <v>1</v>
      </c>
      <c r="H51" s="34">
        <v>3</v>
      </c>
      <c r="I51" s="34">
        <v>2</v>
      </c>
      <c r="J51" s="34">
        <v>1</v>
      </c>
      <c r="K51" s="34"/>
      <c r="L51" s="34"/>
    </row>
    <row r="52" spans="1:13" ht="15.75" customHeight="1" x14ac:dyDescent="0.2">
      <c r="A52" s="34">
        <v>17330</v>
      </c>
      <c r="B52" s="34">
        <v>51</v>
      </c>
      <c r="C52" s="34" t="s">
        <v>699</v>
      </c>
      <c r="D52" s="34" t="s">
        <v>6899</v>
      </c>
      <c r="E52" s="34" t="s">
        <v>6900</v>
      </c>
      <c r="F52" s="34">
        <v>2</v>
      </c>
      <c r="G52" s="34" t="b">
        <v>1</v>
      </c>
      <c r="H52" s="34">
        <v>1</v>
      </c>
      <c r="I52" s="34"/>
      <c r="J52" s="34"/>
      <c r="K52" s="34"/>
      <c r="L52" s="34">
        <v>1</v>
      </c>
      <c r="M52" s="50">
        <v>1</v>
      </c>
    </row>
    <row r="53" spans="1:13" ht="15.75" customHeight="1" x14ac:dyDescent="0.2">
      <c r="A53" s="34">
        <v>17330</v>
      </c>
      <c r="B53" s="34">
        <v>52</v>
      </c>
      <c r="C53" s="34" t="s">
        <v>700</v>
      </c>
      <c r="D53" s="34" t="s">
        <v>6293</v>
      </c>
      <c r="E53" s="34" t="s">
        <v>6294</v>
      </c>
      <c r="F53" s="34">
        <v>1</v>
      </c>
      <c r="G53" s="34" t="b">
        <v>1</v>
      </c>
      <c r="H53" s="34">
        <v>1</v>
      </c>
      <c r="I53" s="34">
        <v>1</v>
      </c>
      <c r="J53" s="34"/>
      <c r="K53" s="34"/>
      <c r="L53" s="34"/>
    </row>
    <row r="54" spans="1:13" ht="15.75" customHeight="1" x14ac:dyDescent="0.2">
      <c r="A54" s="34">
        <v>17330</v>
      </c>
      <c r="B54" s="34">
        <v>53</v>
      </c>
      <c r="C54" s="34" t="s">
        <v>703</v>
      </c>
      <c r="D54" s="34" t="s">
        <v>6295</v>
      </c>
      <c r="E54" s="34" t="s">
        <v>6296</v>
      </c>
      <c r="F54" s="34">
        <v>1</v>
      </c>
      <c r="G54" s="34" t="b">
        <v>1</v>
      </c>
      <c r="H54" s="34">
        <v>1</v>
      </c>
      <c r="I54" s="34">
        <v>1</v>
      </c>
      <c r="J54" s="34"/>
      <c r="K54" s="34"/>
      <c r="L54" s="34"/>
    </row>
    <row r="55" spans="1:13" ht="15.75" customHeight="1" x14ac:dyDescent="0.2">
      <c r="A55" s="34">
        <v>17330</v>
      </c>
      <c r="B55" s="34">
        <v>54</v>
      </c>
      <c r="C55" s="34" t="s">
        <v>704</v>
      </c>
      <c r="D55" s="34" t="s">
        <v>6901</v>
      </c>
      <c r="E55" s="34" t="s">
        <v>6902</v>
      </c>
      <c r="F55" s="34">
        <v>2</v>
      </c>
      <c r="G55" s="34" t="b">
        <v>1</v>
      </c>
      <c r="H55" s="34">
        <v>1</v>
      </c>
      <c r="I55" s="34">
        <v>1</v>
      </c>
      <c r="J55" s="34"/>
      <c r="K55" s="34"/>
      <c r="L55" s="34"/>
    </row>
    <row r="56" spans="1:13" ht="15.75" customHeight="1" x14ac:dyDescent="0.2">
      <c r="A56" s="34">
        <v>17330</v>
      </c>
      <c r="B56" s="34">
        <v>55</v>
      </c>
      <c r="C56" s="34" t="s">
        <v>707</v>
      </c>
      <c r="D56" s="34" t="s">
        <v>6298</v>
      </c>
      <c r="E56" s="34" t="s">
        <v>6903</v>
      </c>
      <c r="F56" s="34">
        <v>1</v>
      </c>
      <c r="G56" s="34" t="b">
        <v>1</v>
      </c>
      <c r="H56" s="34">
        <v>4</v>
      </c>
      <c r="I56" s="34">
        <v>4</v>
      </c>
      <c r="J56" s="34"/>
      <c r="K56" s="34"/>
      <c r="L56" s="34"/>
    </row>
    <row r="57" spans="1:13" ht="15.75" customHeight="1" x14ac:dyDescent="0.2">
      <c r="A57" s="34">
        <v>17330</v>
      </c>
      <c r="B57" s="34">
        <v>56</v>
      </c>
      <c r="C57" s="34" t="s">
        <v>708</v>
      </c>
      <c r="D57" s="34" t="s">
        <v>6904</v>
      </c>
      <c r="E57" s="34" t="s">
        <v>6905</v>
      </c>
      <c r="F57" s="34">
        <v>2</v>
      </c>
      <c r="G57" s="34" t="b">
        <v>1</v>
      </c>
      <c r="H57" s="34">
        <v>3</v>
      </c>
      <c r="I57" s="34">
        <v>2</v>
      </c>
      <c r="J57" s="34">
        <v>1</v>
      </c>
      <c r="K57" s="34"/>
      <c r="L57" s="34"/>
    </row>
    <row r="58" spans="1:13" ht="15.75" customHeight="1" x14ac:dyDescent="0.2">
      <c r="A58" s="34">
        <v>17330</v>
      </c>
      <c r="B58" s="34">
        <v>57</v>
      </c>
      <c r="C58" s="34" t="s">
        <v>709</v>
      </c>
      <c r="D58" s="34" t="s">
        <v>6302</v>
      </c>
      <c r="E58" s="34" t="s">
        <v>6906</v>
      </c>
      <c r="F58" s="34">
        <v>1</v>
      </c>
      <c r="G58" s="34" t="b">
        <v>1</v>
      </c>
      <c r="H58" s="34">
        <v>1</v>
      </c>
      <c r="I58" s="34">
        <v>1</v>
      </c>
      <c r="J58" s="34"/>
      <c r="K58" s="34"/>
      <c r="L58" s="34"/>
    </row>
    <row r="59" spans="1:13" ht="15.75" customHeight="1" x14ac:dyDescent="0.2">
      <c r="A59" s="34">
        <v>17330</v>
      </c>
      <c r="B59" s="34">
        <v>58</v>
      </c>
      <c r="C59" s="34" t="s">
        <v>710</v>
      </c>
      <c r="D59" s="34" t="s">
        <v>6304</v>
      </c>
      <c r="E59" s="34" t="s">
        <v>6305</v>
      </c>
      <c r="F59" s="34">
        <v>1</v>
      </c>
      <c r="G59" s="34" t="b">
        <v>1</v>
      </c>
      <c r="H59" s="34">
        <v>3</v>
      </c>
      <c r="I59" s="34">
        <v>1</v>
      </c>
      <c r="J59" s="34">
        <v>2</v>
      </c>
      <c r="K59" s="34"/>
      <c r="L59" s="34"/>
    </row>
    <row r="60" spans="1:13" ht="15.75" customHeight="1" x14ac:dyDescent="0.2">
      <c r="A60" s="34">
        <v>17330</v>
      </c>
      <c r="B60" s="34">
        <v>59</v>
      </c>
      <c r="C60" s="34" t="s">
        <v>711</v>
      </c>
      <c r="D60" s="34" t="s">
        <v>6306</v>
      </c>
      <c r="E60" s="34" t="s">
        <v>6307</v>
      </c>
      <c r="F60" s="34">
        <v>1</v>
      </c>
      <c r="G60" s="34" t="b">
        <v>1</v>
      </c>
      <c r="H60" s="34">
        <v>1</v>
      </c>
      <c r="I60" s="34">
        <v>1</v>
      </c>
      <c r="J60" s="34"/>
      <c r="K60" s="34"/>
      <c r="L60" s="34"/>
      <c r="M60" s="50">
        <v>1</v>
      </c>
    </row>
    <row r="61" spans="1:13" ht="15.75" customHeight="1" x14ac:dyDescent="0.2">
      <c r="A61" s="34">
        <v>17330</v>
      </c>
      <c r="B61" s="34">
        <v>60</v>
      </c>
      <c r="C61" s="34" t="s">
        <v>712</v>
      </c>
      <c r="D61" s="34" t="s">
        <v>6308</v>
      </c>
      <c r="E61" s="34" t="s">
        <v>6309</v>
      </c>
      <c r="F61" s="34">
        <v>1</v>
      </c>
      <c r="G61" s="34" t="b">
        <v>1</v>
      </c>
      <c r="H61" s="34">
        <v>3</v>
      </c>
      <c r="I61" s="34">
        <v>2</v>
      </c>
      <c r="J61" s="34"/>
      <c r="K61" s="34"/>
      <c r="L61" s="34">
        <v>1</v>
      </c>
    </row>
    <row r="62" spans="1:13" ht="15.75" customHeight="1" x14ac:dyDescent="0.2">
      <c r="A62" s="34">
        <v>17330</v>
      </c>
      <c r="B62" s="34">
        <v>61</v>
      </c>
      <c r="C62" s="34" t="s">
        <v>713</v>
      </c>
      <c r="D62" s="34" t="s">
        <v>6310</v>
      </c>
      <c r="E62" s="34" t="s">
        <v>6311</v>
      </c>
      <c r="F62" s="34">
        <v>1</v>
      </c>
      <c r="G62" s="34" t="b">
        <v>1</v>
      </c>
      <c r="H62" s="34">
        <v>3</v>
      </c>
      <c r="I62" s="34">
        <v>2</v>
      </c>
      <c r="J62" s="34"/>
      <c r="K62" s="34">
        <v>1</v>
      </c>
      <c r="L62" s="34"/>
    </row>
    <row r="63" spans="1:13" ht="15.75" customHeight="1" x14ac:dyDescent="0.2">
      <c r="A63" s="34">
        <v>17330</v>
      </c>
      <c r="B63" s="34">
        <v>62</v>
      </c>
      <c r="C63" s="34" t="s">
        <v>714</v>
      </c>
      <c r="D63" s="34" t="s">
        <v>6312</v>
      </c>
      <c r="E63" s="34" t="s">
        <v>6313</v>
      </c>
      <c r="F63" s="34">
        <v>1</v>
      </c>
      <c r="G63" s="34" t="b">
        <v>1</v>
      </c>
      <c r="H63" s="34">
        <v>1</v>
      </c>
      <c r="I63" s="34">
        <v>1</v>
      </c>
      <c r="J63" s="34"/>
      <c r="K63" s="34"/>
      <c r="L63" s="34"/>
    </row>
    <row r="64" spans="1:13" ht="15.75" customHeight="1" x14ac:dyDescent="0.2">
      <c r="A64" s="34">
        <v>17331</v>
      </c>
      <c r="B64" s="34">
        <v>63</v>
      </c>
      <c r="C64" s="34" t="s">
        <v>715</v>
      </c>
      <c r="D64" s="34" t="s">
        <v>6314</v>
      </c>
      <c r="E64" s="34" t="s">
        <v>6315</v>
      </c>
      <c r="F64" s="34">
        <v>1</v>
      </c>
      <c r="G64" s="34" t="b">
        <v>1</v>
      </c>
      <c r="H64" s="34">
        <v>1</v>
      </c>
      <c r="I64" s="34">
        <v>1</v>
      </c>
      <c r="J64" s="34"/>
      <c r="K64" s="34"/>
      <c r="L64" s="34"/>
    </row>
    <row r="65" spans="1:13" ht="15.75" customHeight="1" x14ac:dyDescent="0.2">
      <c r="A65" s="34">
        <v>17331</v>
      </c>
      <c r="B65" s="34">
        <v>64</v>
      </c>
      <c r="C65" s="34" t="s">
        <v>717</v>
      </c>
      <c r="D65" s="34" t="s">
        <v>6316</v>
      </c>
      <c r="E65" s="34" t="s">
        <v>6317</v>
      </c>
      <c r="F65" s="34">
        <v>1</v>
      </c>
      <c r="G65" s="34" t="b">
        <v>1</v>
      </c>
      <c r="H65" s="34">
        <v>4</v>
      </c>
      <c r="I65" s="34">
        <v>4</v>
      </c>
      <c r="J65" s="34"/>
      <c r="K65" s="34"/>
      <c r="L65" s="34"/>
    </row>
    <row r="66" spans="1:13" ht="15.75" customHeight="1" x14ac:dyDescent="0.2">
      <c r="A66" s="34">
        <v>17331</v>
      </c>
      <c r="B66" s="34">
        <v>65</v>
      </c>
      <c r="C66" s="34" t="s">
        <v>718</v>
      </c>
      <c r="D66" s="34" t="s">
        <v>6318</v>
      </c>
      <c r="E66" s="34" t="s">
        <v>6319</v>
      </c>
      <c r="F66" s="34">
        <v>1</v>
      </c>
      <c r="G66" s="34" t="b">
        <v>1</v>
      </c>
      <c r="H66" s="34">
        <v>4</v>
      </c>
      <c r="I66" s="34">
        <v>4</v>
      </c>
      <c r="J66" s="34"/>
      <c r="K66" s="34"/>
      <c r="L66" s="34"/>
    </row>
    <row r="67" spans="1:13" ht="15.75" customHeight="1" x14ac:dyDescent="0.2">
      <c r="A67" s="34">
        <v>17331</v>
      </c>
      <c r="B67" s="34">
        <v>66</v>
      </c>
      <c r="C67" s="34" t="s">
        <v>719</v>
      </c>
      <c r="D67" s="34" t="s">
        <v>6907</v>
      </c>
      <c r="E67" s="34" t="s">
        <v>6908</v>
      </c>
      <c r="F67" s="34">
        <v>2</v>
      </c>
      <c r="G67" s="34" t="b">
        <v>1</v>
      </c>
      <c r="H67" s="34">
        <v>4</v>
      </c>
      <c r="I67" s="34">
        <v>4</v>
      </c>
      <c r="J67" s="34"/>
      <c r="K67" s="34"/>
      <c r="L67" s="34"/>
    </row>
    <row r="68" spans="1:13" ht="15.75" customHeight="1" x14ac:dyDescent="0.2">
      <c r="A68" s="34">
        <v>17331</v>
      </c>
      <c r="B68" s="34">
        <v>67</v>
      </c>
      <c r="C68" s="34" t="s">
        <v>722</v>
      </c>
      <c r="D68" s="34" t="s">
        <v>2672</v>
      </c>
      <c r="E68" s="34" t="s">
        <v>6322</v>
      </c>
      <c r="F68" s="34">
        <v>1</v>
      </c>
      <c r="G68" s="34" t="b">
        <v>1</v>
      </c>
      <c r="H68" s="34">
        <v>1</v>
      </c>
      <c r="I68" s="34">
        <v>1</v>
      </c>
      <c r="J68" s="34"/>
      <c r="K68" s="34"/>
      <c r="L68" s="34"/>
    </row>
    <row r="69" spans="1:13" ht="15.75" customHeight="1" x14ac:dyDescent="0.2">
      <c r="A69" s="34">
        <v>17332</v>
      </c>
      <c r="B69" s="34">
        <v>68</v>
      </c>
      <c r="C69" s="34" t="s">
        <v>723</v>
      </c>
      <c r="D69" s="34" t="s">
        <v>2728</v>
      </c>
      <c r="E69" s="34" t="s">
        <v>6323</v>
      </c>
      <c r="F69" s="34">
        <v>1</v>
      </c>
      <c r="G69" s="34" t="b">
        <v>1</v>
      </c>
      <c r="H69" s="34">
        <v>1</v>
      </c>
      <c r="I69" s="34">
        <v>1</v>
      </c>
      <c r="J69" s="34"/>
      <c r="K69" s="34"/>
      <c r="L69" s="34"/>
    </row>
    <row r="70" spans="1:13" ht="15.75" customHeight="1" x14ac:dyDescent="0.2">
      <c r="A70" s="34">
        <v>17332</v>
      </c>
      <c r="B70" s="34">
        <v>69</v>
      </c>
      <c r="C70" s="34" t="s">
        <v>725</v>
      </c>
      <c r="D70" s="34" t="s">
        <v>6324</v>
      </c>
      <c r="E70" s="34" t="s">
        <v>6325</v>
      </c>
      <c r="F70" s="34">
        <v>1</v>
      </c>
      <c r="G70" s="34" t="b">
        <v>1</v>
      </c>
      <c r="H70" s="34">
        <v>1</v>
      </c>
      <c r="I70" s="34">
        <v>1</v>
      </c>
      <c r="J70" s="34"/>
      <c r="K70" s="34"/>
      <c r="L70" s="34"/>
    </row>
    <row r="71" spans="1:13" ht="15.75" customHeight="1" x14ac:dyDescent="0.2">
      <c r="A71" s="34">
        <v>17332</v>
      </c>
      <c r="B71" s="34">
        <v>70</v>
      </c>
      <c r="C71" s="34" t="s">
        <v>728</v>
      </c>
      <c r="D71" s="34" t="s">
        <v>6909</v>
      </c>
      <c r="E71" s="34" t="s">
        <v>6910</v>
      </c>
      <c r="F71" s="34">
        <v>4</v>
      </c>
      <c r="G71" s="34" t="b">
        <v>1</v>
      </c>
      <c r="H71" s="34">
        <v>5</v>
      </c>
      <c r="I71" s="34">
        <v>1</v>
      </c>
      <c r="J71" s="34">
        <v>1</v>
      </c>
      <c r="K71" s="34">
        <v>2</v>
      </c>
      <c r="L71" s="34">
        <v>1</v>
      </c>
      <c r="M71" s="50">
        <v>1</v>
      </c>
    </row>
    <row r="72" spans="1:13" ht="15.75" customHeight="1" x14ac:dyDescent="0.2">
      <c r="A72" s="34">
        <v>17332</v>
      </c>
      <c r="B72" s="34">
        <v>71</v>
      </c>
      <c r="C72" s="34" t="s">
        <v>731</v>
      </c>
      <c r="D72" s="34" t="s">
        <v>6328</v>
      </c>
      <c r="E72" s="34" t="s">
        <v>6911</v>
      </c>
      <c r="F72" s="34">
        <v>1</v>
      </c>
      <c r="G72" s="34" t="b">
        <v>1</v>
      </c>
      <c r="H72" s="34">
        <v>2</v>
      </c>
      <c r="I72" s="34">
        <v>1</v>
      </c>
      <c r="J72" s="34">
        <v>1</v>
      </c>
      <c r="K72" s="34"/>
      <c r="L72" s="34"/>
    </row>
    <row r="73" spans="1:13" ht="15.75" customHeight="1" x14ac:dyDescent="0.2">
      <c r="A73" s="34">
        <v>17337</v>
      </c>
      <c r="B73" s="34">
        <v>72</v>
      </c>
      <c r="C73" s="34" t="s">
        <v>732</v>
      </c>
      <c r="D73" s="34" t="s">
        <v>6330</v>
      </c>
      <c r="E73" s="34" t="s">
        <v>6329</v>
      </c>
      <c r="F73" s="34">
        <v>1</v>
      </c>
      <c r="G73" s="34" t="b">
        <v>1</v>
      </c>
      <c r="H73" s="34">
        <v>2</v>
      </c>
      <c r="I73" s="34">
        <v>2</v>
      </c>
      <c r="J73" s="34"/>
      <c r="K73" s="34"/>
      <c r="L73" s="34"/>
    </row>
    <row r="74" spans="1:13" ht="15.75" customHeight="1" x14ac:dyDescent="0.2">
      <c r="A74" s="34">
        <v>17338</v>
      </c>
      <c r="B74" s="34">
        <v>73</v>
      </c>
      <c r="C74" s="34" t="s">
        <v>734</v>
      </c>
      <c r="D74" s="34" t="s">
        <v>6332</v>
      </c>
      <c r="E74" s="34" t="s">
        <v>6331</v>
      </c>
      <c r="F74" s="34">
        <v>5</v>
      </c>
      <c r="G74" s="34" t="b">
        <v>0</v>
      </c>
      <c r="H74" s="34">
        <v>3</v>
      </c>
      <c r="I74" s="34">
        <v>3</v>
      </c>
      <c r="J74" s="34"/>
      <c r="K74" s="34"/>
      <c r="L74" s="34"/>
    </row>
    <row r="75" spans="1:13" ht="15.75" customHeight="1" x14ac:dyDescent="0.2">
      <c r="A75" s="34">
        <v>17339</v>
      </c>
      <c r="B75" s="34">
        <v>74</v>
      </c>
      <c r="C75" s="34" t="s">
        <v>736</v>
      </c>
      <c r="D75" s="34" t="s">
        <v>6334</v>
      </c>
      <c r="E75" s="34" t="s">
        <v>6335</v>
      </c>
      <c r="F75" s="34">
        <v>1</v>
      </c>
      <c r="G75" s="34" t="b">
        <v>1</v>
      </c>
      <c r="H75" s="34">
        <v>1</v>
      </c>
      <c r="I75" s="34">
        <v>1</v>
      </c>
      <c r="J75" s="34"/>
      <c r="K75" s="34"/>
      <c r="L75" s="34"/>
    </row>
    <row r="76" spans="1:13" ht="15.75" customHeight="1" x14ac:dyDescent="0.2">
      <c r="A76" s="34">
        <v>17344</v>
      </c>
      <c r="B76" s="34">
        <v>75</v>
      </c>
      <c r="C76" s="34" t="s">
        <v>738</v>
      </c>
      <c r="D76" s="34" t="s">
        <v>6336</v>
      </c>
      <c r="E76" s="34" t="s">
        <v>6337</v>
      </c>
      <c r="F76" s="34">
        <v>1</v>
      </c>
      <c r="G76" s="34" t="b">
        <v>1</v>
      </c>
      <c r="H76" s="34">
        <v>1</v>
      </c>
      <c r="I76" s="34">
        <v>1</v>
      </c>
      <c r="J76" s="34"/>
      <c r="K76" s="34"/>
      <c r="L76" s="34"/>
    </row>
    <row r="77" spans="1:13" ht="15.75" customHeight="1" x14ac:dyDescent="0.2">
      <c r="A77" s="34">
        <v>17344</v>
      </c>
      <c r="B77" s="34">
        <v>76</v>
      </c>
      <c r="C77" s="34" t="s">
        <v>740</v>
      </c>
      <c r="D77" s="34" t="s">
        <v>6338</v>
      </c>
      <c r="E77" s="34" t="s">
        <v>6339</v>
      </c>
      <c r="F77" s="34">
        <v>1</v>
      </c>
      <c r="G77" s="34" t="b">
        <v>1</v>
      </c>
      <c r="H77" s="34">
        <v>3</v>
      </c>
      <c r="I77" s="34">
        <v>3</v>
      </c>
      <c r="J77" s="34"/>
      <c r="K77" s="34"/>
      <c r="L77" s="34"/>
    </row>
    <row r="78" spans="1:13" ht="15.75" customHeight="1" x14ac:dyDescent="0.2">
      <c r="A78" s="34">
        <v>17344</v>
      </c>
      <c r="B78" s="34">
        <v>77</v>
      </c>
      <c r="C78" s="34" t="s">
        <v>741</v>
      </c>
      <c r="D78" s="34" t="s">
        <v>6340</v>
      </c>
      <c r="E78" s="34" t="s">
        <v>6341</v>
      </c>
      <c r="F78" s="34">
        <v>1</v>
      </c>
      <c r="G78" s="34" t="b">
        <v>1</v>
      </c>
      <c r="H78" s="34">
        <v>2</v>
      </c>
      <c r="I78" s="34">
        <v>1</v>
      </c>
      <c r="J78" s="34">
        <v>1</v>
      </c>
      <c r="K78" s="34"/>
      <c r="L78" s="34"/>
    </row>
    <row r="79" spans="1:13" ht="15.75" customHeight="1" x14ac:dyDescent="0.2">
      <c r="A79" s="34">
        <v>17345</v>
      </c>
      <c r="B79" s="34">
        <v>78</v>
      </c>
      <c r="C79" s="34" t="s">
        <v>742</v>
      </c>
      <c r="D79" s="34" t="s">
        <v>6912</v>
      </c>
      <c r="E79" s="34" t="s">
        <v>6913</v>
      </c>
      <c r="F79" s="34">
        <v>5</v>
      </c>
      <c r="G79" s="34" t="b">
        <v>0</v>
      </c>
      <c r="H79" s="34">
        <v>6</v>
      </c>
      <c r="I79" s="34">
        <v>3</v>
      </c>
      <c r="J79" s="34">
        <v>3</v>
      </c>
      <c r="K79" s="34"/>
      <c r="L79" s="34"/>
      <c r="M79" s="50">
        <v>1</v>
      </c>
    </row>
    <row r="80" spans="1:13" ht="15.75" customHeight="1" x14ac:dyDescent="0.2">
      <c r="A80" s="34">
        <v>17345</v>
      </c>
      <c r="B80" s="34">
        <v>79</v>
      </c>
      <c r="C80" s="34" t="s">
        <v>744</v>
      </c>
      <c r="D80" s="34" t="s">
        <v>6344</v>
      </c>
      <c r="E80" s="34" t="s">
        <v>6345</v>
      </c>
      <c r="F80" s="34">
        <v>1</v>
      </c>
      <c r="G80" s="34" t="b">
        <v>1</v>
      </c>
      <c r="H80" s="34">
        <v>4</v>
      </c>
      <c r="I80" s="34">
        <v>4</v>
      </c>
      <c r="J80" s="34"/>
      <c r="K80" s="34"/>
      <c r="L80" s="34"/>
    </row>
    <row r="81" spans="1:13" ht="15.75" customHeight="1" x14ac:dyDescent="0.2">
      <c r="A81" s="34">
        <v>17345</v>
      </c>
      <c r="B81" s="34">
        <v>80</v>
      </c>
      <c r="C81" s="34" t="s">
        <v>745</v>
      </c>
      <c r="D81" s="34" t="s">
        <v>6346</v>
      </c>
      <c r="E81" s="34" t="s">
        <v>6347</v>
      </c>
      <c r="F81" s="34">
        <v>1</v>
      </c>
      <c r="G81" s="34" t="b">
        <v>1</v>
      </c>
      <c r="H81" s="34">
        <v>1</v>
      </c>
      <c r="I81" s="34">
        <v>1</v>
      </c>
      <c r="J81" s="34"/>
      <c r="K81" s="34"/>
      <c r="L81" s="34"/>
    </row>
    <row r="82" spans="1:13" ht="15.75" customHeight="1" x14ac:dyDescent="0.2">
      <c r="A82" s="34">
        <v>17345</v>
      </c>
      <c r="B82" s="34">
        <v>81</v>
      </c>
      <c r="C82" s="34" t="s">
        <v>746</v>
      </c>
      <c r="D82" s="34" t="s">
        <v>6914</v>
      </c>
      <c r="E82" s="34" t="s">
        <v>6915</v>
      </c>
      <c r="F82" s="34">
        <v>5</v>
      </c>
      <c r="G82" s="34" t="b">
        <v>0</v>
      </c>
      <c r="H82" s="34">
        <v>4</v>
      </c>
      <c r="I82" s="34">
        <v>3</v>
      </c>
      <c r="J82" s="34">
        <v>1</v>
      </c>
      <c r="K82" s="34"/>
      <c r="L82" s="34"/>
      <c r="M82" s="50">
        <v>1</v>
      </c>
    </row>
    <row r="83" spans="1:13" ht="15.75" customHeight="1" x14ac:dyDescent="0.2">
      <c r="A83" s="34">
        <v>17346</v>
      </c>
      <c r="B83" s="34">
        <v>82</v>
      </c>
      <c r="C83" s="34" t="s">
        <v>747</v>
      </c>
      <c r="D83" s="34" t="s">
        <v>6916</v>
      </c>
      <c r="E83" s="34" t="s">
        <v>6917</v>
      </c>
      <c r="F83" s="34">
        <v>5</v>
      </c>
      <c r="G83" s="34" t="b">
        <v>0</v>
      </c>
      <c r="H83" s="34">
        <v>1</v>
      </c>
      <c r="I83" s="34">
        <v>1</v>
      </c>
      <c r="J83" s="34"/>
      <c r="K83" s="34"/>
      <c r="L83" s="34"/>
      <c r="M83" s="50">
        <v>1</v>
      </c>
    </row>
    <row r="84" spans="1:13" ht="15.75" customHeight="1" x14ac:dyDescent="0.2">
      <c r="A84" s="34">
        <v>17347</v>
      </c>
      <c r="B84" s="34">
        <v>83</v>
      </c>
      <c r="C84" s="34" t="s">
        <v>749</v>
      </c>
      <c r="D84" s="34" t="s">
        <v>6352</v>
      </c>
      <c r="E84" s="34" t="s">
        <v>6353</v>
      </c>
      <c r="F84" s="34">
        <v>1</v>
      </c>
      <c r="G84" s="34" t="b">
        <v>1</v>
      </c>
      <c r="H84" s="34">
        <v>2</v>
      </c>
      <c r="I84" s="34">
        <v>2</v>
      </c>
      <c r="J84" s="34"/>
      <c r="K84" s="34"/>
      <c r="L84" s="34"/>
    </row>
    <row r="85" spans="1:13" ht="15.75" customHeight="1" x14ac:dyDescent="0.2">
      <c r="A85" s="34">
        <v>17348</v>
      </c>
      <c r="B85" s="34">
        <v>84</v>
      </c>
      <c r="C85" s="34" t="s">
        <v>751</v>
      </c>
      <c r="D85" s="34" t="s">
        <v>6354</v>
      </c>
      <c r="E85" s="34" t="s">
        <v>6355</v>
      </c>
      <c r="F85" s="34">
        <v>1</v>
      </c>
      <c r="G85" s="34" t="b">
        <v>1</v>
      </c>
      <c r="H85" s="34">
        <v>2</v>
      </c>
      <c r="I85" s="34">
        <v>2</v>
      </c>
      <c r="J85" s="34"/>
      <c r="K85" s="34"/>
      <c r="L85" s="34"/>
    </row>
    <row r="86" spans="1:13" ht="15.75" customHeight="1" x14ac:dyDescent="0.2">
      <c r="A86" s="34">
        <v>17348</v>
      </c>
      <c r="B86" s="34">
        <v>85</v>
      </c>
      <c r="C86" s="34" t="s">
        <v>753</v>
      </c>
      <c r="D86" s="34" t="s">
        <v>6356</v>
      </c>
      <c r="E86" s="34" t="s">
        <v>6357</v>
      </c>
      <c r="F86" s="34">
        <v>1</v>
      </c>
      <c r="G86" s="34" t="b">
        <v>1</v>
      </c>
      <c r="H86" s="34">
        <v>2</v>
      </c>
      <c r="I86" s="34">
        <v>2</v>
      </c>
      <c r="J86" s="34"/>
      <c r="K86" s="34"/>
      <c r="L86" s="34"/>
    </row>
    <row r="87" spans="1:13" ht="15.75" customHeight="1" x14ac:dyDescent="0.2">
      <c r="A87" s="34">
        <v>17348</v>
      </c>
      <c r="B87" s="34">
        <v>86</v>
      </c>
      <c r="C87" s="34" t="s">
        <v>754</v>
      </c>
      <c r="D87" s="34" t="s">
        <v>6358</v>
      </c>
      <c r="E87" s="34" t="s">
        <v>6359</v>
      </c>
      <c r="F87" s="34">
        <v>1</v>
      </c>
      <c r="G87" s="34" t="b">
        <v>1</v>
      </c>
      <c r="H87" s="34">
        <v>6</v>
      </c>
      <c r="I87" s="34">
        <v>4</v>
      </c>
      <c r="J87" s="34"/>
      <c r="K87" s="34"/>
      <c r="L87" s="34">
        <v>2</v>
      </c>
    </row>
    <row r="88" spans="1:13" ht="15.75" customHeight="1" x14ac:dyDescent="0.2">
      <c r="A88" s="34">
        <v>17349</v>
      </c>
      <c r="B88" s="34">
        <v>87</v>
      </c>
      <c r="C88" s="34" t="s">
        <v>755</v>
      </c>
      <c r="D88" s="34" t="s">
        <v>6360</v>
      </c>
      <c r="E88" s="34" t="s">
        <v>6361</v>
      </c>
      <c r="F88" s="34">
        <v>1</v>
      </c>
      <c r="G88" s="34" t="b">
        <v>1</v>
      </c>
      <c r="H88" s="34">
        <v>1</v>
      </c>
      <c r="I88" s="34">
        <v>1</v>
      </c>
      <c r="J88" s="34"/>
      <c r="K88" s="34"/>
      <c r="L88" s="34"/>
    </row>
    <row r="89" spans="1:13" ht="15.75" customHeight="1" x14ac:dyDescent="0.2">
      <c r="A89" s="34">
        <v>17349</v>
      </c>
      <c r="B89" s="34">
        <v>88</v>
      </c>
      <c r="C89" s="34" t="s">
        <v>757</v>
      </c>
      <c r="D89" s="34" t="s">
        <v>6362</v>
      </c>
      <c r="E89" s="34" t="s">
        <v>6363</v>
      </c>
      <c r="F89" s="34">
        <v>1</v>
      </c>
      <c r="G89" s="34" t="b">
        <v>1</v>
      </c>
      <c r="H89" s="34">
        <v>2</v>
      </c>
      <c r="I89" s="34">
        <v>2</v>
      </c>
      <c r="J89" s="34"/>
      <c r="K89" s="34"/>
      <c r="L89" s="34"/>
    </row>
    <row r="90" spans="1:13" ht="15.75" customHeight="1" x14ac:dyDescent="0.2">
      <c r="A90" s="34">
        <v>17349</v>
      </c>
      <c r="B90" s="34">
        <v>89</v>
      </c>
      <c r="C90" s="34" t="s">
        <v>758</v>
      </c>
      <c r="D90" s="34" t="s">
        <v>6364</v>
      </c>
      <c r="E90" s="34" t="s">
        <v>6365</v>
      </c>
      <c r="F90" s="34">
        <v>1</v>
      </c>
      <c r="G90" s="34" t="b">
        <v>1</v>
      </c>
      <c r="H90" s="34">
        <v>1</v>
      </c>
      <c r="I90" s="34">
        <v>1</v>
      </c>
      <c r="J90" s="34"/>
      <c r="K90" s="34"/>
      <c r="L90" s="34"/>
    </row>
    <row r="91" spans="1:13" ht="15.75" customHeight="1" x14ac:dyDescent="0.2">
      <c r="A91" s="34">
        <v>17350</v>
      </c>
      <c r="B91" s="34">
        <v>90</v>
      </c>
      <c r="C91" s="34" t="s">
        <v>759</v>
      </c>
      <c r="D91" s="34" t="s">
        <v>6366</v>
      </c>
      <c r="E91" s="34" t="s">
        <v>6367</v>
      </c>
      <c r="F91" s="34">
        <v>1</v>
      </c>
      <c r="G91" s="34" t="b">
        <v>1</v>
      </c>
      <c r="H91" s="34">
        <v>1</v>
      </c>
      <c r="I91" s="34">
        <v>1</v>
      </c>
      <c r="J91" s="34"/>
      <c r="K91" s="34"/>
      <c r="L91" s="34"/>
      <c r="M91" s="50">
        <v>1</v>
      </c>
    </row>
    <row r="92" spans="1:13" ht="15.75" customHeight="1" x14ac:dyDescent="0.2">
      <c r="A92" s="34">
        <v>17351</v>
      </c>
      <c r="B92" s="34">
        <v>91</v>
      </c>
      <c r="C92" s="34" t="s">
        <v>761</v>
      </c>
      <c r="D92" s="34" t="s">
        <v>6368</v>
      </c>
      <c r="E92" s="34" t="s">
        <v>6369</v>
      </c>
      <c r="F92" s="34">
        <v>1</v>
      </c>
      <c r="G92" s="34" t="b">
        <v>1</v>
      </c>
      <c r="H92" s="34">
        <v>1</v>
      </c>
      <c r="I92" s="34">
        <v>1</v>
      </c>
      <c r="J92" s="34"/>
      <c r="K92" s="34"/>
      <c r="L92" s="34"/>
    </row>
    <row r="93" spans="1:13" ht="15.75" customHeight="1" x14ac:dyDescent="0.2">
      <c r="A93" s="34">
        <v>17351</v>
      </c>
      <c r="B93" s="34">
        <v>92</v>
      </c>
      <c r="C93" s="34" t="s">
        <v>763</v>
      </c>
      <c r="D93" s="34" t="s">
        <v>6370</v>
      </c>
      <c r="E93" s="34" t="s">
        <v>6371</v>
      </c>
      <c r="F93" s="34">
        <v>1</v>
      </c>
      <c r="G93" s="34" t="b">
        <v>1</v>
      </c>
      <c r="H93" s="34">
        <v>1</v>
      </c>
      <c r="I93" s="34">
        <v>1</v>
      </c>
      <c r="J93" s="34"/>
      <c r="K93" s="34"/>
      <c r="L93" s="34"/>
    </row>
    <row r="94" spans="1:13" ht="15.75" customHeight="1" x14ac:dyDescent="0.2">
      <c r="A94" s="34">
        <v>17351</v>
      </c>
      <c r="B94" s="34">
        <v>93</v>
      </c>
      <c r="C94" s="34" t="s">
        <v>764</v>
      </c>
      <c r="D94" s="34" t="s">
        <v>6372</v>
      </c>
      <c r="E94" s="34" t="s">
        <v>6373</v>
      </c>
      <c r="F94" s="34">
        <v>1</v>
      </c>
      <c r="G94" s="34" t="b">
        <v>1</v>
      </c>
      <c r="H94" s="34">
        <v>1</v>
      </c>
      <c r="I94" s="34">
        <v>1</v>
      </c>
      <c r="J94" s="34"/>
      <c r="K94" s="34"/>
      <c r="L94" s="34"/>
    </row>
    <row r="95" spans="1:13" ht="15.75" customHeight="1" x14ac:dyDescent="0.2">
      <c r="A95" s="34">
        <v>17352</v>
      </c>
      <c r="B95" s="34">
        <v>94</v>
      </c>
      <c r="C95" s="34" t="s">
        <v>765</v>
      </c>
      <c r="D95" s="34" t="s">
        <v>6381</v>
      </c>
      <c r="E95" s="34" t="s">
        <v>6918</v>
      </c>
      <c r="F95" s="34">
        <v>5</v>
      </c>
      <c r="G95" s="34" t="b">
        <v>1</v>
      </c>
      <c r="H95" s="34">
        <v>2</v>
      </c>
      <c r="I95" s="34">
        <v>1</v>
      </c>
      <c r="J95" s="34">
        <v>1</v>
      </c>
      <c r="K95" s="34"/>
      <c r="L95" s="34"/>
      <c r="M95" s="50">
        <v>2</v>
      </c>
    </row>
    <row r="96" spans="1:13" ht="15.75" customHeight="1" x14ac:dyDescent="0.2">
      <c r="A96" s="34">
        <v>17352</v>
      </c>
      <c r="B96" s="34">
        <v>95</v>
      </c>
      <c r="C96" s="34" t="s">
        <v>767</v>
      </c>
      <c r="D96" s="34" t="s">
        <v>6376</v>
      </c>
      <c r="E96" s="34" t="s">
        <v>6919</v>
      </c>
      <c r="F96" s="34">
        <v>5</v>
      </c>
      <c r="G96" s="34" t="b">
        <v>0</v>
      </c>
      <c r="H96" s="34">
        <v>1</v>
      </c>
      <c r="I96" s="34">
        <v>1</v>
      </c>
      <c r="J96" s="34"/>
      <c r="K96" s="34"/>
      <c r="L96" s="34"/>
    </row>
    <row r="97" spans="1:13" ht="15.75" customHeight="1" x14ac:dyDescent="0.2">
      <c r="A97" s="34">
        <v>17352</v>
      </c>
      <c r="B97" s="34">
        <v>96</v>
      </c>
      <c r="C97" s="34" t="s">
        <v>768</v>
      </c>
      <c r="D97" s="34" t="s">
        <v>6376</v>
      </c>
      <c r="E97" s="34" t="s">
        <v>6378</v>
      </c>
      <c r="F97" s="34">
        <v>5</v>
      </c>
      <c r="G97" s="34" t="b">
        <v>0</v>
      </c>
      <c r="H97" s="34">
        <v>1</v>
      </c>
      <c r="I97" s="34">
        <v>1</v>
      </c>
      <c r="J97" s="34"/>
      <c r="K97" s="34"/>
      <c r="L97" s="34"/>
    </row>
    <row r="98" spans="1:13" ht="15.75" customHeight="1" x14ac:dyDescent="0.2">
      <c r="A98" s="34">
        <v>17352</v>
      </c>
      <c r="B98" s="34">
        <v>97</v>
      </c>
      <c r="C98" s="34" t="s">
        <v>769</v>
      </c>
      <c r="D98" s="34" t="s">
        <v>6376</v>
      </c>
      <c r="E98" s="34" t="s">
        <v>6920</v>
      </c>
      <c r="F98" s="34">
        <v>5</v>
      </c>
      <c r="G98" s="34" t="b">
        <v>0</v>
      </c>
      <c r="H98" s="34">
        <v>8</v>
      </c>
      <c r="I98" s="34"/>
      <c r="J98" s="34">
        <v>5</v>
      </c>
      <c r="K98" s="34">
        <v>3</v>
      </c>
      <c r="L98" s="34"/>
      <c r="M98" s="50">
        <v>2</v>
      </c>
    </row>
    <row r="99" spans="1:13" ht="15.75" customHeight="1" x14ac:dyDescent="0.2">
      <c r="A99" s="34">
        <v>17352</v>
      </c>
      <c r="B99" s="34">
        <v>98</v>
      </c>
      <c r="C99" s="34" t="s">
        <v>770</v>
      </c>
      <c r="D99" s="34" t="s">
        <v>3874</v>
      </c>
      <c r="E99" s="34" t="s">
        <v>6921</v>
      </c>
      <c r="F99" s="34">
        <v>4</v>
      </c>
      <c r="G99" s="34" t="b">
        <v>1</v>
      </c>
      <c r="H99" s="34">
        <v>3</v>
      </c>
      <c r="I99" s="34"/>
      <c r="J99" s="34">
        <v>2</v>
      </c>
      <c r="K99" s="34">
        <v>1</v>
      </c>
      <c r="L99" s="34"/>
      <c r="M99" s="50">
        <v>2</v>
      </c>
    </row>
    <row r="100" spans="1:13" ht="15.75" customHeight="1" x14ac:dyDescent="0.2">
      <c r="A100" s="34">
        <v>17352</v>
      </c>
      <c r="B100" s="34">
        <v>99</v>
      </c>
      <c r="C100" s="34" t="s">
        <v>771</v>
      </c>
      <c r="D100" s="34" t="s">
        <v>6381</v>
      </c>
      <c r="E100" s="34" t="s">
        <v>6382</v>
      </c>
      <c r="F100" s="34">
        <v>1</v>
      </c>
      <c r="G100" s="34" t="b">
        <v>1</v>
      </c>
      <c r="H100" s="34">
        <v>2</v>
      </c>
      <c r="I100" s="34">
        <v>1</v>
      </c>
      <c r="J100" s="34">
        <v>1</v>
      </c>
      <c r="K100" s="34"/>
      <c r="L100" s="34"/>
    </row>
    <row r="101" spans="1:13" ht="15.75" customHeight="1" x14ac:dyDescent="0.2">
      <c r="A101" s="34">
        <v>17352</v>
      </c>
      <c r="B101" s="34">
        <v>100</v>
      </c>
      <c r="C101" s="34" t="s">
        <v>772</v>
      </c>
      <c r="D101" s="34" t="s">
        <v>6922</v>
      </c>
      <c r="E101" s="34" t="s">
        <v>6923</v>
      </c>
      <c r="F101" s="34">
        <v>5</v>
      </c>
      <c r="G101" s="34" t="b">
        <v>0</v>
      </c>
      <c r="H101" s="34">
        <v>1</v>
      </c>
      <c r="I101" s="34"/>
      <c r="J101" s="34"/>
      <c r="K101" s="34">
        <v>1</v>
      </c>
      <c r="L101" s="34"/>
      <c r="M101" s="50">
        <v>2</v>
      </c>
    </row>
    <row r="102" spans="1:13" ht="15.75" customHeight="1" x14ac:dyDescent="0.2">
      <c r="A102" s="34">
        <v>17352</v>
      </c>
      <c r="B102" s="34">
        <v>101</v>
      </c>
      <c r="C102" s="34" t="s">
        <v>773</v>
      </c>
      <c r="D102" s="34" t="s">
        <v>6384</v>
      </c>
      <c r="E102" s="34" t="s">
        <v>6924</v>
      </c>
      <c r="F102" s="34">
        <v>5</v>
      </c>
      <c r="G102" s="34" t="b">
        <v>0</v>
      </c>
      <c r="H102" s="34">
        <v>1</v>
      </c>
      <c r="I102" s="34"/>
      <c r="J102" s="34"/>
      <c r="K102" s="34">
        <v>1</v>
      </c>
      <c r="L102" s="34"/>
      <c r="M102" s="50">
        <v>1</v>
      </c>
    </row>
    <row r="103" spans="1:13" ht="15.75" customHeight="1" x14ac:dyDescent="0.2">
      <c r="A103" s="34">
        <v>17352</v>
      </c>
      <c r="B103" s="34">
        <v>102</v>
      </c>
      <c r="C103" s="34" t="s">
        <v>774</v>
      </c>
      <c r="D103" s="34" t="s">
        <v>6376</v>
      </c>
      <c r="E103" s="34" t="s">
        <v>6925</v>
      </c>
      <c r="F103" s="34">
        <v>5</v>
      </c>
      <c r="G103" s="34" t="b">
        <v>0</v>
      </c>
      <c r="H103" s="34">
        <v>1</v>
      </c>
      <c r="I103" s="34"/>
      <c r="J103" s="34"/>
      <c r="K103" s="34">
        <v>1</v>
      </c>
      <c r="L103" s="34"/>
      <c r="M103" s="50">
        <v>2</v>
      </c>
    </row>
    <row r="104" spans="1:13" ht="15.75" customHeight="1" x14ac:dyDescent="0.2">
      <c r="A104" s="34">
        <v>17353</v>
      </c>
      <c r="B104" s="34">
        <v>103</v>
      </c>
      <c r="C104" s="34" t="s">
        <v>775</v>
      </c>
      <c r="D104" s="34" t="s">
        <v>6387</v>
      </c>
      <c r="E104" s="34" t="s">
        <v>6388</v>
      </c>
      <c r="F104" s="34">
        <v>1</v>
      </c>
      <c r="G104" s="34" t="b">
        <v>1</v>
      </c>
      <c r="H104" s="34">
        <v>1</v>
      </c>
      <c r="I104" s="34">
        <v>1</v>
      </c>
      <c r="J104" s="34"/>
      <c r="K104" s="34"/>
      <c r="L104" s="34"/>
    </row>
    <row r="105" spans="1:13" ht="15.75" customHeight="1" x14ac:dyDescent="0.2">
      <c r="A105" s="34">
        <v>17353</v>
      </c>
      <c r="B105" s="34">
        <v>104</v>
      </c>
      <c r="C105" s="34" t="s">
        <v>777</v>
      </c>
      <c r="D105" s="34" t="s">
        <v>3923</v>
      </c>
      <c r="E105" s="34" t="s">
        <v>6389</v>
      </c>
      <c r="F105" s="34">
        <v>1</v>
      </c>
      <c r="G105" s="34" t="b">
        <v>1</v>
      </c>
      <c r="H105" s="34">
        <v>1</v>
      </c>
      <c r="I105" s="34">
        <v>1</v>
      </c>
      <c r="J105" s="34"/>
      <c r="K105" s="34"/>
      <c r="L105" s="34"/>
    </row>
    <row r="106" spans="1:13" ht="15.75" customHeight="1" x14ac:dyDescent="0.2">
      <c r="A106" s="34">
        <v>17353</v>
      </c>
      <c r="B106" s="34">
        <v>105</v>
      </c>
      <c r="C106" s="34" t="s">
        <v>778</v>
      </c>
      <c r="D106" s="34" t="s">
        <v>6390</v>
      </c>
      <c r="E106" s="34" t="s">
        <v>6391</v>
      </c>
      <c r="F106" s="34">
        <v>1</v>
      </c>
      <c r="G106" s="34" t="b">
        <v>1</v>
      </c>
      <c r="H106" s="34">
        <v>1</v>
      </c>
      <c r="I106" s="34">
        <v>1</v>
      </c>
      <c r="J106" s="34"/>
      <c r="K106" s="34"/>
      <c r="L106" s="34"/>
    </row>
    <row r="107" spans="1:13" ht="15.75" customHeight="1" x14ac:dyDescent="0.2">
      <c r="A107" s="34">
        <v>17353</v>
      </c>
      <c r="B107" s="34">
        <v>106</v>
      </c>
      <c r="C107" s="34" t="s">
        <v>779</v>
      </c>
      <c r="D107" s="34" t="s">
        <v>3927</v>
      </c>
      <c r="E107" s="34" t="s">
        <v>6392</v>
      </c>
      <c r="F107" s="34">
        <v>1</v>
      </c>
      <c r="G107" s="34" t="b">
        <v>1</v>
      </c>
      <c r="H107" s="34">
        <v>1</v>
      </c>
      <c r="I107" s="34">
        <v>1</v>
      </c>
      <c r="J107" s="34"/>
      <c r="K107" s="34"/>
      <c r="L107" s="34"/>
    </row>
    <row r="108" spans="1:13" ht="15.75" customHeight="1" x14ac:dyDescent="0.2">
      <c r="A108" s="34">
        <v>17354</v>
      </c>
      <c r="B108" s="34">
        <v>107</v>
      </c>
      <c r="C108" s="34" t="s">
        <v>780</v>
      </c>
      <c r="D108" s="34" t="s">
        <v>6926</v>
      </c>
      <c r="E108" s="34" t="s">
        <v>6927</v>
      </c>
      <c r="F108" s="34">
        <v>5</v>
      </c>
      <c r="G108" s="34" t="b">
        <v>0</v>
      </c>
      <c r="H108" s="34">
        <v>2</v>
      </c>
      <c r="I108" s="34">
        <v>1</v>
      </c>
      <c r="J108" s="34"/>
      <c r="K108" s="34">
        <v>1</v>
      </c>
      <c r="L108" s="34"/>
      <c r="M108" s="50">
        <v>2</v>
      </c>
    </row>
    <row r="109" spans="1:13" ht="15.75" customHeight="1" x14ac:dyDescent="0.2">
      <c r="A109" s="34">
        <v>17354</v>
      </c>
      <c r="B109" s="34">
        <v>108</v>
      </c>
      <c r="C109" s="34" t="s">
        <v>783</v>
      </c>
      <c r="D109" s="34" t="s">
        <v>6928</v>
      </c>
      <c r="E109" s="34" t="s">
        <v>6929</v>
      </c>
      <c r="F109" s="34">
        <v>2</v>
      </c>
      <c r="G109" s="34" t="b">
        <v>1</v>
      </c>
      <c r="H109" s="34">
        <v>3</v>
      </c>
      <c r="I109" s="34">
        <v>3</v>
      </c>
      <c r="J109" s="34"/>
      <c r="K109" s="34"/>
      <c r="L109" s="34"/>
      <c r="M109" s="50">
        <v>1</v>
      </c>
    </row>
    <row r="110" spans="1:13" ht="15.75" customHeight="1" x14ac:dyDescent="0.2">
      <c r="A110" s="34">
        <v>17354</v>
      </c>
      <c r="B110" s="34">
        <v>109</v>
      </c>
      <c r="C110" s="34" t="s">
        <v>784</v>
      </c>
      <c r="D110" s="34" t="s">
        <v>6930</v>
      </c>
      <c r="E110" s="34" t="s">
        <v>6931</v>
      </c>
      <c r="F110" s="34">
        <v>5</v>
      </c>
      <c r="G110" s="34" t="b">
        <v>0</v>
      </c>
      <c r="H110" s="34">
        <v>2</v>
      </c>
      <c r="I110" s="34">
        <v>2</v>
      </c>
      <c r="J110" s="34"/>
      <c r="K110" s="34"/>
      <c r="L110" s="34"/>
      <c r="M110" s="50">
        <v>1</v>
      </c>
    </row>
    <row r="111" spans="1:13" ht="15.75" customHeight="1" x14ac:dyDescent="0.2">
      <c r="A111" s="34">
        <v>17354</v>
      </c>
      <c r="B111" s="34">
        <v>110</v>
      </c>
      <c r="C111" s="34" t="s">
        <v>785</v>
      </c>
      <c r="D111" s="34" t="s">
        <v>6932</v>
      </c>
      <c r="E111" s="34" t="s">
        <v>6933</v>
      </c>
      <c r="F111" s="34">
        <v>5</v>
      </c>
      <c r="G111" s="34" t="b">
        <v>0</v>
      </c>
      <c r="H111" s="34">
        <v>2</v>
      </c>
      <c r="I111" s="34">
        <v>2</v>
      </c>
      <c r="J111" s="34"/>
      <c r="K111" s="34"/>
      <c r="L111" s="34"/>
      <c r="M111" s="50">
        <v>1</v>
      </c>
    </row>
    <row r="112" spans="1:13" ht="15.75" customHeight="1" x14ac:dyDescent="0.2">
      <c r="A112" s="34">
        <v>17354</v>
      </c>
      <c r="B112" s="34">
        <v>111</v>
      </c>
      <c r="C112" s="34" t="s">
        <v>786</v>
      </c>
      <c r="D112" s="34" t="s">
        <v>6934</v>
      </c>
      <c r="E112" s="34" t="s">
        <v>6935</v>
      </c>
      <c r="F112" s="34">
        <v>5</v>
      </c>
      <c r="G112" s="34" t="b">
        <v>0</v>
      </c>
      <c r="H112" s="34">
        <v>3</v>
      </c>
      <c r="I112" s="34"/>
      <c r="J112" s="34"/>
      <c r="K112" s="34">
        <v>2</v>
      </c>
      <c r="L112" s="34">
        <v>1</v>
      </c>
      <c r="M112" s="50">
        <v>2</v>
      </c>
    </row>
    <row r="113" spans="1:13" ht="15.75" customHeight="1" x14ac:dyDescent="0.2">
      <c r="A113" s="34">
        <v>17354</v>
      </c>
      <c r="B113" s="34">
        <v>112</v>
      </c>
      <c r="C113" s="34" t="s">
        <v>787</v>
      </c>
      <c r="D113" s="34" t="s">
        <v>6936</v>
      </c>
      <c r="E113" s="34" t="s">
        <v>6403</v>
      </c>
      <c r="F113" s="34">
        <v>4</v>
      </c>
      <c r="G113" s="34" t="b">
        <v>1</v>
      </c>
      <c r="H113" s="34">
        <v>3</v>
      </c>
      <c r="I113" s="34">
        <v>1</v>
      </c>
      <c r="J113" s="34"/>
      <c r="K113" s="34"/>
      <c r="L113" s="34">
        <v>2</v>
      </c>
    </row>
    <row r="114" spans="1:13" ht="15.75" customHeight="1" x14ac:dyDescent="0.2">
      <c r="A114" s="34">
        <v>17355</v>
      </c>
      <c r="B114" s="34">
        <v>113</v>
      </c>
      <c r="C114" s="34" t="s">
        <v>788</v>
      </c>
      <c r="D114" s="34" t="s">
        <v>6404</v>
      </c>
      <c r="E114" s="34" t="s">
        <v>6405</v>
      </c>
      <c r="F114" s="34">
        <v>1</v>
      </c>
      <c r="G114" s="34" t="b">
        <v>1</v>
      </c>
      <c r="H114" s="34">
        <v>2</v>
      </c>
      <c r="I114" s="34">
        <v>2</v>
      </c>
      <c r="J114" s="34"/>
      <c r="K114" s="34"/>
      <c r="L114" s="34"/>
    </row>
    <row r="115" spans="1:13" ht="15.75" customHeight="1" x14ac:dyDescent="0.2">
      <c r="A115" s="34">
        <v>17355</v>
      </c>
      <c r="B115" s="34">
        <v>114</v>
      </c>
      <c r="C115" s="34" t="s">
        <v>790</v>
      </c>
      <c r="D115" s="34" t="s">
        <v>6406</v>
      </c>
      <c r="E115" s="34" t="s">
        <v>6407</v>
      </c>
      <c r="F115" s="34">
        <v>1</v>
      </c>
      <c r="G115" s="34" t="b">
        <v>1</v>
      </c>
      <c r="H115" s="34">
        <v>1</v>
      </c>
      <c r="I115" s="34">
        <v>1</v>
      </c>
      <c r="J115" s="34"/>
      <c r="K115" s="34"/>
      <c r="L115" s="34"/>
    </row>
    <row r="116" spans="1:13" ht="15.75" customHeight="1" x14ac:dyDescent="0.2">
      <c r="A116" s="34">
        <v>17355</v>
      </c>
      <c r="B116" s="34">
        <v>115</v>
      </c>
      <c r="C116" s="34" t="s">
        <v>791</v>
      </c>
      <c r="D116" s="34" t="s">
        <v>6408</v>
      </c>
      <c r="E116" s="34" t="s">
        <v>6409</v>
      </c>
      <c r="F116" s="34">
        <v>1</v>
      </c>
      <c r="G116" s="34" t="b">
        <v>1</v>
      </c>
      <c r="H116" s="34">
        <v>1</v>
      </c>
      <c r="I116" s="34">
        <v>1</v>
      </c>
      <c r="J116" s="34"/>
      <c r="K116" s="34"/>
      <c r="L116" s="34"/>
    </row>
    <row r="117" spans="1:13" ht="15.75" customHeight="1" x14ac:dyDescent="0.2">
      <c r="A117" s="34">
        <v>17355</v>
      </c>
      <c r="B117" s="34">
        <v>116</v>
      </c>
      <c r="C117" s="34" t="s">
        <v>792</v>
      </c>
      <c r="D117" s="34" t="s">
        <v>6410</v>
      </c>
      <c r="E117" s="34" t="s">
        <v>6411</v>
      </c>
      <c r="F117" s="34">
        <v>1</v>
      </c>
      <c r="G117" s="34" t="b">
        <v>1</v>
      </c>
      <c r="H117" s="34">
        <v>1</v>
      </c>
      <c r="I117" s="34">
        <v>1</v>
      </c>
      <c r="J117" s="34"/>
      <c r="K117" s="34"/>
      <c r="L117" s="34"/>
    </row>
    <row r="118" spans="1:13" ht="15.75" customHeight="1" x14ac:dyDescent="0.2">
      <c r="A118" s="34">
        <v>17355</v>
      </c>
      <c r="B118" s="34">
        <v>117</v>
      </c>
      <c r="C118" s="34" t="s">
        <v>793</v>
      </c>
      <c r="D118" s="34" t="s">
        <v>6412</v>
      </c>
      <c r="E118" s="34" t="s">
        <v>6413</v>
      </c>
      <c r="F118" s="34">
        <v>1</v>
      </c>
      <c r="G118" s="34" t="b">
        <v>1</v>
      </c>
      <c r="H118" s="34">
        <v>1</v>
      </c>
      <c r="I118" s="34">
        <v>1</v>
      </c>
      <c r="J118" s="34"/>
      <c r="K118" s="34"/>
      <c r="L118" s="34"/>
    </row>
    <row r="119" spans="1:13" ht="15.75" customHeight="1" x14ac:dyDescent="0.2">
      <c r="A119" s="34">
        <v>17355</v>
      </c>
      <c r="B119" s="34">
        <v>118</v>
      </c>
      <c r="C119" s="34" t="s">
        <v>794</v>
      </c>
      <c r="D119" s="34" t="s">
        <v>6937</v>
      </c>
      <c r="E119" s="34" t="s">
        <v>6938</v>
      </c>
      <c r="F119" s="34">
        <v>5</v>
      </c>
      <c r="G119" s="34" t="b">
        <v>0</v>
      </c>
      <c r="H119" s="34">
        <v>4</v>
      </c>
      <c r="I119" s="34"/>
      <c r="J119" s="34"/>
      <c r="K119" s="34">
        <v>4</v>
      </c>
      <c r="L119" s="34"/>
      <c r="M119" s="50">
        <v>1</v>
      </c>
    </row>
    <row r="120" spans="1:13" ht="15.75" customHeight="1" x14ac:dyDescent="0.2">
      <c r="A120" s="34">
        <v>17355</v>
      </c>
      <c r="B120" s="34">
        <v>119</v>
      </c>
      <c r="C120" s="34" t="s">
        <v>795</v>
      </c>
      <c r="D120" s="34" t="s">
        <v>6416</v>
      </c>
      <c r="E120" s="34" t="s">
        <v>6417</v>
      </c>
      <c r="F120" s="34">
        <v>1</v>
      </c>
      <c r="G120" s="34" t="b">
        <v>1</v>
      </c>
      <c r="H120" s="34">
        <v>3</v>
      </c>
      <c r="I120" s="34">
        <v>3</v>
      </c>
      <c r="J120" s="34"/>
      <c r="K120" s="34"/>
      <c r="L120" s="34"/>
    </row>
    <row r="121" spans="1:13" ht="15.75" customHeight="1" x14ac:dyDescent="0.2">
      <c r="A121" s="34">
        <v>17355</v>
      </c>
      <c r="B121" s="34">
        <v>120</v>
      </c>
      <c r="C121" s="34" t="s">
        <v>796</v>
      </c>
      <c r="D121" s="34" t="s">
        <v>6418</v>
      </c>
      <c r="E121" s="34" t="s">
        <v>6419</v>
      </c>
      <c r="F121" s="34">
        <v>1</v>
      </c>
      <c r="G121" s="34" t="b">
        <v>1</v>
      </c>
      <c r="H121" s="34">
        <v>2</v>
      </c>
      <c r="I121" s="34">
        <v>2</v>
      </c>
      <c r="J121" s="34"/>
      <c r="K121" s="34"/>
      <c r="L121" s="34"/>
    </row>
    <row r="122" spans="1:13" ht="15.75" customHeight="1" x14ac:dyDescent="0.2">
      <c r="A122" s="34">
        <v>17355</v>
      </c>
      <c r="B122" s="34">
        <v>121</v>
      </c>
      <c r="C122" s="34" t="s">
        <v>797</v>
      </c>
      <c r="D122" s="34" t="s">
        <v>6420</v>
      </c>
      <c r="E122" s="34" t="s">
        <v>6421</v>
      </c>
      <c r="F122" s="34">
        <v>1</v>
      </c>
      <c r="G122" s="34" t="b">
        <v>1</v>
      </c>
      <c r="H122" s="34">
        <v>3</v>
      </c>
      <c r="I122" s="34">
        <v>3</v>
      </c>
      <c r="J122" s="34"/>
      <c r="K122" s="34"/>
      <c r="L122" s="34"/>
    </row>
    <row r="123" spans="1:13" ht="15.75" customHeight="1" x14ac:dyDescent="0.2">
      <c r="A123" s="34">
        <v>17356</v>
      </c>
      <c r="B123" s="34">
        <v>122</v>
      </c>
      <c r="C123" s="34" t="s">
        <v>798</v>
      </c>
      <c r="D123" s="34" t="s">
        <v>6422</v>
      </c>
      <c r="E123" s="34" t="s">
        <v>6423</v>
      </c>
      <c r="F123" s="34">
        <v>1</v>
      </c>
      <c r="G123" s="34" t="b">
        <v>1</v>
      </c>
      <c r="H123" s="34">
        <v>1</v>
      </c>
      <c r="I123" s="34">
        <v>1</v>
      </c>
      <c r="J123" s="34"/>
      <c r="K123" s="34"/>
      <c r="L123" s="34"/>
    </row>
    <row r="124" spans="1:13" ht="15.75" customHeight="1" x14ac:dyDescent="0.2">
      <c r="A124" s="34">
        <v>17356</v>
      </c>
      <c r="B124" s="34">
        <v>123</v>
      </c>
      <c r="C124" s="34" t="s">
        <v>800</v>
      </c>
      <c r="D124" s="34" t="s">
        <v>6422</v>
      </c>
      <c r="E124" s="34" t="s">
        <v>6424</v>
      </c>
      <c r="F124" s="34">
        <v>1</v>
      </c>
      <c r="G124" s="34" t="b">
        <v>1</v>
      </c>
      <c r="H124" s="34">
        <v>1</v>
      </c>
      <c r="I124" s="34">
        <v>1</v>
      </c>
      <c r="J124" s="34"/>
      <c r="K124" s="34"/>
      <c r="L124" s="34"/>
    </row>
    <row r="125" spans="1:13" ht="15.75" customHeight="1" x14ac:dyDescent="0.2">
      <c r="A125" s="34">
        <v>17356</v>
      </c>
      <c r="B125" s="34">
        <v>124</v>
      </c>
      <c r="C125" s="34" t="s">
        <v>801</v>
      </c>
      <c r="D125" s="34" t="s">
        <v>6422</v>
      </c>
      <c r="E125" s="34" t="s">
        <v>6425</v>
      </c>
      <c r="F125" s="34">
        <v>1</v>
      </c>
      <c r="G125" s="34" t="b">
        <v>1</v>
      </c>
      <c r="H125" s="34">
        <v>1</v>
      </c>
      <c r="I125" s="34">
        <v>1</v>
      </c>
      <c r="J125" s="34"/>
      <c r="K125" s="34"/>
      <c r="L125" s="34"/>
    </row>
    <row r="126" spans="1:13" ht="15.75" customHeight="1" x14ac:dyDescent="0.2">
      <c r="A126" s="34">
        <v>17356</v>
      </c>
      <c r="B126" s="34">
        <v>125</v>
      </c>
      <c r="C126" s="34" t="s">
        <v>801</v>
      </c>
      <c r="D126" s="34" t="s">
        <v>4056</v>
      </c>
      <c r="E126" s="34" t="s">
        <v>6426</v>
      </c>
      <c r="F126" s="34">
        <v>1</v>
      </c>
      <c r="G126" s="34" t="b">
        <v>1</v>
      </c>
      <c r="H126" s="34">
        <v>1</v>
      </c>
      <c r="I126" s="34">
        <v>1</v>
      </c>
      <c r="J126" s="34"/>
      <c r="K126" s="34"/>
      <c r="L126" s="34"/>
    </row>
    <row r="127" spans="1:13" ht="15.75" customHeight="1" x14ac:dyDescent="0.2">
      <c r="A127" s="34">
        <v>17356</v>
      </c>
      <c r="B127" s="34">
        <v>126</v>
      </c>
      <c r="C127" s="34" t="s">
        <v>801</v>
      </c>
      <c r="D127" s="34" t="s">
        <v>4056</v>
      </c>
      <c r="E127" s="34" t="s">
        <v>6427</v>
      </c>
      <c r="F127" s="34">
        <v>1</v>
      </c>
      <c r="G127" s="34" t="b">
        <v>1</v>
      </c>
      <c r="H127" s="34">
        <v>1</v>
      </c>
      <c r="I127" s="34">
        <v>1</v>
      </c>
      <c r="J127" s="34"/>
      <c r="K127" s="34"/>
      <c r="L127" s="34"/>
    </row>
    <row r="128" spans="1:13" ht="15.75" customHeight="1" x14ac:dyDescent="0.2">
      <c r="A128" s="34">
        <v>17357</v>
      </c>
      <c r="B128" s="34">
        <v>127</v>
      </c>
      <c r="C128" s="34" t="s">
        <v>802</v>
      </c>
      <c r="D128" s="34" t="s">
        <v>6428</v>
      </c>
      <c r="E128" s="34" t="s">
        <v>6429</v>
      </c>
      <c r="F128" s="34">
        <v>1</v>
      </c>
      <c r="G128" s="34" t="b">
        <v>1</v>
      </c>
      <c r="H128" s="34">
        <v>1</v>
      </c>
      <c r="I128" s="34">
        <v>1</v>
      </c>
      <c r="J128" s="34"/>
      <c r="K128" s="34"/>
      <c r="L128" s="34"/>
    </row>
    <row r="129" spans="1:13" ht="15.75" customHeight="1" x14ac:dyDescent="0.2">
      <c r="A129" s="34">
        <v>17357</v>
      </c>
      <c r="B129" s="34">
        <v>128</v>
      </c>
      <c r="C129" s="34" t="s">
        <v>804</v>
      </c>
      <c r="D129" s="34" t="s">
        <v>6430</v>
      </c>
      <c r="E129" s="34" t="s">
        <v>6431</v>
      </c>
      <c r="F129" s="34">
        <v>1</v>
      </c>
      <c r="G129" s="34" t="b">
        <v>1</v>
      </c>
      <c r="H129" s="34">
        <v>6</v>
      </c>
      <c r="I129" s="34">
        <v>3</v>
      </c>
      <c r="J129" s="34">
        <v>3</v>
      </c>
      <c r="K129" s="34"/>
      <c r="L129" s="34"/>
    </row>
    <row r="130" spans="1:13" ht="15.75" customHeight="1" x14ac:dyDescent="0.2">
      <c r="A130" s="34">
        <v>17357</v>
      </c>
      <c r="B130" s="34">
        <v>129</v>
      </c>
      <c r="C130" s="34" t="s">
        <v>805</v>
      </c>
      <c r="D130" s="34" t="s">
        <v>6432</v>
      </c>
      <c r="E130" s="34" t="s">
        <v>6433</v>
      </c>
      <c r="F130" s="34">
        <v>1</v>
      </c>
      <c r="G130" s="34" t="b">
        <v>1</v>
      </c>
      <c r="H130" s="34">
        <v>3</v>
      </c>
      <c r="I130" s="34">
        <v>3</v>
      </c>
      <c r="J130" s="34"/>
      <c r="K130" s="34"/>
      <c r="L130" s="34"/>
    </row>
    <row r="131" spans="1:13" ht="15.75" customHeight="1" x14ac:dyDescent="0.2">
      <c r="A131" s="34">
        <v>17357</v>
      </c>
      <c r="B131" s="34">
        <v>130</v>
      </c>
      <c r="C131" s="34" t="s">
        <v>806</v>
      </c>
      <c r="D131" s="34" t="s">
        <v>6434</v>
      </c>
      <c r="E131" s="34" t="s">
        <v>6435</v>
      </c>
      <c r="F131" s="34">
        <v>1</v>
      </c>
      <c r="G131" s="34" t="b">
        <v>1</v>
      </c>
      <c r="H131" s="34">
        <v>1</v>
      </c>
      <c r="I131" s="34">
        <v>1</v>
      </c>
      <c r="J131" s="34"/>
      <c r="K131" s="34"/>
      <c r="L131" s="34"/>
    </row>
    <row r="132" spans="1:13" ht="15.75" customHeight="1" x14ac:dyDescent="0.2">
      <c r="A132" s="34">
        <v>17357</v>
      </c>
      <c r="B132" s="34">
        <v>131</v>
      </c>
      <c r="C132" s="34" t="s">
        <v>809</v>
      </c>
      <c r="D132" s="34" t="s">
        <v>6436</v>
      </c>
      <c r="E132" s="34" t="s">
        <v>6437</v>
      </c>
      <c r="F132" s="34">
        <v>1</v>
      </c>
      <c r="G132" s="34" t="b">
        <v>1</v>
      </c>
      <c r="H132" s="34">
        <v>2</v>
      </c>
      <c r="I132" s="34">
        <v>2</v>
      </c>
      <c r="J132" s="34"/>
      <c r="K132" s="34"/>
      <c r="L132" s="34"/>
      <c r="M132" s="50">
        <v>1</v>
      </c>
    </row>
    <row r="133" spans="1:13" ht="15.75" customHeight="1" x14ac:dyDescent="0.2">
      <c r="A133" s="34">
        <v>17357</v>
      </c>
      <c r="B133" s="34">
        <v>132</v>
      </c>
      <c r="C133" s="34" t="s">
        <v>812</v>
      </c>
      <c r="D133" s="34" t="s">
        <v>6438</v>
      </c>
      <c r="E133" s="34" t="s">
        <v>6439</v>
      </c>
      <c r="F133" s="34">
        <v>1</v>
      </c>
      <c r="G133" s="34" t="b">
        <v>1</v>
      </c>
      <c r="H133" s="34">
        <v>1</v>
      </c>
      <c r="I133" s="34">
        <v>1</v>
      </c>
      <c r="J133" s="34"/>
      <c r="K133" s="34"/>
      <c r="L133" s="34"/>
    </row>
    <row r="134" spans="1:13" ht="15.75" customHeight="1" x14ac:dyDescent="0.2">
      <c r="A134" s="34">
        <v>17358</v>
      </c>
      <c r="B134" s="34">
        <v>133</v>
      </c>
      <c r="C134" s="34" t="s">
        <v>813</v>
      </c>
      <c r="D134" s="34" t="s">
        <v>6440</v>
      </c>
      <c r="E134" s="34" t="s">
        <v>6441</v>
      </c>
      <c r="F134" s="34">
        <v>1</v>
      </c>
      <c r="G134" s="34" t="b">
        <v>1</v>
      </c>
      <c r="H134" s="34">
        <v>1</v>
      </c>
      <c r="I134" s="34">
        <v>1</v>
      </c>
      <c r="J134" s="34"/>
      <c r="K134" s="34"/>
      <c r="L134" s="34"/>
    </row>
    <row r="135" spans="1:13" ht="15.75" customHeight="1" x14ac:dyDescent="0.2">
      <c r="A135" s="34">
        <v>17358</v>
      </c>
      <c r="B135" s="34">
        <v>134</v>
      </c>
      <c r="C135" s="34" t="s">
        <v>815</v>
      </c>
      <c r="D135" s="34" t="s">
        <v>6442</v>
      </c>
      <c r="E135" s="34" t="s">
        <v>6443</v>
      </c>
      <c r="F135" s="34">
        <v>1</v>
      </c>
      <c r="G135" s="34" t="b">
        <v>1</v>
      </c>
      <c r="H135" s="34">
        <v>3</v>
      </c>
      <c r="I135" s="34">
        <v>2</v>
      </c>
      <c r="J135" s="34">
        <v>1</v>
      </c>
      <c r="K135" s="34"/>
      <c r="L135" s="34"/>
    </row>
    <row r="136" spans="1:13" ht="15.75" customHeight="1" x14ac:dyDescent="0.2">
      <c r="A136" s="34">
        <v>17358</v>
      </c>
      <c r="B136" s="34">
        <v>135</v>
      </c>
      <c r="C136" s="34" t="s">
        <v>818</v>
      </c>
      <c r="D136" s="34" t="s">
        <v>6442</v>
      </c>
      <c r="E136" s="34" t="s">
        <v>6444</v>
      </c>
      <c r="F136" s="34">
        <v>1</v>
      </c>
      <c r="G136" s="34" t="b">
        <v>1</v>
      </c>
      <c r="H136" s="34">
        <v>4</v>
      </c>
      <c r="I136" s="34">
        <v>3</v>
      </c>
      <c r="J136" s="34">
        <v>1</v>
      </c>
      <c r="K136" s="34"/>
      <c r="L136" s="34"/>
    </row>
    <row r="137" spans="1:13" ht="15.75" customHeight="1" x14ac:dyDescent="0.2">
      <c r="A137" s="34">
        <v>17359</v>
      </c>
      <c r="B137" s="34">
        <v>136</v>
      </c>
      <c r="C137" s="34" t="s">
        <v>819</v>
      </c>
      <c r="D137" s="34" t="s">
        <v>6445</v>
      </c>
      <c r="E137" s="34" t="s">
        <v>6446</v>
      </c>
      <c r="F137" s="34">
        <v>1</v>
      </c>
      <c r="G137" s="34" t="b">
        <v>1</v>
      </c>
      <c r="H137" s="34">
        <v>4</v>
      </c>
      <c r="I137" s="34">
        <v>4</v>
      </c>
      <c r="J137" s="34"/>
      <c r="K137" s="34"/>
      <c r="L137" s="34"/>
    </row>
    <row r="138" spans="1:13" ht="15.75" customHeight="1" x14ac:dyDescent="0.2">
      <c r="A138" s="34">
        <v>17365</v>
      </c>
      <c r="B138" s="34">
        <v>137</v>
      </c>
      <c r="C138" s="34" t="s">
        <v>821</v>
      </c>
      <c r="D138" s="34" t="s">
        <v>4316</v>
      </c>
      <c r="E138" s="34" t="s">
        <v>6447</v>
      </c>
      <c r="F138" s="34">
        <v>1</v>
      </c>
      <c r="G138" s="34" t="b">
        <v>1</v>
      </c>
      <c r="H138" s="34">
        <v>1</v>
      </c>
      <c r="I138" s="34">
        <v>1</v>
      </c>
      <c r="J138" s="34"/>
      <c r="K138" s="34"/>
      <c r="L138" s="34"/>
    </row>
    <row r="139" spans="1:13" ht="15.75" customHeight="1" x14ac:dyDescent="0.2">
      <c r="A139" s="34">
        <v>17365</v>
      </c>
      <c r="B139" s="34">
        <v>138</v>
      </c>
      <c r="C139" s="34" t="s">
        <v>823</v>
      </c>
      <c r="D139" s="34" t="s">
        <v>6448</v>
      </c>
      <c r="E139" s="34" t="s">
        <v>6449</v>
      </c>
      <c r="F139" s="34">
        <v>1</v>
      </c>
      <c r="G139" s="34" t="b">
        <v>1</v>
      </c>
      <c r="H139" s="34">
        <v>2</v>
      </c>
      <c r="I139" s="34">
        <v>2</v>
      </c>
      <c r="J139" s="34"/>
      <c r="K139" s="34"/>
      <c r="L139" s="34"/>
    </row>
    <row r="140" spans="1:13" ht="15.75" customHeight="1" x14ac:dyDescent="0.2">
      <c r="A140" s="34">
        <v>17365</v>
      </c>
      <c r="B140" s="34">
        <v>139</v>
      </c>
      <c r="C140" s="34" t="s">
        <v>824</v>
      </c>
      <c r="D140" s="34" t="s">
        <v>6450</v>
      </c>
      <c r="E140" s="34" t="s">
        <v>6451</v>
      </c>
      <c r="F140" s="34">
        <v>1</v>
      </c>
      <c r="G140" s="34" t="b">
        <v>1</v>
      </c>
      <c r="H140" s="34">
        <v>2</v>
      </c>
      <c r="I140" s="34">
        <v>2</v>
      </c>
      <c r="J140" s="34"/>
      <c r="K140" s="34"/>
      <c r="L140" s="34"/>
    </row>
    <row r="141" spans="1:13" ht="15.75" customHeight="1" x14ac:dyDescent="0.2">
      <c r="A141" s="34">
        <v>17365</v>
      </c>
      <c r="B141" s="34">
        <v>140</v>
      </c>
      <c r="C141" s="34" t="s">
        <v>825</v>
      </c>
      <c r="D141" s="34" t="s">
        <v>6452</v>
      </c>
      <c r="E141" s="34" t="s">
        <v>6453</v>
      </c>
      <c r="F141" s="34">
        <v>1</v>
      </c>
      <c r="G141" s="34" t="b">
        <v>1</v>
      </c>
      <c r="H141" s="34">
        <v>1</v>
      </c>
      <c r="I141" s="34">
        <v>1</v>
      </c>
      <c r="J141" s="34"/>
      <c r="K141" s="34"/>
      <c r="L141" s="34"/>
    </row>
    <row r="142" spans="1:13" ht="15.75" customHeight="1" x14ac:dyDescent="0.2">
      <c r="A142" s="34">
        <v>17366</v>
      </c>
      <c r="B142" s="34">
        <v>141</v>
      </c>
      <c r="C142" s="34" t="s">
        <v>828</v>
      </c>
      <c r="D142" s="34" t="s">
        <v>6454</v>
      </c>
      <c r="E142" s="34" t="s">
        <v>6455</v>
      </c>
      <c r="F142" s="34">
        <v>1</v>
      </c>
      <c r="G142" s="34" t="b">
        <v>1</v>
      </c>
      <c r="H142" s="34">
        <v>1</v>
      </c>
      <c r="I142" s="34">
        <v>1</v>
      </c>
      <c r="J142" s="34"/>
      <c r="K142" s="34"/>
      <c r="L142" s="34"/>
    </row>
    <row r="143" spans="1:13" ht="15.75" customHeight="1" x14ac:dyDescent="0.2">
      <c r="A143" s="34">
        <v>17366</v>
      </c>
      <c r="B143" s="34">
        <v>142</v>
      </c>
      <c r="C143" s="34" t="s">
        <v>830</v>
      </c>
      <c r="D143" s="34" t="s">
        <v>6456</v>
      </c>
      <c r="E143" s="34" t="s">
        <v>6457</v>
      </c>
      <c r="F143" s="34">
        <v>1</v>
      </c>
      <c r="G143" s="34" t="b">
        <v>1</v>
      </c>
      <c r="H143" s="34">
        <v>1</v>
      </c>
      <c r="I143" s="34">
        <v>1</v>
      </c>
      <c r="J143" s="34"/>
      <c r="K143" s="34"/>
      <c r="L143" s="34"/>
    </row>
    <row r="144" spans="1:13" ht="15.75" customHeight="1" x14ac:dyDescent="0.2">
      <c r="A144" s="34">
        <v>17384</v>
      </c>
      <c r="B144" s="34">
        <v>143</v>
      </c>
      <c r="C144" s="34" t="s">
        <v>831</v>
      </c>
      <c r="D144" s="34" t="s">
        <v>6458</v>
      </c>
      <c r="E144" s="34" t="s">
        <v>6459</v>
      </c>
      <c r="F144" s="34">
        <v>1</v>
      </c>
      <c r="G144" s="34" t="b">
        <v>1</v>
      </c>
      <c r="H144" s="34">
        <v>3</v>
      </c>
      <c r="I144" s="34"/>
      <c r="J144" s="34"/>
      <c r="K144" s="34">
        <v>1</v>
      </c>
      <c r="L144" s="34">
        <v>2</v>
      </c>
      <c r="M144" s="50">
        <v>3</v>
      </c>
    </row>
    <row r="145" spans="1:13" ht="15.75" customHeight="1" x14ac:dyDescent="0.2">
      <c r="A145" s="34">
        <v>17384</v>
      </c>
      <c r="B145" s="34">
        <v>144</v>
      </c>
      <c r="C145" s="34" t="s">
        <v>833</v>
      </c>
      <c r="D145" s="34" t="s">
        <v>6460</v>
      </c>
      <c r="E145" s="34" t="s">
        <v>6461</v>
      </c>
      <c r="F145" s="34">
        <v>1</v>
      </c>
      <c r="G145" s="34" t="b">
        <v>1</v>
      </c>
      <c r="H145" s="34">
        <v>4</v>
      </c>
      <c r="I145" s="34">
        <v>2</v>
      </c>
      <c r="J145" s="34">
        <v>1</v>
      </c>
      <c r="K145" s="34">
        <v>1</v>
      </c>
      <c r="L145" s="34"/>
    </row>
    <row r="146" spans="1:13" ht="15.75" customHeight="1" x14ac:dyDescent="0.2">
      <c r="A146" s="34">
        <v>17384</v>
      </c>
      <c r="B146" s="34">
        <v>145</v>
      </c>
      <c r="C146" s="34" t="s">
        <v>836</v>
      </c>
      <c r="D146" s="34" t="s">
        <v>6462</v>
      </c>
      <c r="E146" s="34" t="s">
        <v>6463</v>
      </c>
      <c r="F146" s="34">
        <v>1</v>
      </c>
      <c r="G146" s="34" t="b">
        <v>1</v>
      </c>
      <c r="H146" s="34">
        <v>5</v>
      </c>
      <c r="I146" s="34">
        <v>5</v>
      </c>
      <c r="J146" s="34"/>
      <c r="K146" s="34"/>
      <c r="L146" s="34"/>
    </row>
    <row r="147" spans="1:13" ht="15.75" customHeight="1" x14ac:dyDescent="0.2">
      <c r="A147" s="34">
        <v>17384</v>
      </c>
      <c r="B147" s="34">
        <v>146</v>
      </c>
      <c r="C147" s="34" t="s">
        <v>837</v>
      </c>
      <c r="D147" s="34" t="s">
        <v>6464</v>
      </c>
      <c r="E147" s="34" t="s">
        <v>6465</v>
      </c>
      <c r="F147" s="34">
        <v>1</v>
      </c>
      <c r="G147" s="34" t="b">
        <v>1</v>
      </c>
      <c r="H147" s="34">
        <v>4</v>
      </c>
      <c r="I147" s="34">
        <v>2</v>
      </c>
      <c r="J147" s="34">
        <v>2</v>
      </c>
      <c r="K147" s="34"/>
      <c r="L147" s="34"/>
    </row>
    <row r="148" spans="1:13" ht="15.75" customHeight="1" x14ac:dyDescent="0.2">
      <c r="A148" s="34">
        <v>17384</v>
      </c>
      <c r="B148" s="34">
        <v>147</v>
      </c>
      <c r="C148" s="34" t="s">
        <v>840</v>
      </c>
      <c r="D148" s="34" t="s">
        <v>6460</v>
      </c>
      <c r="E148" s="34" t="s">
        <v>6466</v>
      </c>
      <c r="F148" s="34">
        <v>1</v>
      </c>
      <c r="G148" s="34" t="b">
        <v>1</v>
      </c>
      <c r="H148" s="34">
        <v>4</v>
      </c>
      <c r="I148" s="34">
        <v>2</v>
      </c>
      <c r="J148" s="34">
        <v>2</v>
      </c>
      <c r="K148" s="34"/>
      <c r="L148" s="34"/>
    </row>
    <row r="149" spans="1:13" ht="15.75" customHeight="1" x14ac:dyDescent="0.2">
      <c r="A149" s="34">
        <v>17384</v>
      </c>
      <c r="B149" s="34">
        <v>148</v>
      </c>
      <c r="C149" s="34" t="s">
        <v>841</v>
      </c>
      <c r="D149" s="34" t="s">
        <v>6467</v>
      </c>
      <c r="E149" s="34" t="s">
        <v>6468</v>
      </c>
      <c r="F149" s="34">
        <v>1</v>
      </c>
      <c r="G149" s="34" t="b">
        <v>1</v>
      </c>
      <c r="H149" s="34">
        <v>3</v>
      </c>
      <c r="I149" s="34">
        <v>1</v>
      </c>
      <c r="J149" s="34">
        <v>2</v>
      </c>
      <c r="K149" s="34"/>
      <c r="L149" s="34"/>
    </row>
    <row r="150" spans="1:13" ht="15.75" customHeight="1" x14ac:dyDescent="0.2">
      <c r="A150" s="34">
        <v>17384</v>
      </c>
      <c r="B150" s="34">
        <v>149</v>
      </c>
      <c r="C150" s="34" t="s">
        <v>842</v>
      </c>
      <c r="D150" s="34" t="s">
        <v>6469</v>
      </c>
      <c r="E150" s="34" t="s">
        <v>6470</v>
      </c>
      <c r="F150" s="34">
        <v>1</v>
      </c>
      <c r="G150" s="34" t="b">
        <v>1</v>
      </c>
      <c r="H150" s="34">
        <v>5</v>
      </c>
      <c r="I150" s="34">
        <v>2</v>
      </c>
      <c r="J150" s="34"/>
      <c r="K150" s="34">
        <v>3</v>
      </c>
      <c r="L150" s="34"/>
      <c r="M150" s="50">
        <v>2</v>
      </c>
    </row>
    <row r="151" spans="1:13" ht="15.75" customHeight="1" x14ac:dyDescent="0.2">
      <c r="A151" s="34">
        <v>17384</v>
      </c>
      <c r="B151" s="34">
        <v>150</v>
      </c>
      <c r="C151" s="34" t="s">
        <v>843</v>
      </c>
      <c r="D151" s="34" t="s">
        <v>6460</v>
      </c>
      <c r="E151" s="34" t="s">
        <v>6939</v>
      </c>
      <c r="F151" s="34">
        <v>1</v>
      </c>
      <c r="G151" s="34" t="b">
        <v>1</v>
      </c>
      <c r="H151" s="34">
        <v>4</v>
      </c>
      <c r="I151" s="34"/>
      <c r="J151" s="34">
        <v>1</v>
      </c>
      <c r="K151" s="34">
        <v>3</v>
      </c>
      <c r="L151" s="34"/>
      <c r="M151" s="50">
        <v>1</v>
      </c>
    </row>
    <row r="152" spans="1:13" ht="15.75" customHeight="1" x14ac:dyDescent="0.2">
      <c r="A152" s="34">
        <v>17384</v>
      </c>
      <c r="B152" s="34">
        <v>151</v>
      </c>
      <c r="C152" s="34" t="s">
        <v>846</v>
      </c>
      <c r="D152" s="34" t="s">
        <v>6472</v>
      </c>
      <c r="E152" s="34" t="s">
        <v>6473</v>
      </c>
      <c r="F152" s="34">
        <v>1</v>
      </c>
      <c r="G152" s="34" t="b">
        <v>1</v>
      </c>
      <c r="H152" s="34">
        <v>2</v>
      </c>
      <c r="I152" s="34">
        <v>1</v>
      </c>
      <c r="J152" s="34"/>
      <c r="K152" s="34">
        <v>1</v>
      </c>
      <c r="L152" s="34"/>
    </row>
    <row r="153" spans="1:13" ht="15.75" customHeight="1" x14ac:dyDescent="0.2">
      <c r="A153" s="34">
        <v>17384</v>
      </c>
      <c r="B153" s="34">
        <v>152</v>
      </c>
      <c r="C153" s="34" t="s">
        <v>849</v>
      </c>
      <c r="D153" s="34" t="s">
        <v>6940</v>
      </c>
      <c r="E153" s="34" t="s">
        <v>6941</v>
      </c>
      <c r="F153" s="34">
        <v>4</v>
      </c>
      <c r="G153" s="34" t="b">
        <v>1</v>
      </c>
      <c r="H153" s="34">
        <v>3</v>
      </c>
      <c r="I153" s="34">
        <v>1</v>
      </c>
      <c r="J153" s="34">
        <v>1</v>
      </c>
      <c r="K153" s="34">
        <v>1</v>
      </c>
      <c r="L153" s="34"/>
      <c r="M153" s="50">
        <v>1</v>
      </c>
    </row>
    <row r="154" spans="1:13" ht="15.75" customHeight="1" x14ac:dyDescent="0.2">
      <c r="A154" s="34">
        <v>17384</v>
      </c>
      <c r="B154" s="34">
        <v>153</v>
      </c>
      <c r="C154" s="34" t="s">
        <v>852</v>
      </c>
      <c r="D154" s="34" t="s">
        <v>6476</v>
      </c>
      <c r="E154" s="34" t="s">
        <v>6477</v>
      </c>
      <c r="F154" s="34">
        <v>1</v>
      </c>
      <c r="G154" s="34" t="b">
        <v>1</v>
      </c>
      <c r="H154" s="34">
        <v>2</v>
      </c>
      <c r="I154" s="34"/>
      <c r="J154" s="34"/>
      <c r="K154" s="34">
        <v>2</v>
      </c>
      <c r="L154" s="34"/>
      <c r="M154" s="50">
        <v>2</v>
      </c>
    </row>
    <row r="155" spans="1:13" ht="15.75" customHeight="1" x14ac:dyDescent="0.2">
      <c r="A155" s="34">
        <v>17384</v>
      </c>
      <c r="B155" s="34">
        <v>154</v>
      </c>
      <c r="C155" s="34" t="s">
        <v>853</v>
      </c>
      <c r="D155" s="34" t="s">
        <v>6478</v>
      </c>
      <c r="E155" s="34" t="s">
        <v>6479</v>
      </c>
      <c r="F155" s="34">
        <v>1</v>
      </c>
      <c r="G155" s="34" t="b">
        <v>1</v>
      </c>
      <c r="H155" s="34">
        <v>3</v>
      </c>
      <c r="I155" s="34">
        <v>2</v>
      </c>
      <c r="J155" s="34"/>
      <c r="K155" s="34">
        <v>1</v>
      </c>
      <c r="L155" s="34"/>
    </row>
    <row r="156" spans="1:13" ht="15.75" customHeight="1" x14ac:dyDescent="0.2">
      <c r="A156" s="34">
        <v>17384</v>
      </c>
      <c r="B156" s="34">
        <v>155</v>
      </c>
      <c r="C156" s="34" t="s">
        <v>856</v>
      </c>
      <c r="D156" s="34" t="s">
        <v>6942</v>
      </c>
      <c r="E156" s="34" t="s">
        <v>6943</v>
      </c>
      <c r="F156" s="34">
        <v>5</v>
      </c>
      <c r="G156" s="34" t="b">
        <v>1</v>
      </c>
      <c r="H156" s="34">
        <v>2</v>
      </c>
      <c r="I156" s="34">
        <v>1</v>
      </c>
      <c r="J156" s="34"/>
      <c r="K156" s="34">
        <v>1</v>
      </c>
      <c r="L156" s="34"/>
    </row>
    <row r="157" spans="1:13" ht="15.75" customHeight="1" x14ac:dyDescent="0.2">
      <c r="A157" s="34">
        <v>17384</v>
      </c>
      <c r="B157" s="34">
        <v>156</v>
      </c>
      <c r="C157" s="34" t="s">
        <v>857</v>
      </c>
      <c r="D157" s="34" t="s">
        <v>6460</v>
      </c>
      <c r="E157" s="34" t="s">
        <v>6482</v>
      </c>
      <c r="F157" s="34">
        <v>1</v>
      </c>
      <c r="G157" s="34" t="b">
        <v>1</v>
      </c>
      <c r="H157" s="34">
        <v>6</v>
      </c>
      <c r="I157" s="34">
        <v>3</v>
      </c>
      <c r="J157" s="34">
        <v>2</v>
      </c>
      <c r="K157" s="34">
        <v>1</v>
      </c>
      <c r="L157" s="34"/>
    </row>
    <row r="158" spans="1:13" ht="15.75" customHeight="1" x14ac:dyDescent="0.2">
      <c r="A158" s="34">
        <v>17384</v>
      </c>
      <c r="B158" s="34">
        <v>157</v>
      </c>
      <c r="C158" s="34" t="s">
        <v>858</v>
      </c>
      <c r="D158" s="34" t="s">
        <v>6483</v>
      </c>
      <c r="E158" s="34" t="s">
        <v>6484</v>
      </c>
      <c r="F158" s="34">
        <v>1</v>
      </c>
      <c r="G158" s="34" t="b">
        <v>1</v>
      </c>
      <c r="H158" s="34">
        <v>3</v>
      </c>
      <c r="I158" s="34">
        <v>2</v>
      </c>
      <c r="J158" s="34"/>
      <c r="K158" s="34"/>
      <c r="L158" s="34">
        <v>1</v>
      </c>
    </row>
    <row r="159" spans="1:13" ht="15.75" customHeight="1" x14ac:dyDescent="0.2">
      <c r="A159" s="34">
        <v>17384</v>
      </c>
      <c r="B159" s="34">
        <v>158</v>
      </c>
      <c r="C159" s="34" t="s">
        <v>859</v>
      </c>
      <c r="D159" s="34"/>
      <c r="E159" s="34"/>
      <c r="F159" s="34">
        <v>5</v>
      </c>
      <c r="G159" s="34" t="b">
        <v>0</v>
      </c>
      <c r="H159" s="34">
        <v>0</v>
      </c>
      <c r="I159" s="34"/>
      <c r="J159" s="34"/>
      <c r="K159" s="34"/>
      <c r="L159" s="34"/>
    </row>
    <row r="160" spans="1:13" ht="15.75" customHeight="1" x14ac:dyDescent="0.2">
      <c r="A160" s="34">
        <v>17384</v>
      </c>
      <c r="B160" s="34">
        <v>159</v>
      </c>
      <c r="C160" s="34" t="s">
        <v>860</v>
      </c>
      <c r="D160" s="34" t="s">
        <v>6460</v>
      </c>
      <c r="E160" s="34" t="s">
        <v>6485</v>
      </c>
      <c r="F160" s="34">
        <v>1</v>
      </c>
      <c r="G160" s="34" t="b">
        <v>1</v>
      </c>
      <c r="H160" s="34">
        <v>3</v>
      </c>
      <c r="I160" s="34">
        <v>2</v>
      </c>
      <c r="J160" s="34"/>
      <c r="K160" s="34">
        <v>1</v>
      </c>
      <c r="L160" s="34"/>
    </row>
    <row r="161" spans="1:13" ht="15.75" customHeight="1" x14ac:dyDescent="0.2">
      <c r="A161" s="34">
        <v>17384</v>
      </c>
      <c r="B161" s="34">
        <v>160</v>
      </c>
      <c r="C161" s="34" t="s">
        <v>863</v>
      </c>
      <c r="D161" s="34" t="s">
        <v>6460</v>
      </c>
      <c r="E161" s="34" t="s">
        <v>6486</v>
      </c>
      <c r="F161" s="34">
        <v>1</v>
      </c>
      <c r="G161" s="34" t="b">
        <v>1</v>
      </c>
      <c r="H161" s="34">
        <v>4</v>
      </c>
      <c r="I161" s="34">
        <v>1</v>
      </c>
      <c r="J161" s="34"/>
      <c r="K161" s="34">
        <v>3</v>
      </c>
      <c r="L161" s="34"/>
      <c r="M161" s="50">
        <v>1</v>
      </c>
    </row>
    <row r="162" spans="1:13" ht="15.75" customHeight="1" x14ac:dyDescent="0.2">
      <c r="A162" s="34">
        <v>17384</v>
      </c>
      <c r="B162" s="34">
        <v>161</v>
      </c>
      <c r="C162" s="34" t="s">
        <v>864</v>
      </c>
      <c r="D162" s="34" t="s">
        <v>6487</v>
      </c>
      <c r="E162" s="34" t="s">
        <v>6488</v>
      </c>
      <c r="F162" s="34">
        <v>1</v>
      </c>
      <c r="G162" s="34" t="b">
        <v>1</v>
      </c>
      <c r="H162" s="34">
        <v>3</v>
      </c>
      <c r="I162" s="34"/>
      <c r="J162" s="34">
        <v>3</v>
      </c>
      <c r="K162" s="34"/>
      <c r="L162" s="34"/>
      <c r="M162" s="50">
        <v>2</v>
      </c>
    </row>
    <row r="163" spans="1:13" ht="15.75" customHeight="1" x14ac:dyDescent="0.2">
      <c r="A163" s="34">
        <v>17384</v>
      </c>
      <c r="B163" s="34">
        <v>162</v>
      </c>
      <c r="C163" s="34" t="s">
        <v>865</v>
      </c>
      <c r="D163" s="34" t="s">
        <v>6489</v>
      </c>
      <c r="E163" s="34" t="s">
        <v>6490</v>
      </c>
      <c r="F163" s="34">
        <v>1</v>
      </c>
      <c r="G163" s="34" t="b">
        <v>1</v>
      </c>
      <c r="H163" s="34">
        <v>2</v>
      </c>
      <c r="I163" s="34">
        <v>2</v>
      </c>
      <c r="J163" s="34"/>
      <c r="K163" s="34"/>
      <c r="L163" s="34"/>
    </row>
    <row r="164" spans="1:13" ht="15.75" customHeight="1" x14ac:dyDescent="0.2">
      <c r="A164" s="34">
        <v>17384</v>
      </c>
      <c r="B164" s="34">
        <v>163</v>
      </c>
      <c r="C164" s="34" t="s">
        <v>866</v>
      </c>
      <c r="D164" s="34" t="s">
        <v>6491</v>
      </c>
      <c r="E164" s="34" t="s">
        <v>6492</v>
      </c>
      <c r="F164" s="34">
        <v>1</v>
      </c>
      <c r="G164" s="34" t="b">
        <v>1</v>
      </c>
      <c r="H164" s="34">
        <v>4</v>
      </c>
      <c r="I164" s="34">
        <v>4</v>
      </c>
      <c r="J164" s="34"/>
      <c r="K164" s="34"/>
      <c r="L164" s="34"/>
    </row>
    <row r="165" spans="1:13" ht="15.75" customHeight="1" x14ac:dyDescent="0.2">
      <c r="A165" s="34">
        <v>17384</v>
      </c>
      <c r="B165" s="34">
        <v>164</v>
      </c>
      <c r="C165" s="34" t="s">
        <v>869</v>
      </c>
      <c r="D165" s="34" t="s">
        <v>6460</v>
      </c>
      <c r="E165" s="34" t="s">
        <v>6944</v>
      </c>
      <c r="F165" s="34">
        <v>1</v>
      </c>
      <c r="G165" s="34" t="b">
        <v>1</v>
      </c>
      <c r="H165" s="34">
        <v>6</v>
      </c>
      <c r="I165" s="34">
        <v>4</v>
      </c>
      <c r="J165" s="34"/>
      <c r="K165" s="34"/>
      <c r="L165" s="34">
        <v>2</v>
      </c>
    </row>
    <row r="166" spans="1:13" ht="15.75" customHeight="1" x14ac:dyDescent="0.2">
      <c r="A166" s="34">
        <v>17384</v>
      </c>
      <c r="B166" s="34">
        <v>165</v>
      </c>
      <c r="C166" s="34" t="s">
        <v>870</v>
      </c>
      <c r="D166" s="34" t="s">
        <v>6494</v>
      </c>
      <c r="E166" s="34" t="s">
        <v>6495</v>
      </c>
      <c r="F166" s="34">
        <v>1</v>
      </c>
      <c r="G166" s="34" t="b">
        <v>1</v>
      </c>
      <c r="H166" s="34">
        <v>2</v>
      </c>
      <c r="I166" s="34">
        <v>2</v>
      </c>
      <c r="J166" s="34"/>
      <c r="K166" s="34"/>
      <c r="L166" s="34"/>
      <c r="M166" s="50">
        <v>1</v>
      </c>
    </row>
    <row r="167" spans="1:13" ht="15.75" customHeight="1" x14ac:dyDescent="0.2">
      <c r="A167" s="34">
        <v>17384</v>
      </c>
      <c r="B167" s="34">
        <v>166</v>
      </c>
      <c r="C167" s="34" t="s">
        <v>871</v>
      </c>
      <c r="D167" s="34" t="s">
        <v>6496</v>
      </c>
      <c r="E167" s="34" t="s">
        <v>6497</v>
      </c>
      <c r="F167" s="34">
        <v>1</v>
      </c>
      <c r="G167" s="34" t="b">
        <v>1</v>
      </c>
      <c r="H167" s="34">
        <v>4</v>
      </c>
      <c r="I167" s="34">
        <v>4</v>
      </c>
      <c r="J167" s="34"/>
      <c r="K167" s="34"/>
      <c r="L167" s="34"/>
    </row>
    <row r="168" spans="1:13" ht="15.75" customHeight="1" x14ac:dyDescent="0.2">
      <c r="A168" s="34">
        <v>17384</v>
      </c>
      <c r="B168" s="34">
        <v>167</v>
      </c>
      <c r="C168" s="34" t="s">
        <v>874</v>
      </c>
      <c r="D168" s="34" t="s">
        <v>6460</v>
      </c>
      <c r="E168" s="34" t="s">
        <v>6498</v>
      </c>
      <c r="F168" s="34">
        <v>1</v>
      </c>
      <c r="G168" s="34" t="b">
        <v>1</v>
      </c>
      <c r="H168" s="34">
        <v>4</v>
      </c>
      <c r="I168" s="34">
        <v>4</v>
      </c>
      <c r="J168" s="34"/>
      <c r="K168" s="34"/>
      <c r="L168" s="34"/>
      <c r="M168" s="50">
        <v>1</v>
      </c>
    </row>
    <row r="169" spans="1:13" ht="15.75" customHeight="1" x14ac:dyDescent="0.2">
      <c r="A169" s="34">
        <v>17384</v>
      </c>
      <c r="B169" s="34">
        <v>168</v>
      </c>
      <c r="C169" s="34" t="s">
        <v>875</v>
      </c>
      <c r="D169" s="34" t="s">
        <v>6945</v>
      </c>
      <c r="E169" s="34" t="s">
        <v>6946</v>
      </c>
      <c r="F169" s="34">
        <v>5</v>
      </c>
      <c r="G169" s="34" t="b">
        <v>0</v>
      </c>
      <c r="H169" s="34">
        <v>6</v>
      </c>
      <c r="I169" s="34">
        <v>2</v>
      </c>
      <c r="J169" s="34">
        <v>3</v>
      </c>
      <c r="K169" s="34">
        <v>1</v>
      </c>
      <c r="L169" s="34"/>
      <c r="M169" s="50">
        <v>1</v>
      </c>
    </row>
    <row r="170" spans="1:13" ht="15.75" customHeight="1" x14ac:dyDescent="0.2">
      <c r="A170" s="34">
        <v>17384</v>
      </c>
      <c r="B170" s="34">
        <v>169</v>
      </c>
      <c r="C170" s="34" t="s">
        <v>876</v>
      </c>
      <c r="D170" s="34" t="s">
        <v>6460</v>
      </c>
      <c r="E170" s="34" t="s">
        <v>6501</v>
      </c>
      <c r="F170" s="34">
        <v>1</v>
      </c>
      <c r="G170" s="34" t="b">
        <v>1</v>
      </c>
      <c r="H170" s="34">
        <v>4</v>
      </c>
      <c r="I170" s="34">
        <v>1</v>
      </c>
      <c r="J170" s="34">
        <v>3</v>
      </c>
      <c r="K170" s="34"/>
      <c r="L170" s="34"/>
      <c r="M170" s="50">
        <v>2</v>
      </c>
    </row>
    <row r="171" spans="1:13" ht="15.75" customHeight="1" x14ac:dyDescent="0.2">
      <c r="A171" s="34">
        <v>17384</v>
      </c>
      <c r="B171" s="34">
        <v>170</v>
      </c>
      <c r="C171" s="34" t="s">
        <v>879</v>
      </c>
      <c r="D171" s="34" t="s">
        <v>6502</v>
      </c>
      <c r="E171" s="34" t="s">
        <v>6503</v>
      </c>
      <c r="F171" s="34">
        <v>1</v>
      </c>
      <c r="G171" s="34" t="b">
        <v>1</v>
      </c>
      <c r="H171" s="34">
        <v>5</v>
      </c>
      <c r="I171" s="34">
        <v>1</v>
      </c>
      <c r="J171" s="34">
        <v>4</v>
      </c>
      <c r="K171" s="34"/>
      <c r="L171" s="34"/>
    </row>
    <row r="172" spans="1:13" ht="15.75" customHeight="1" x14ac:dyDescent="0.2">
      <c r="A172" s="34">
        <v>17384</v>
      </c>
      <c r="B172" s="34">
        <v>171</v>
      </c>
      <c r="C172" s="34" t="s">
        <v>882</v>
      </c>
      <c r="D172" s="34" t="s">
        <v>6947</v>
      </c>
      <c r="E172" s="34" t="s">
        <v>6948</v>
      </c>
      <c r="F172" s="34">
        <v>2</v>
      </c>
      <c r="G172" s="34" t="b">
        <v>1</v>
      </c>
      <c r="H172" s="34">
        <v>1</v>
      </c>
      <c r="I172" s="34">
        <v>1</v>
      </c>
      <c r="J172" s="34"/>
      <c r="K172" s="34"/>
      <c r="L172" s="34"/>
    </row>
    <row r="173" spans="1:13" ht="15.75" customHeight="1" x14ac:dyDescent="0.2">
      <c r="A173" s="34">
        <v>17384</v>
      </c>
      <c r="B173" s="34">
        <v>172</v>
      </c>
      <c r="C173" s="34" t="s">
        <v>883</v>
      </c>
      <c r="D173" s="34" t="s">
        <v>6506</v>
      </c>
      <c r="E173" s="34" t="s">
        <v>6507</v>
      </c>
      <c r="F173" s="34">
        <v>1</v>
      </c>
      <c r="G173" s="34" t="b">
        <v>1</v>
      </c>
      <c r="H173" s="34">
        <v>3</v>
      </c>
      <c r="I173" s="34">
        <v>3</v>
      </c>
      <c r="J173" s="34"/>
      <c r="K173" s="34"/>
      <c r="L173" s="34"/>
    </row>
    <row r="174" spans="1:13" ht="15.75" customHeight="1" x14ac:dyDescent="0.2">
      <c r="A174" s="34">
        <v>17384</v>
      </c>
      <c r="B174" s="34">
        <v>173</v>
      </c>
      <c r="C174" s="34" t="s">
        <v>884</v>
      </c>
      <c r="D174" s="34" t="s">
        <v>6508</v>
      </c>
      <c r="E174" s="34" t="s">
        <v>6509</v>
      </c>
      <c r="F174" s="34">
        <v>1</v>
      </c>
      <c r="G174" s="34" t="b">
        <v>1</v>
      </c>
      <c r="H174" s="34">
        <v>4</v>
      </c>
      <c r="I174" s="34">
        <v>1</v>
      </c>
      <c r="J174" s="34">
        <v>2</v>
      </c>
      <c r="K174" s="34">
        <v>1</v>
      </c>
      <c r="L174" s="34"/>
    </row>
    <row r="175" spans="1:13" ht="15.75" customHeight="1" x14ac:dyDescent="0.2">
      <c r="A175" s="34">
        <v>17384</v>
      </c>
      <c r="B175" s="34">
        <v>174</v>
      </c>
      <c r="C175" s="34" t="s">
        <v>885</v>
      </c>
      <c r="D175" s="34" t="s">
        <v>6510</v>
      </c>
      <c r="E175" s="34" t="s">
        <v>6511</v>
      </c>
      <c r="F175" s="34">
        <v>1</v>
      </c>
      <c r="G175" s="34" t="b">
        <v>1</v>
      </c>
      <c r="H175" s="34">
        <v>2</v>
      </c>
      <c r="I175" s="34">
        <v>2</v>
      </c>
      <c r="J175" s="34"/>
      <c r="K175" s="34"/>
      <c r="L175" s="34"/>
    </row>
    <row r="176" spans="1:13" ht="15.75" customHeight="1" x14ac:dyDescent="0.2">
      <c r="A176" s="34">
        <v>17384</v>
      </c>
      <c r="B176" s="34">
        <v>175</v>
      </c>
      <c r="C176" s="34" t="s">
        <v>886</v>
      </c>
      <c r="D176" s="34" t="s">
        <v>6949</v>
      </c>
      <c r="E176" s="34" t="s">
        <v>6513</v>
      </c>
      <c r="F176" s="34">
        <v>2</v>
      </c>
      <c r="G176" s="34" t="b">
        <v>1</v>
      </c>
      <c r="H176" s="34">
        <v>2</v>
      </c>
      <c r="I176" s="34">
        <v>1</v>
      </c>
      <c r="J176" s="34"/>
      <c r="K176" s="34">
        <v>1</v>
      </c>
      <c r="L176" s="34"/>
    </row>
    <row r="177" spans="1:13" ht="15.75" customHeight="1" x14ac:dyDescent="0.2">
      <c r="A177" s="34">
        <v>17385</v>
      </c>
      <c r="B177" s="34">
        <v>176</v>
      </c>
      <c r="C177" s="34" t="s">
        <v>887</v>
      </c>
      <c r="D177" s="34" t="s">
        <v>6514</v>
      </c>
      <c r="E177" s="34" t="s">
        <v>6515</v>
      </c>
      <c r="F177" s="34">
        <v>1</v>
      </c>
      <c r="G177" s="34" t="b">
        <v>1</v>
      </c>
      <c r="H177" s="34">
        <v>4</v>
      </c>
      <c r="I177" s="34">
        <v>1</v>
      </c>
      <c r="J177" s="34">
        <v>1</v>
      </c>
      <c r="K177" s="34">
        <v>2</v>
      </c>
      <c r="L177" s="34"/>
    </row>
    <row r="178" spans="1:13" ht="15.75" customHeight="1" x14ac:dyDescent="0.2">
      <c r="A178" s="34">
        <v>17385</v>
      </c>
      <c r="B178" s="34">
        <v>177</v>
      </c>
      <c r="C178" s="34" t="s">
        <v>890</v>
      </c>
      <c r="D178" s="34" t="s">
        <v>6950</v>
      </c>
      <c r="E178" s="34" t="s">
        <v>6951</v>
      </c>
      <c r="F178" s="34">
        <v>3</v>
      </c>
      <c r="G178" s="34" t="b">
        <v>1</v>
      </c>
      <c r="H178" s="34">
        <v>5</v>
      </c>
      <c r="I178" s="34">
        <v>5</v>
      </c>
      <c r="J178" s="34"/>
      <c r="K178" s="34"/>
      <c r="L178" s="34"/>
    </row>
    <row r="179" spans="1:13" ht="15.75" customHeight="1" x14ac:dyDescent="0.2">
      <c r="A179" s="34">
        <v>17385</v>
      </c>
      <c r="B179" s="34">
        <v>178</v>
      </c>
      <c r="C179" s="34" t="s">
        <v>893</v>
      </c>
      <c r="D179" s="34" t="s">
        <v>6518</v>
      </c>
      <c r="E179" s="34" t="s">
        <v>6519</v>
      </c>
      <c r="F179" s="34">
        <v>1</v>
      </c>
      <c r="G179" s="34" t="b">
        <v>1</v>
      </c>
      <c r="H179" s="34">
        <v>3</v>
      </c>
      <c r="I179" s="34">
        <v>1</v>
      </c>
      <c r="J179" s="34"/>
      <c r="K179" s="34"/>
      <c r="L179" s="34">
        <v>2</v>
      </c>
      <c r="M179" s="50">
        <v>3</v>
      </c>
    </row>
    <row r="180" spans="1:13" ht="15.75" customHeight="1" x14ac:dyDescent="0.2">
      <c r="A180" s="34">
        <v>17385</v>
      </c>
      <c r="B180" s="34">
        <v>179</v>
      </c>
      <c r="C180" s="34" t="s">
        <v>896</v>
      </c>
      <c r="D180" s="34" t="s">
        <v>6952</v>
      </c>
      <c r="E180" s="34" t="s">
        <v>6953</v>
      </c>
      <c r="F180" s="34">
        <v>5</v>
      </c>
      <c r="G180" s="34" t="b">
        <v>0</v>
      </c>
      <c r="H180" s="34">
        <v>6</v>
      </c>
      <c r="I180" s="34">
        <v>5</v>
      </c>
      <c r="J180" s="34">
        <v>1</v>
      </c>
      <c r="K180" s="34"/>
      <c r="L180" s="34"/>
      <c r="M180" s="50">
        <v>1</v>
      </c>
    </row>
    <row r="181" spans="1:13" ht="15.75" customHeight="1" x14ac:dyDescent="0.2">
      <c r="A181" s="34">
        <v>17385</v>
      </c>
      <c r="B181" s="34">
        <v>180</v>
      </c>
      <c r="C181" s="34" t="s">
        <v>899</v>
      </c>
      <c r="D181" s="34" t="s">
        <v>6954</v>
      </c>
      <c r="E181" s="34" t="s">
        <v>6955</v>
      </c>
      <c r="F181" s="34">
        <v>5</v>
      </c>
      <c r="G181" s="34" t="b">
        <v>0</v>
      </c>
      <c r="H181" s="34">
        <v>5</v>
      </c>
      <c r="I181" s="34">
        <v>3</v>
      </c>
      <c r="J181" s="34">
        <v>2</v>
      </c>
      <c r="K181" s="34"/>
      <c r="L181" s="34"/>
      <c r="M181" s="50">
        <v>1</v>
      </c>
    </row>
    <row r="182" spans="1:13" ht="15.75" customHeight="1" x14ac:dyDescent="0.2">
      <c r="A182" s="34">
        <v>17385</v>
      </c>
      <c r="B182" s="34">
        <v>181</v>
      </c>
      <c r="C182" s="34" t="s">
        <v>902</v>
      </c>
      <c r="D182" s="34" t="s">
        <v>6956</v>
      </c>
      <c r="E182" s="34" t="s">
        <v>6957</v>
      </c>
      <c r="F182" s="34">
        <v>2</v>
      </c>
      <c r="G182" s="34" t="b">
        <v>1</v>
      </c>
      <c r="H182" s="34">
        <v>1</v>
      </c>
      <c r="I182" s="34">
        <v>1</v>
      </c>
      <c r="J182" s="34"/>
      <c r="K182" s="34"/>
      <c r="L182" s="34"/>
    </row>
    <row r="183" spans="1:13" ht="15.75" customHeight="1" x14ac:dyDescent="0.2">
      <c r="A183" s="34">
        <v>17385</v>
      </c>
      <c r="B183" s="34">
        <v>182</v>
      </c>
      <c r="C183" s="34" t="s">
        <v>905</v>
      </c>
      <c r="D183" s="34" t="s">
        <v>6958</v>
      </c>
      <c r="E183" s="34" t="s">
        <v>6959</v>
      </c>
      <c r="F183" s="34">
        <v>5</v>
      </c>
      <c r="G183" s="34" t="b">
        <v>0</v>
      </c>
      <c r="H183" s="34">
        <v>3</v>
      </c>
      <c r="I183" s="34">
        <v>2</v>
      </c>
      <c r="J183" s="34"/>
      <c r="K183" s="34"/>
      <c r="L183" s="34">
        <v>1</v>
      </c>
      <c r="M183" s="50">
        <v>1</v>
      </c>
    </row>
    <row r="184" spans="1:13" ht="15.75" customHeight="1" x14ac:dyDescent="0.2">
      <c r="A184" s="34">
        <v>17385</v>
      </c>
      <c r="B184" s="34">
        <v>183</v>
      </c>
      <c r="C184" s="34" t="s">
        <v>908</v>
      </c>
      <c r="D184" s="34" t="s">
        <v>6527</v>
      </c>
      <c r="E184" s="34" t="s">
        <v>6528</v>
      </c>
      <c r="F184" s="34">
        <v>1</v>
      </c>
      <c r="G184" s="34" t="b">
        <v>1</v>
      </c>
      <c r="H184" s="34">
        <v>7</v>
      </c>
      <c r="I184" s="34">
        <v>5</v>
      </c>
      <c r="J184" s="34">
        <v>2</v>
      </c>
      <c r="K184" s="34"/>
      <c r="L184" s="34"/>
    </row>
    <row r="185" spans="1:13" ht="15.75" customHeight="1" x14ac:dyDescent="0.2">
      <c r="A185" s="34">
        <v>17385</v>
      </c>
      <c r="B185" s="34">
        <v>184</v>
      </c>
      <c r="C185" s="34" t="s">
        <v>910</v>
      </c>
      <c r="D185" s="34" t="s">
        <v>6960</v>
      </c>
      <c r="E185" s="34" t="s">
        <v>6961</v>
      </c>
      <c r="F185" s="34">
        <v>2</v>
      </c>
      <c r="G185" s="34" t="b">
        <v>1</v>
      </c>
      <c r="H185" s="34">
        <v>1</v>
      </c>
      <c r="I185" s="34">
        <v>1</v>
      </c>
      <c r="J185" s="34"/>
      <c r="K185" s="34"/>
      <c r="L185" s="34"/>
      <c r="M185" s="50">
        <v>1</v>
      </c>
    </row>
    <row r="186" spans="1:13" ht="15.75" customHeight="1" x14ac:dyDescent="0.2">
      <c r="A186" s="34">
        <v>17385</v>
      </c>
      <c r="B186" s="34">
        <v>185</v>
      </c>
      <c r="C186" s="34" t="s">
        <v>913</v>
      </c>
      <c r="D186" s="34" t="s">
        <v>6962</v>
      </c>
      <c r="E186" s="34" t="s">
        <v>6532</v>
      </c>
      <c r="F186" s="34">
        <v>2</v>
      </c>
      <c r="G186" s="34" t="b">
        <v>1</v>
      </c>
      <c r="H186" s="34">
        <v>6</v>
      </c>
      <c r="I186" s="34">
        <v>6</v>
      </c>
      <c r="J186" s="34"/>
      <c r="K186" s="34"/>
      <c r="L186" s="34"/>
    </row>
    <row r="187" spans="1:13" ht="15.75" customHeight="1" x14ac:dyDescent="0.2">
      <c r="A187" s="34">
        <v>17385</v>
      </c>
      <c r="B187" s="34">
        <v>186</v>
      </c>
      <c r="C187" s="34" t="s">
        <v>916</v>
      </c>
      <c r="D187" s="34" t="s">
        <v>6533</v>
      </c>
      <c r="E187" s="34" t="s">
        <v>6534</v>
      </c>
      <c r="F187" s="34">
        <v>1</v>
      </c>
      <c r="G187" s="34" t="b">
        <v>1</v>
      </c>
      <c r="H187" s="34">
        <v>5</v>
      </c>
      <c r="I187" s="34">
        <v>5</v>
      </c>
      <c r="J187" s="34"/>
      <c r="K187" s="34"/>
      <c r="L187" s="34"/>
    </row>
    <row r="188" spans="1:13" ht="15.75" customHeight="1" x14ac:dyDescent="0.2">
      <c r="A188" s="34">
        <v>17385</v>
      </c>
      <c r="B188" s="34">
        <v>187</v>
      </c>
      <c r="C188" s="34" t="s">
        <v>919</v>
      </c>
      <c r="D188" s="34" t="s">
        <v>6535</v>
      </c>
      <c r="E188" s="34" t="s">
        <v>6536</v>
      </c>
      <c r="F188" s="34">
        <v>1</v>
      </c>
      <c r="G188" s="34" t="b">
        <v>1</v>
      </c>
      <c r="H188" s="34">
        <v>3</v>
      </c>
      <c r="I188" s="34">
        <v>3</v>
      </c>
      <c r="J188" s="34"/>
      <c r="K188" s="34"/>
      <c r="L188" s="34"/>
      <c r="M188" s="50">
        <v>1</v>
      </c>
    </row>
    <row r="189" spans="1:13" ht="15.75" customHeight="1" x14ac:dyDescent="0.2">
      <c r="A189" s="34">
        <v>17385</v>
      </c>
      <c r="B189" s="34">
        <v>188</v>
      </c>
      <c r="C189" s="34" t="s">
        <v>920</v>
      </c>
      <c r="D189" s="34" t="s">
        <v>6963</v>
      </c>
      <c r="E189" s="34" t="s">
        <v>6964</v>
      </c>
      <c r="F189" s="34">
        <v>2</v>
      </c>
      <c r="G189" s="34" t="b">
        <v>1</v>
      </c>
      <c r="H189" s="34">
        <v>6</v>
      </c>
      <c r="I189" s="34">
        <v>6</v>
      </c>
      <c r="J189" s="34"/>
      <c r="K189" s="34"/>
      <c r="L189" s="34"/>
    </row>
    <row r="190" spans="1:13" ht="15.75" customHeight="1" x14ac:dyDescent="0.2">
      <c r="A190" s="34">
        <v>17385</v>
      </c>
      <c r="B190" s="34">
        <v>189</v>
      </c>
      <c r="C190" s="34" t="s">
        <v>923</v>
      </c>
      <c r="D190" s="34" t="s">
        <v>6538</v>
      </c>
      <c r="E190" s="34" t="s">
        <v>6539</v>
      </c>
      <c r="F190" s="34">
        <v>1</v>
      </c>
      <c r="G190" s="34" t="b">
        <v>1</v>
      </c>
      <c r="H190" s="34">
        <v>1</v>
      </c>
      <c r="I190" s="34"/>
      <c r="J190" s="34">
        <v>1</v>
      </c>
      <c r="K190" s="34"/>
      <c r="L190" s="34"/>
      <c r="M190" s="50">
        <v>1</v>
      </c>
    </row>
    <row r="191" spans="1:13" ht="15.75" customHeight="1" x14ac:dyDescent="0.2">
      <c r="A191" s="34">
        <v>17385</v>
      </c>
      <c r="B191" s="34">
        <v>190</v>
      </c>
      <c r="C191" s="34" t="s">
        <v>926</v>
      </c>
      <c r="D191" s="34" t="s">
        <v>6540</v>
      </c>
      <c r="E191" s="34" t="s">
        <v>6541</v>
      </c>
      <c r="F191" s="34">
        <v>1</v>
      </c>
      <c r="G191" s="34" t="b">
        <v>1</v>
      </c>
      <c r="H191" s="34">
        <v>4</v>
      </c>
      <c r="I191" s="34">
        <v>4</v>
      </c>
      <c r="J191" s="34"/>
      <c r="K191" s="34"/>
      <c r="L191" s="34"/>
    </row>
    <row r="192" spans="1:13" ht="15.75" customHeight="1" x14ac:dyDescent="0.2">
      <c r="A192" s="34">
        <v>17385</v>
      </c>
      <c r="B192" s="34">
        <v>191</v>
      </c>
      <c r="C192" s="34" t="s">
        <v>927</v>
      </c>
      <c r="D192" s="34" t="s">
        <v>6965</v>
      </c>
      <c r="E192" s="34" t="s">
        <v>6966</v>
      </c>
      <c r="F192" s="34">
        <v>5</v>
      </c>
      <c r="G192" s="34" t="b">
        <v>0</v>
      </c>
      <c r="H192" s="34">
        <v>5</v>
      </c>
      <c r="I192" s="34">
        <v>3</v>
      </c>
      <c r="J192" s="34"/>
      <c r="K192" s="34">
        <v>2</v>
      </c>
      <c r="L192" s="34"/>
      <c r="M192" s="50">
        <v>1</v>
      </c>
    </row>
    <row r="193" spans="1:13" ht="15.75" customHeight="1" x14ac:dyDescent="0.2">
      <c r="A193" s="34">
        <v>17385</v>
      </c>
      <c r="B193" s="34">
        <v>192</v>
      </c>
      <c r="C193" s="34" t="s">
        <v>928</v>
      </c>
      <c r="D193" s="34" t="s">
        <v>6544</v>
      </c>
      <c r="E193" s="34" t="s">
        <v>6545</v>
      </c>
      <c r="F193" s="34">
        <v>1</v>
      </c>
      <c r="G193" s="34" t="b">
        <v>1</v>
      </c>
      <c r="H193" s="34">
        <v>5</v>
      </c>
      <c r="I193" s="34">
        <v>5</v>
      </c>
      <c r="J193" s="34"/>
      <c r="K193" s="34"/>
      <c r="L193" s="34"/>
    </row>
    <row r="194" spans="1:13" ht="15.75" customHeight="1" x14ac:dyDescent="0.2">
      <c r="A194" s="34">
        <v>17385</v>
      </c>
      <c r="B194" s="34">
        <v>193</v>
      </c>
      <c r="C194" s="34" t="s">
        <v>931</v>
      </c>
      <c r="D194" s="34" t="s">
        <v>6967</v>
      </c>
      <c r="E194" s="34" t="s">
        <v>6968</v>
      </c>
      <c r="F194" s="34">
        <v>5</v>
      </c>
      <c r="G194" s="34" t="b">
        <v>0</v>
      </c>
      <c r="H194" s="34">
        <v>4</v>
      </c>
      <c r="I194" s="34">
        <v>3</v>
      </c>
      <c r="J194" s="34"/>
      <c r="K194" s="34">
        <v>1</v>
      </c>
      <c r="L194" s="34"/>
      <c r="M194" s="50">
        <v>1</v>
      </c>
    </row>
    <row r="195" spans="1:13" ht="15.75" customHeight="1" x14ac:dyDescent="0.2">
      <c r="A195" s="34">
        <v>17385</v>
      </c>
      <c r="B195" s="34">
        <v>194</v>
      </c>
      <c r="C195" s="34" t="s">
        <v>932</v>
      </c>
      <c r="D195" s="34" t="s">
        <v>6969</v>
      </c>
      <c r="E195" s="34" t="s">
        <v>6970</v>
      </c>
      <c r="F195" s="34">
        <v>5</v>
      </c>
      <c r="G195" s="34" t="b">
        <v>0</v>
      </c>
      <c r="H195" s="34">
        <v>1</v>
      </c>
      <c r="I195" s="34">
        <v>1</v>
      </c>
      <c r="J195" s="34"/>
      <c r="K195" s="34"/>
      <c r="L195" s="34"/>
      <c r="M195" s="50">
        <v>2</v>
      </c>
    </row>
    <row r="196" spans="1:13" ht="15.75" customHeight="1" x14ac:dyDescent="0.2">
      <c r="A196" s="34">
        <v>17386</v>
      </c>
      <c r="B196" s="34">
        <v>195</v>
      </c>
      <c r="C196" s="34" t="s">
        <v>933</v>
      </c>
      <c r="D196" s="34" t="s">
        <v>6550</v>
      </c>
      <c r="E196" s="34" t="s">
        <v>6551</v>
      </c>
      <c r="F196" s="34">
        <v>1</v>
      </c>
      <c r="G196" s="34" t="b">
        <v>1</v>
      </c>
      <c r="H196" s="34">
        <v>3</v>
      </c>
      <c r="I196" s="34">
        <v>3</v>
      </c>
      <c r="J196" s="34"/>
      <c r="K196" s="34"/>
      <c r="L196" s="34"/>
    </row>
    <row r="197" spans="1:13" ht="15.75" customHeight="1" x14ac:dyDescent="0.2">
      <c r="A197" s="34">
        <v>17386</v>
      </c>
      <c r="B197" s="34">
        <v>196</v>
      </c>
      <c r="C197" s="34" t="s">
        <v>936</v>
      </c>
      <c r="D197" s="34" t="s">
        <v>6971</v>
      </c>
      <c r="E197" s="34" t="s">
        <v>6972</v>
      </c>
      <c r="F197" s="34">
        <v>3</v>
      </c>
      <c r="G197" s="34" t="b">
        <v>1</v>
      </c>
      <c r="H197" s="34">
        <v>4</v>
      </c>
      <c r="I197" s="34">
        <v>4</v>
      </c>
      <c r="J197" s="34"/>
      <c r="K197" s="34"/>
      <c r="L197" s="34"/>
      <c r="M197" s="50">
        <v>1</v>
      </c>
    </row>
    <row r="198" spans="1:13" ht="15.75" customHeight="1" x14ac:dyDescent="0.2">
      <c r="A198" s="34">
        <v>17386</v>
      </c>
      <c r="B198" s="34">
        <v>197</v>
      </c>
      <c r="C198" s="34" t="s">
        <v>939</v>
      </c>
      <c r="D198" s="34" t="s">
        <v>6554</v>
      </c>
      <c r="E198" s="34" t="s">
        <v>6555</v>
      </c>
      <c r="F198" s="34">
        <v>1</v>
      </c>
      <c r="G198" s="34" t="b">
        <v>1</v>
      </c>
      <c r="H198" s="34">
        <v>3</v>
      </c>
      <c r="I198" s="34">
        <v>3</v>
      </c>
      <c r="J198" s="34"/>
      <c r="K198" s="34"/>
      <c r="L198" s="34"/>
    </row>
    <row r="199" spans="1:13" ht="15.75" customHeight="1" x14ac:dyDescent="0.2">
      <c r="A199" s="34">
        <v>17386</v>
      </c>
      <c r="B199" s="34">
        <v>198</v>
      </c>
      <c r="C199" s="34" t="s">
        <v>942</v>
      </c>
      <c r="D199" s="34" t="s">
        <v>6556</v>
      </c>
      <c r="E199" s="34" t="s">
        <v>6557</v>
      </c>
      <c r="F199" s="34">
        <v>1</v>
      </c>
      <c r="G199" s="34" t="b">
        <v>1</v>
      </c>
      <c r="H199" s="34">
        <v>3</v>
      </c>
      <c r="I199" s="34">
        <v>3</v>
      </c>
      <c r="J199" s="34"/>
      <c r="K199" s="34"/>
      <c r="L199" s="34"/>
    </row>
    <row r="200" spans="1:13" ht="15.75" customHeight="1" x14ac:dyDescent="0.2">
      <c r="A200" s="34">
        <v>17386</v>
      </c>
      <c r="B200" s="34">
        <v>199</v>
      </c>
      <c r="C200" s="34" t="s">
        <v>945</v>
      </c>
      <c r="D200" s="34" t="s">
        <v>6558</v>
      </c>
      <c r="E200" s="34" t="s">
        <v>6559</v>
      </c>
      <c r="F200" s="34">
        <v>1</v>
      </c>
      <c r="G200" s="34" t="b">
        <v>1</v>
      </c>
      <c r="H200" s="34">
        <v>2</v>
      </c>
      <c r="I200" s="34">
        <v>2</v>
      </c>
      <c r="J200" s="34"/>
      <c r="K200" s="34"/>
      <c r="L200" s="34"/>
    </row>
    <row r="201" spans="1:13" ht="15.75" customHeight="1" x14ac:dyDescent="0.2">
      <c r="A201" s="34">
        <v>17386</v>
      </c>
      <c r="B201" s="34">
        <v>200</v>
      </c>
      <c r="C201" s="34" t="s">
        <v>946</v>
      </c>
      <c r="D201" s="34" t="s">
        <v>6973</v>
      </c>
      <c r="E201" s="34" t="s">
        <v>6974</v>
      </c>
      <c r="F201" s="34">
        <v>2</v>
      </c>
      <c r="G201" s="34" t="b">
        <v>1</v>
      </c>
      <c r="H201" s="34">
        <v>2</v>
      </c>
      <c r="I201" s="34">
        <v>2</v>
      </c>
      <c r="J201" s="34"/>
      <c r="K201" s="34"/>
      <c r="L201" s="34"/>
    </row>
    <row r="202" spans="1:13" ht="15.75" customHeight="1" x14ac:dyDescent="0.2">
      <c r="A202" s="34">
        <v>17386</v>
      </c>
      <c r="B202" s="34">
        <v>201</v>
      </c>
      <c r="C202" s="34" t="s">
        <v>947</v>
      </c>
      <c r="D202" s="34" t="s">
        <v>6975</v>
      </c>
      <c r="E202" s="34" t="s">
        <v>6976</v>
      </c>
      <c r="F202" s="34">
        <v>2</v>
      </c>
      <c r="G202" s="34" t="b">
        <v>1</v>
      </c>
      <c r="H202" s="34">
        <v>3</v>
      </c>
      <c r="I202" s="34">
        <v>3</v>
      </c>
      <c r="J202" s="34"/>
      <c r="K202" s="34"/>
      <c r="L202" s="34"/>
    </row>
    <row r="203" spans="1:13" ht="15.75" customHeight="1" x14ac:dyDescent="0.2">
      <c r="A203" s="34">
        <v>17386</v>
      </c>
      <c r="B203" s="34">
        <v>202</v>
      </c>
      <c r="C203" s="34" t="s">
        <v>949</v>
      </c>
      <c r="D203" s="34" t="s">
        <v>6564</v>
      </c>
      <c r="E203" s="34" t="s">
        <v>6565</v>
      </c>
      <c r="F203" s="34">
        <v>1</v>
      </c>
      <c r="G203" s="34" t="b">
        <v>1</v>
      </c>
      <c r="H203" s="34">
        <v>1</v>
      </c>
      <c r="I203" s="34">
        <v>1</v>
      </c>
      <c r="J203" s="34"/>
      <c r="K203" s="34"/>
      <c r="L203" s="34"/>
    </row>
    <row r="204" spans="1:13" ht="15.75" customHeight="1" x14ac:dyDescent="0.2">
      <c r="A204" s="34">
        <v>17386</v>
      </c>
      <c r="B204" s="34">
        <v>203</v>
      </c>
      <c r="C204" s="34" t="s">
        <v>950</v>
      </c>
      <c r="D204" s="34" t="s">
        <v>6566</v>
      </c>
      <c r="E204" s="34" t="s">
        <v>6567</v>
      </c>
      <c r="F204" s="34">
        <v>1</v>
      </c>
      <c r="G204" s="34" t="b">
        <v>1</v>
      </c>
      <c r="H204" s="34">
        <v>4</v>
      </c>
      <c r="I204" s="34">
        <v>4</v>
      </c>
      <c r="J204" s="34"/>
      <c r="K204" s="34"/>
      <c r="L204" s="34"/>
    </row>
    <row r="205" spans="1:13" ht="15.75" customHeight="1" x14ac:dyDescent="0.2">
      <c r="A205" s="34">
        <v>17386</v>
      </c>
      <c r="B205" s="34">
        <v>204</v>
      </c>
      <c r="C205" s="34" t="s">
        <v>951</v>
      </c>
      <c r="D205" s="34" t="s">
        <v>6568</v>
      </c>
      <c r="E205" s="34" t="s">
        <v>6569</v>
      </c>
      <c r="F205" s="34">
        <v>1</v>
      </c>
      <c r="G205" s="34" t="b">
        <v>1</v>
      </c>
      <c r="H205" s="34">
        <v>1</v>
      </c>
      <c r="I205" s="34">
        <v>1</v>
      </c>
      <c r="J205" s="34"/>
      <c r="K205" s="34"/>
      <c r="L205" s="34"/>
    </row>
    <row r="206" spans="1:13" ht="15.75" customHeight="1" x14ac:dyDescent="0.2">
      <c r="A206" s="34">
        <v>17386</v>
      </c>
      <c r="B206" s="34">
        <v>205</v>
      </c>
      <c r="C206" s="34" t="s">
        <v>952</v>
      </c>
      <c r="D206" s="34" t="s">
        <v>6570</v>
      </c>
      <c r="E206" s="34"/>
      <c r="F206" s="34">
        <v>1</v>
      </c>
      <c r="G206" s="34" t="b">
        <v>1</v>
      </c>
      <c r="H206" s="34">
        <v>0</v>
      </c>
      <c r="I206" s="34"/>
      <c r="J206" s="34"/>
      <c r="K206" s="34"/>
      <c r="L206" s="34"/>
    </row>
    <row r="207" spans="1:13" ht="15.75" customHeight="1" x14ac:dyDescent="0.2">
      <c r="A207" s="34">
        <v>17386</v>
      </c>
      <c r="B207" s="34">
        <v>206</v>
      </c>
      <c r="C207" s="34" t="s">
        <v>953</v>
      </c>
      <c r="D207" s="34" t="s">
        <v>6556</v>
      </c>
      <c r="E207" s="34" t="s">
        <v>6571</v>
      </c>
      <c r="F207" s="34">
        <v>1</v>
      </c>
      <c r="G207" s="34" t="b">
        <v>1</v>
      </c>
      <c r="H207" s="34">
        <v>3</v>
      </c>
      <c r="I207" s="34">
        <v>3</v>
      </c>
      <c r="J207" s="34"/>
      <c r="K207" s="34"/>
      <c r="L207" s="34"/>
    </row>
    <row r="208" spans="1:13" ht="15.75" customHeight="1" x14ac:dyDescent="0.2">
      <c r="A208" s="34">
        <v>17386</v>
      </c>
      <c r="B208" s="34">
        <v>207</v>
      </c>
      <c r="C208" s="34" t="s">
        <v>956</v>
      </c>
      <c r="D208" s="34" t="s">
        <v>6572</v>
      </c>
      <c r="E208" s="34" t="s">
        <v>6573</v>
      </c>
      <c r="F208" s="34">
        <v>1</v>
      </c>
      <c r="G208" s="34" t="b">
        <v>1</v>
      </c>
      <c r="H208" s="34">
        <v>3</v>
      </c>
      <c r="I208" s="34">
        <v>2</v>
      </c>
      <c r="J208" s="34">
        <v>1</v>
      </c>
      <c r="K208" s="34"/>
      <c r="L208" s="34"/>
    </row>
    <row r="209" spans="1:13" ht="15.75" customHeight="1" x14ac:dyDescent="0.2">
      <c r="A209" s="34">
        <v>17386</v>
      </c>
      <c r="B209" s="34">
        <v>208</v>
      </c>
      <c r="C209" s="34" t="s">
        <v>959</v>
      </c>
      <c r="D209" s="34" t="s">
        <v>6574</v>
      </c>
      <c r="E209" s="34" t="s">
        <v>6575</v>
      </c>
      <c r="F209" s="34">
        <v>1</v>
      </c>
      <c r="G209" s="34" t="b">
        <v>1</v>
      </c>
      <c r="H209" s="34">
        <v>4</v>
      </c>
      <c r="I209" s="34">
        <v>4</v>
      </c>
      <c r="J209" s="34"/>
      <c r="K209" s="34"/>
      <c r="L209" s="34"/>
    </row>
    <row r="210" spans="1:13" ht="15.75" customHeight="1" x14ac:dyDescent="0.2">
      <c r="A210" s="34">
        <v>17386</v>
      </c>
      <c r="B210" s="34">
        <v>209</v>
      </c>
      <c r="C210" s="34" t="s">
        <v>962</v>
      </c>
      <c r="D210" s="34" t="s">
        <v>6576</v>
      </c>
      <c r="E210" s="34" t="s">
        <v>6577</v>
      </c>
      <c r="F210" s="34">
        <v>1</v>
      </c>
      <c r="G210" s="34" t="b">
        <v>1</v>
      </c>
      <c r="H210" s="34">
        <v>5</v>
      </c>
      <c r="I210" s="34">
        <v>5</v>
      </c>
      <c r="J210" s="34"/>
      <c r="K210" s="34"/>
      <c r="L210" s="34"/>
    </row>
    <row r="211" spans="1:13" ht="15.75" customHeight="1" x14ac:dyDescent="0.2">
      <c r="A211" s="34">
        <v>17386</v>
      </c>
      <c r="B211" s="34">
        <v>210</v>
      </c>
      <c r="C211" s="34" t="s">
        <v>965</v>
      </c>
      <c r="D211" s="34" t="s">
        <v>6578</v>
      </c>
      <c r="E211" s="34" t="s">
        <v>6579</v>
      </c>
      <c r="F211" s="34">
        <v>1</v>
      </c>
      <c r="G211" s="34" t="b">
        <v>1</v>
      </c>
      <c r="H211" s="34">
        <v>2</v>
      </c>
      <c r="I211" s="34">
        <v>2</v>
      </c>
      <c r="J211" s="34"/>
      <c r="K211" s="34"/>
      <c r="L211" s="34"/>
    </row>
    <row r="212" spans="1:13" ht="15.75" customHeight="1" x14ac:dyDescent="0.2">
      <c r="A212" s="34">
        <v>17387</v>
      </c>
      <c r="B212" s="34">
        <v>211</v>
      </c>
      <c r="C212" s="34" t="s">
        <v>968</v>
      </c>
      <c r="D212" s="34" t="s">
        <v>4608</v>
      </c>
      <c r="E212" s="34" t="s">
        <v>6977</v>
      </c>
      <c r="F212" s="34">
        <v>2</v>
      </c>
      <c r="G212" s="34" t="b">
        <v>1</v>
      </c>
      <c r="H212" s="34">
        <v>5</v>
      </c>
      <c r="I212" s="34">
        <v>5</v>
      </c>
      <c r="J212" s="34">
        <v>0</v>
      </c>
      <c r="K212" s="34">
        <v>0</v>
      </c>
      <c r="L212" s="34">
        <v>0</v>
      </c>
      <c r="M212" s="50">
        <v>0</v>
      </c>
    </row>
    <row r="213" spans="1:13" ht="15.75" customHeight="1" x14ac:dyDescent="0.2">
      <c r="A213" s="34">
        <v>17387</v>
      </c>
      <c r="B213" s="34">
        <v>212</v>
      </c>
      <c r="C213" s="34" t="s">
        <v>971</v>
      </c>
      <c r="D213" s="34" t="s">
        <v>6978</v>
      </c>
      <c r="E213" s="34" t="s">
        <v>6979</v>
      </c>
      <c r="F213" s="34">
        <v>2</v>
      </c>
      <c r="G213" s="34" t="b">
        <v>1</v>
      </c>
      <c r="H213" s="34">
        <v>2</v>
      </c>
      <c r="I213" s="34">
        <v>2</v>
      </c>
      <c r="J213" s="34">
        <v>0</v>
      </c>
      <c r="K213" s="34">
        <v>0</v>
      </c>
      <c r="L213" s="34">
        <v>0</v>
      </c>
      <c r="M213" s="50">
        <v>0</v>
      </c>
    </row>
    <row r="214" spans="1:13" ht="15.75" customHeight="1" x14ac:dyDescent="0.2">
      <c r="A214" s="34">
        <v>17387</v>
      </c>
      <c r="B214" s="34">
        <v>213</v>
      </c>
      <c r="C214" s="34" t="s">
        <v>973</v>
      </c>
      <c r="D214" s="34" t="s">
        <v>6584</v>
      </c>
      <c r="E214" s="34" t="s">
        <v>6585</v>
      </c>
      <c r="F214" s="34">
        <v>1</v>
      </c>
      <c r="G214" s="34" t="b">
        <v>1</v>
      </c>
      <c r="H214" s="34">
        <v>1</v>
      </c>
      <c r="I214" s="34">
        <v>1</v>
      </c>
      <c r="J214" s="34">
        <v>0</v>
      </c>
      <c r="K214" s="34">
        <v>0</v>
      </c>
      <c r="L214" s="34">
        <v>0</v>
      </c>
      <c r="M214" s="50">
        <v>1</v>
      </c>
    </row>
    <row r="215" spans="1:13" ht="15.75" customHeight="1" x14ac:dyDescent="0.2">
      <c r="A215" s="34">
        <v>17387</v>
      </c>
      <c r="B215" s="34">
        <v>214</v>
      </c>
      <c r="C215" s="34" t="s">
        <v>976</v>
      </c>
      <c r="D215" s="34" t="s">
        <v>6586</v>
      </c>
      <c r="E215" s="34" t="s">
        <v>6587</v>
      </c>
      <c r="F215" s="34">
        <v>1</v>
      </c>
      <c r="G215" s="34" t="b">
        <v>1</v>
      </c>
      <c r="H215" s="34">
        <v>1</v>
      </c>
      <c r="I215" s="34">
        <v>1</v>
      </c>
      <c r="J215" s="34">
        <v>0</v>
      </c>
      <c r="K215" s="34">
        <v>0</v>
      </c>
      <c r="L215" s="34">
        <v>0</v>
      </c>
      <c r="M215" s="50">
        <v>0</v>
      </c>
    </row>
    <row r="216" spans="1:13" ht="15.75" customHeight="1" x14ac:dyDescent="0.2">
      <c r="A216" s="34">
        <v>17387</v>
      </c>
      <c r="B216" s="34">
        <v>215</v>
      </c>
      <c r="C216" s="34" t="s">
        <v>977</v>
      </c>
      <c r="D216" s="34" t="s">
        <v>6588</v>
      </c>
      <c r="E216" s="34" t="s">
        <v>6589</v>
      </c>
      <c r="F216" s="34">
        <v>1</v>
      </c>
      <c r="G216" s="34" t="b">
        <v>1</v>
      </c>
      <c r="H216" s="34">
        <v>1</v>
      </c>
      <c r="I216" s="34">
        <v>1</v>
      </c>
      <c r="J216" s="34">
        <v>0</v>
      </c>
      <c r="K216" s="34">
        <v>0</v>
      </c>
      <c r="L216" s="34">
        <v>0</v>
      </c>
      <c r="M216" s="50">
        <v>1</v>
      </c>
    </row>
    <row r="217" spans="1:13" ht="15.75" customHeight="1" x14ac:dyDescent="0.2">
      <c r="A217" s="34">
        <v>17387</v>
      </c>
      <c r="B217" s="34">
        <v>216</v>
      </c>
      <c r="C217" s="34" t="s">
        <v>978</v>
      </c>
      <c r="D217" s="34" t="s">
        <v>6590</v>
      </c>
      <c r="E217" s="34" t="s">
        <v>6591</v>
      </c>
      <c r="F217" s="34">
        <v>1</v>
      </c>
      <c r="G217" s="34" t="b">
        <v>1</v>
      </c>
      <c r="H217" s="34">
        <v>4</v>
      </c>
      <c r="I217" s="34">
        <v>4</v>
      </c>
      <c r="J217" s="34">
        <v>0</v>
      </c>
      <c r="K217" s="34">
        <v>0</v>
      </c>
      <c r="L217" s="34">
        <v>0</v>
      </c>
      <c r="M217" s="50">
        <v>1</v>
      </c>
    </row>
    <row r="218" spans="1:13" ht="15.75" customHeight="1" x14ac:dyDescent="0.2">
      <c r="A218" s="34">
        <v>17387</v>
      </c>
      <c r="B218" s="34">
        <v>217</v>
      </c>
      <c r="C218" s="34" t="s">
        <v>979</v>
      </c>
      <c r="D218" s="34" t="s">
        <v>6980</v>
      </c>
      <c r="E218" s="34" t="s">
        <v>6981</v>
      </c>
      <c r="F218" s="34">
        <v>2</v>
      </c>
      <c r="G218" s="34" t="b">
        <v>1</v>
      </c>
      <c r="H218" s="34">
        <v>3</v>
      </c>
      <c r="I218" s="34">
        <v>1</v>
      </c>
      <c r="J218" s="34">
        <v>2</v>
      </c>
      <c r="K218" s="34">
        <v>0</v>
      </c>
      <c r="L218" s="34">
        <v>0</v>
      </c>
      <c r="M218" s="50">
        <v>0</v>
      </c>
    </row>
    <row r="219" spans="1:13" ht="15.75" customHeight="1" x14ac:dyDescent="0.2">
      <c r="A219" s="34">
        <v>17387</v>
      </c>
      <c r="B219" s="34">
        <v>218</v>
      </c>
      <c r="C219" s="34" t="s">
        <v>980</v>
      </c>
      <c r="D219" s="34" t="s">
        <v>4608</v>
      </c>
      <c r="E219" s="34" t="s">
        <v>6594</v>
      </c>
      <c r="F219" s="34">
        <v>1</v>
      </c>
      <c r="G219" s="34" t="b">
        <v>1</v>
      </c>
      <c r="H219" s="34">
        <v>1</v>
      </c>
      <c r="I219" s="34">
        <v>1</v>
      </c>
      <c r="J219" s="34">
        <v>0</v>
      </c>
      <c r="K219" s="34">
        <v>0</v>
      </c>
      <c r="L219" s="34">
        <v>0</v>
      </c>
      <c r="M219" s="50">
        <v>0</v>
      </c>
    </row>
    <row r="220" spans="1:13" ht="15.75" customHeight="1" x14ac:dyDescent="0.2">
      <c r="A220" s="34">
        <v>17387</v>
      </c>
      <c r="B220" s="34">
        <v>219</v>
      </c>
      <c r="C220" s="34" t="s">
        <v>983</v>
      </c>
      <c r="D220" s="34" t="s">
        <v>4608</v>
      </c>
      <c r="E220" s="34" t="s">
        <v>6982</v>
      </c>
      <c r="F220" s="34">
        <v>2</v>
      </c>
      <c r="G220" s="34" t="b">
        <v>1</v>
      </c>
      <c r="H220" s="34">
        <v>1</v>
      </c>
      <c r="I220" s="34">
        <v>1</v>
      </c>
      <c r="J220" s="34">
        <v>0</v>
      </c>
      <c r="K220" s="34">
        <v>0</v>
      </c>
      <c r="L220" s="34">
        <v>0</v>
      </c>
      <c r="M220" s="50">
        <v>0</v>
      </c>
    </row>
    <row r="221" spans="1:13" ht="15.75" customHeight="1" x14ac:dyDescent="0.2">
      <c r="A221" s="34">
        <v>17387</v>
      </c>
      <c r="B221" s="34">
        <v>220</v>
      </c>
      <c r="C221" s="34" t="s">
        <v>984</v>
      </c>
      <c r="D221" s="34" t="s">
        <v>6983</v>
      </c>
      <c r="E221" s="34" t="s">
        <v>6984</v>
      </c>
      <c r="F221" s="34">
        <v>2</v>
      </c>
      <c r="G221" s="34" t="b">
        <v>1</v>
      </c>
      <c r="H221" s="34">
        <v>3</v>
      </c>
      <c r="I221" s="34">
        <v>3</v>
      </c>
      <c r="J221" s="34">
        <v>0</v>
      </c>
      <c r="K221" s="34">
        <v>0</v>
      </c>
      <c r="L221" s="34">
        <v>0</v>
      </c>
      <c r="M221" s="50">
        <v>0</v>
      </c>
    </row>
    <row r="222" spans="1:13" ht="15.75" customHeight="1" x14ac:dyDescent="0.2">
      <c r="A222" s="34">
        <v>17387</v>
      </c>
      <c r="B222" s="34">
        <v>221</v>
      </c>
      <c r="C222" s="34" t="s">
        <v>985</v>
      </c>
      <c r="D222" s="34" t="s">
        <v>6599</v>
      </c>
      <c r="E222" s="34" t="s">
        <v>6600</v>
      </c>
      <c r="F222" s="34">
        <v>1</v>
      </c>
      <c r="G222" s="34" t="b">
        <v>1</v>
      </c>
      <c r="H222" s="34">
        <v>2</v>
      </c>
      <c r="I222" s="34">
        <v>1</v>
      </c>
      <c r="J222" s="34">
        <v>0</v>
      </c>
      <c r="K222" s="34">
        <v>0</v>
      </c>
      <c r="L222" s="34">
        <v>1</v>
      </c>
      <c r="M222" s="50">
        <v>1</v>
      </c>
    </row>
    <row r="223" spans="1:13" ht="15.75" customHeight="1" x14ac:dyDescent="0.2">
      <c r="A223" s="34">
        <v>17387</v>
      </c>
      <c r="B223" s="34">
        <v>222</v>
      </c>
      <c r="C223" s="34" t="s">
        <v>986</v>
      </c>
      <c r="D223" s="34" t="s">
        <v>6601</v>
      </c>
      <c r="E223" s="34" t="s">
        <v>6602</v>
      </c>
      <c r="F223" s="34">
        <v>1</v>
      </c>
      <c r="G223" s="34" t="b">
        <v>1</v>
      </c>
      <c r="H223" s="34">
        <v>1</v>
      </c>
      <c r="I223" s="34">
        <v>1</v>
      </c>
      <c r="J223" s="34">
        <v>0</v>
      </c>
      <c r="K223" s="34">
        <v>0</v>
      </c>
      <c r="L223" s="34">
        <v>0</v>
      </c>
      <c r="M223" s="50">
        <v>0</v>
      </c>
    </row>
    <row r="224" spans="1:13" ht="15.75" customHeight="1" x14ac:dyDescent="0.2">
      <c r="A224" s="34">
        <v>17387</v>
      </c>
      <c r="B224" s="34">
        <v>223</v>
      </c>
      <c r="C224" s="34" t="s">
        <v>989</v>
      </c>
      <c r="D224" s="34" t="s">
        <v>6603</v>
      </c>
      <c r="E224" s="34" t="s">
        <v>6604</v>
      </c>
      <c r="F224" s="34">
        <v>1</v>
      </c>
      <c r="G224" s="34" t="b">
        <v>1</v>
      </c>
      <c r="H224" s="34">
        <v>3</v>
      </c>
      <c r="I224" s="34">
        <v>2</v>
      </c>
      <c r="J224" s="34">
        <v>1</v>
      </c>
      <c r="K224" s="34">
        <v>0</v>
      </c>
      <c r="L224" s="34">
        <v>0</v>
      </c>
      <c r="M224" s="50">
        <v>0</v>
      </c>
    </row>
    <row r="225" spans="1:13" ht="15.75" customHeight="1" x14ac:dyDescent="0.2">
      <c r="A225" s="34">
        <v>17387</v>
      </c>
      <c r="B225" s="34">
        <v>224</v>
      </c>
      <c r="C225" s="34" t="s">
        <v>990</v>
      </c>
      <c r="D225" s="34" t="s">
        <v>6605</v>
      </c>
      <c r="E225" s="34" t="s">
        <v>6606</v>
      </c>
      <c r="F225" s="34">
        <v>1</v>
      </c>
      <c r="G225" s="34" t="b">
        <v>1</v>
      </c>
      <c r="H225" s="34">
        <v>1</v>
      </c>
      <c r="I225" s="34">
        <v>1</v>
      </c>
      <c r="J225" s="34">
        <v>0</v>
      </c>
      <c r="K225" s="34">
        <v>0</v>
      </c>
      <c r="L225" s="34">
        <v>0</v>
      </c>
      <c r="M225" s="50">
        <v>0</v>
      </c>
    </row>
    <row r="226" spans="1:13" ht="15.75" customHeight="1" x14ac:dyDescent="0.2">
      <c r="A226" s="34">
        <v>17387</v>
      </c>
      <c r="B226" s="34">
        <v>225</v>
      </c>
      <c r="C226" s="34" t="s">
        <v>993</v>
      </c>
      <c r="D226" s="34" t="s">
        <v>6985</v>
      </c>
      <c r="E226" s="34" t="s">
        <v>6986</v>
      </c>
      <c r="F226" s="34">
        <v>3</v>
      </c>
      <c r="G226" s="34" t="b">
        <v>1</v>
      </c>
      <c r="H226" s="34">
        <v>2</v>
      </c>
      <c r="I226" s="34">
        <v>2</v>
      </c>
      <c r="J226" s="34">
        <v>0</v>
      </c>
      <c r="K226" s="34">
        <v>0</v>
      </c>
      <c r="L226" s="34">
        <v>0</v>
      </c>
      <c r="M226" s="50">
        <v>0</v>
      </c>
    </row>
    <row r="227" spans="1:13" ht="15.75" customHeight="1" x14ac:dyDescent="0.2">
      <c r="A227" s="34">
        <v>17387</v>
      </c>
      <c r="B227" s="34">
        <v>226</v>
      </c>
      <c r="C227" s="34" t="s">
        <v>996</v>
      </c>
      <c r="D227" s="34" t="s">
        <v>6987</v>
      </c>
      <c r="E227" s="34" t="s">
        <v>6988</v>
      </c>
      <c r="F227" s="34">
        <v>4</v>
      </c>
      <c r="G227" s="34" t="b">
        <v>1</v>
      </c>
      <c r="H227" s="34">
        <v>1</v>
      </c>
      <c r="I227" s="34">
        <v>1</v>
      </c>
      <c r="J227" s="34">
        <v>0</v>
      </c>
      <c r="K227" s="34">
        <v>0</v>
      </c>
      <c r="L227" s="34">
        <v>0</v>
      </c>
      <c r="M227" s="50">
        <v>0</v>
      </c>
    </row>
    <row r="228" spans="1:13" ht="15.75" customHeight="1" x14ac:dyDescent="0.2">
      <c r="A228" s="34">
        <v>17387</v>
      </c>
      <c r="B228" s="34">
        <v>227</v>
      </c>
      <c r="C228" s="34" t="s">
        <v>997</v>
      </c>
      <c r="D228" s="34" t="s">
        <v>4608</v>
      </c>
      <c r="E228" s="34" t="s">
        <v>6611</v>
      </c>
      <c r="F228" s="34">
        <v>1</v>
      </c>
      <c r="G228" s="34" t="b">
        <v>1</v>
      </c>
      <c r="H228" s="34">
        <v>1</v>
      </c>
      <c r="I228" s="34">
        <v>1</v>
      </c>
      <c r="J228" s="34">
        <v>0</v>
      </c>
      <c r="K228" s="34">
        <v>0</v>
      </c>
      <c r="L228" s="34">
        <v>0</v>
      </c>
      <c r="M228" s="50">
        <v>0</v>
      </c>
    </row>
    <row r="229" spans="1:13" ht="15.75" customHeight="1" x14ac:dyDescent="0.2">
      <c r="A229" s="34">
        <v>17387</v>
      </c>
      <c r="B229" s="34">
        <v>228</v>
      </c>
      <c r="C229" s="34" t="s">
        <v>1000</v>
      </c>
      <c r="D229" s="34" t="s">
        <v>6612</v>
      </c>
      <c r="E229" s="34" t="s">
        <v>6613</v>
      </c>
      <c r="F229" s="34">
        <v>1</v>
      </c>
      <c r="G229" s="34" t="b">
        <v>1</v>
      </c>
      <c r="H229" s="34">
        <v>2</v>
      </c>
      <c r="I229" s="34">
        <v>1</v>
      </c>
      <c r="J229" s="34">
        <v>0</v>
      </c>
      <c r="K229" s="34">
        <v>1</v>
      </c>
      <c r="L229" s="34">
        <v>0</v>
      </c>
      <c r="M229" s="50">
        <v>1</v>
      </c>
    </row>
    <row r="230" spans="1:13" ht="15.75" customHeight="1" x14ac:dyDescent="0.2">
      <c r="A230" s="34">
        <v>17387</v>
      </c>
      <c r="B230" s="34">
        <v>229</v>
      </c>
      <c r="C230" s="34" t="s">
        <v>1003</v>
      </c>
      <c r="D230" s="34" t="s">
        <v>6614</v>
      </c>
      <c r="E230" s="34" t="s">
        <v>6615</v>
      </c>
      <c r="F230" s="34">
        <v>1</v>
      </c>
      <c r="G230" s="34" t="b">
        <v>1</v>
      </c>
      <c r="H230" s="34">
        <v>3</v>
      </c>
      <c r="I230" s="34">
        <v>3</v>
      </c>
      <c r="J230" s="34">
        <v>0</v>
      </c>
      <c r="K230" s="34">
        <v>0</v>
      </c>
      <c r="L230" s="34">
        <v>0</v>
      </c>
      <c r="M230" s="50">
        <v>0</v>
      </c>
    </row>
    <row r="231" spans="1:13" ht="15.75" customHeight="1" x14ac:dyDescent="0.2">
      <c r="A231" s="34">
        <v>17387</v>
      </c>
      <c r="B231" s="34">
        <v>230</v>
      </c>
      <c r="C231" s="34" t="s">
        <v>1004</v>
      </c>
      <c r="D231" s="34" t="s">
        <v>6616</v>
      </c>
      <c r="E231" s="34" t="s">
        <v>6617</v>
      </c>
      <c r="F231" s="34">
        <v>1</v>
      </c>
      <c r="G231" s="34" t="b">
        <v>1</v>
      </c>
      <c r="H231" s="34">
        <v>2</v>
      </c>
      <c r="I231" s="34">
        <v>1</v>
      </c>
      <c r="J231" s="34">
        <v>0</v>
      </c>
      <c r="K231" s="34">
        <v>0</v>
      </c>
      <c r="L231" s="34">
        <v>1</v>
      </c>
      <c r="M231" s="50">
        <v>1</v>
      </c>
    </row>
    <row r="232" spans="1:13" ht="15.75" customHeight="1" x14ac:dyDescent="0.2">
      <c r="A232" s="34">
        <v>17387</v>
      </c>
      <c r="B232" s="34">
        <v>231</v>
      </c>
      <c r="C232" s="34" t="s">
        <v>1005</v>
      </c>
      <c r="D232" s="34" t="s">
        <v>6618</v>
      </c>
      <c r="E232" s="34" t="s">
        <v>6619</v>
      </c>
      <c r="F232" s="34">
        <v>1</v>
      </c>
      <c r="G232" s="34" t="b">
        <v>1</v>
      </c>
      <c r="H232" s="34">
        <v>2</v>
      </c>
      <c r="I232" s="34">
        <v>2</v>
      </c>
      <c r="J232" s="34">
        <v>0</v>
      </c>
      <c r="K232" s="34">
        <v>0</v>
      </c>
      <c r="L232" s="34">
        <v>0</v>
      </c>
      <c r="M232" s="50">
        <v>0</v>
      </c>
    </row>
    <row r="233" spans="1:13" ht="15.75" customHeight="1" x14ac:dyDescent="0.2">
      <c r="A233" s="34">
        <v>17387</v>
      </c>
      <c r="B233" s="34">
        <v>232</v>
      </c>
      <c r="C233" s="34" t="s">
        <v>1008</v>
      </c>
      <c r="D233" s="34" t="s">
        <v>6620</v>
      </c>
      <c r="E233" s="34" t="s">
        <v>6621</v>
      </c>
      <c r="F233" s="34">
        <v>1</v>
      </c>
      <c r="G233" s="34" t="b">
        <v>1</v>
      </c>
      <c r="H233" s="34">
        <v>2</v>
      </c>
      <c r="I233" s="34">
        <v>2</v>
      </c>
      <c r="J233" s="34">
        <v>0</v>
      </c>
      <c r="K233" s="34">
        <v>0</v>
      </c>
      <c r="L233" s="34">
        <v>0</v>
      </c>
      <c r="M233" s="50">
        <v>0</v>
      </c>
    </row>
    <row r="234" spans="1:13" ht="15.75" customHeight="1" x14ac:dyDescent="0.2">
      <c r="A234" s="34">
        <v>17387</v>
      </c>
      <c r="B234" s="34">
        <v>233</v>
      </c>
      <c r="C234" s="34" t="s">
        <v>1009</v>
      </c>
      <c r="D234" s="34" t="s">
        <v>6622</v>
      </c>
      <c r="E234" s="34" t="s">
        <v>6623</v>
      </c>
      <c r="F234" s="34">
        <v>1</v>
      </c>
      <c r="G234" s="34" t="b">
        <v>1</v>
      </c>
      <c r="H234" s="34">
        <v>1</v>
      </c>
      <c r="I234" s="34">
        <v>1</v>
      </c>
      <c r="J234" s="34">
        <v>0</v>
      </c>
      <c r="K234" s="34">
        <v>0</v>
      </c>
      <c r="L234" s="34">
        <v>0</v>
      </c>
      <c r="M234" s="50">
        <v>0</v>
      </c>
    </row>
    <row r="235" spans="1:13" ht="15.75" customHeight="1" x14ac:dyDescent="0.2">
      <c r="A235" s="34">
        <v>17387</v>
      </c>
      <c r="B235" s="34">
        <v>234</v>
      </c>
      <c r="C235" s="34" t="s">
        <v>1010</v>
      </c>
      <c r="D235" s="34" t="s">
        <v>6624</v>
      </c>
      <c r="E235" s="34" t="s">
        <v>6625</v>
      </c>
      <c r="F235" s="34">
        <v>1</v>
      </c>
      <c r="G235" s="34" t="b">
        <v>1</v>
      </c>
      <c r="H235" s="34">
        <v>2</v>
      </c>
      <c r="I235" s="34">
        <v>2</v>
      </c>
      <c r="J235" s="34">
        <v>0</v>
      </c>
      <c r="K235" s="34">
        <v>0</v>
      </c>
      <c r="L235" s="34">
        <v>0</v>
      </c>
      <c r="M235" s="50">
        <v>0</v>
      </c>
    </row>
    <row r="236" spans="1:13" ht="15.75" customHeight="1" x14ac:dyDescent="0.2">
      <c r="A236" s="34">
        <v>17387</v>
      </c>
      <c r="B236" s="34">
        <v>235</v>
      </c>
      <c r="C236" s="34" t="s">
        <v>1011</v>
      </c>
      <c r="D236" s="34" t="s">
        <v>6626</v>
      </c>
      <c r="E236" s="34" t="s">
        <v>6627</v>
      </c>
      <c r="F236" s="34">
        <v>1</v>
      </c>
      <c r="G236" s="34" t="b">
        <v>1</v>
      </c>
      <c r="H236" s="34">
        <v>3</v>
      </c>
      <c r="I236" s="34">
        <v>3</v>
      </c>
      <c r="J236" s="34">
        <v>0</v>
      </c>
      <c r="K236" s="34">
        <v>0</v>
      </c>
      <c r="L236" s="34">
        <v>0</v>
      </c>
      <c r="M236" s="50">
        <v>0</v>
      </c>
    </row>
    <row r="237" spans="1:13" ht="15.75" customHeight="1" x14ac:dyDescent="0.2">
      <c r="A237" s="34">
        <v>17387</v>
      </c>
      <c r="B237" s="34">
        <v>236</v>
      </c>
      <c r="C237" s="34" t="s">
        <v>1012</v>
      </c>
      <c r="D237" s="34" t="s">
        <v>6628</v>
      </c>
      <c r="E237" s="34" t="s">
        <v>6629</v>
      </c>
      <c r="F237" s="34">
        <v>1</v>
      </c>
      <c r="G237" s="34" t="b">
        <v>1</v>
      </c>
      <c r="H237" s="34">
        <v>1</v>
      </c>
      <c r="I237" s="34">
        <v>1</v>
      </c>
      <c r="J237" s="34">
        <v>0</v>
      </c>
      <c r="K237" s="34">
        <v>0</v>
      </c>
      <c r="L237" s="34">
        <v>0</v>
      </c>
      <c r="M237" s="50">
        <v>0</v>
      </c>
    </row>
    <row r="238" spans="1:13" ht="15.75" customHeight="1" x14ac:dyDescent="0.2">
      <c r="A238" s="34">
        <v>17387</v>
      </c>
      <c r="B238" s="34">
        <v>237</v>
      </c>
      <c r="C238" s="34" t="s">
        <v>1013</v>
      </c>
      <c r="D238" s="34" t="s">
        <v>6630</v>
      </c>
      <c r="E238" s="34" t="s">
        <v>6631</v>
      </c>
      <c r="F238" s="34">
        <v>1</v>
      </c>
      <c r="G238" s="34" t="b">
        <v>1</v>
      </c>
      <c r="H238" s="34">
        <v>5</v>
      </c>
      <c r="I238" s="34">
        <v>1</v>
      </c>
      <c r="J238" s="34">
        <v>4</v>
      </c>
      <c r="K238" s="34">
        <v>0</v>
      </c>
      <c r="L238" s="34">
        <v>0</v>
      </c>
      <c r="M238" s="50">
        <v>0</v>
      </c>
    </row>
    <row r="239" spans="1:13" ht="15.75" customHeight="1" x14ac:dyDescent="0.2">
      <c r="A239" s="34">
        <v>17387</v>
      </c>
      <c r="B239" s="34">
        <v>238</v>
      </c>
      <c r="C239" s="34" t="s">
        <v>1016</v>
      </c>
      <c r="D239" s="34" t="s">
        <v>4608</v>
      </c>
      <c r="E239" s="34" t="s">
        <v>6632</v>
      </c>
      <c r="F239" s="34">
        <v>1</v>
      </c>
      <c r="G239" s="34" t="b">
        <v>1</v>
      </c>
      <c r="H239" s="34">
        <v>4</v>
      </c>
      <c r="I239" s="34">
        <v>3</v>
      </c>
      <c r="J239" s="34">
        <v>1</v>
      </c>
      <c r="K239" s="34">
        <v>0</v>
      </c>
      <c r="L239" s="34">
        <v>0</v>
      </c>
      <c r="M239" s="50">
        <v>0</v>
      </c>
    </row>
    <row r="240" spans="1:13" ht="15.75" customHeight="1" x14ac:dyDescent="0.2">
      <c r="A240" s="34">
        <v>17387</v>
      </c>
      <c r="B240" s="34">
        <v>239</v>
      </c>
      <c r="C240" s="34" t="s">
        <v>1019</v>
      </c>
      <c r="D240" s="34" t="s">
        <v>6989</v>
      </c>
      <c r="E240" s="34" t="s">
        <v>6990</v>
      </c>
      <c r="F240" s="34">
        <v>5</v>
      </c>
      <c r="G240" s="34" t="b">
        <v>0</v>
      </c>
      <c r="H240" s="34">
        <v>1</v>
      </c>
      <c r="I240" s="34">
        <v>0</v>
      </c>
      <c r="J240" s="34">
        <v>0</v>
      </c>
      <c r="K240" s="34">
        <v>1</v>
      </c>
      <c r="L240" s="34">
        <v>0</v>
      </c>
      <c r="M240" s="50">
        <v>1</v>
      </c>
    </row>
    <row r="241" spans="1:13" ht="15.75" customHeight="1" x14ac:dyDescent="0.2">
      <c r="A241" s="34">
        <v>17387</v>
      </c>
      <c r="B241" s="34">
        <v>240</v>
      </c>
      <c r="C241" s="34" t="s">
        <v>1020</v>
      </c>
      <c r="D241" s="34" t="s">
        <v>6635</v>
      </c>
      <c r="E241" s="34" t="s">
        <v>6636</v>
      </c>
      <c r="F241" s="34">
        <v>1</v>
      </c>
      <c r="G241" s="34" t="b">
        <v>1</v>
      </c>
      <c r="H241" s="34">
        <v>2</v>
      </c>
      <c r="I241" s="34">
        <v>1</v>
      </c>
      <c r="J241" s="34">
        <v>1</v>
      </c>
      <c r="K241" s="34">
        <v>0</v>
      </c>
      <c r="L241" s="34">
        <v>0</v>
      </c>
      <c r="M241" s="50">
        <v>0</v>
      </c>
    </row>
    <row r="242" spans="1:13" ht="15.75" customHeight="1" x14ac:dyDescent="0.2">
      <c r="A242" s="34">
        <v>17388</v>
      </c>
      <c r="B242" s="34">
        <v>241</v>
      </c>
      <c r="C242" s="34" t="s">
        <v>1021</v>
      </c>
      <c r="D242" s="34" t="s">
        <v>6991</v>
      </c>
      <c r="E242" s="34" t="s">
        <v>6992</v>
      </c>
      <c r="F242" s="34">
        <v>2</v>
      </c>
      <c r="G242" s="34" t="b">
        <v>1</v>
      </c>
      <c r="H242" s="34">
        <v>7</v>
      </c>
      <c r="I242" s="34">
        <v>5</v>
      </c>
      <c r="J242" s="34">
        <v>2</v>
      </c>
      <c r="K242" s="34">
        <v>0</v>
      </c>
      <c r="L242" s="34">
        <v>0</v>
      </c>
      <c r="M242" s="50">
        <v>0</v>
      </c>
    </row>
    <row r="243" spans="1:13" ht="15.75" customHeight="1" x14ac:dyDescent="0.2">
      <c r="A243" s="34">
        <v>17388</v>
      </c>
      <c r="B243" s="34">
        <v>242</v>
      </c>
      <c r="C243" s="34" t="s">
        <v>1023</v>
      </c>
      <c r="D243" s="34" t="s">
        <v>6639</v>
      </c>
      <c r="E243" s="34" t="s">
        <v>6640</v>
      </c>
      <c r="F243" s="34">
        <v>1</v>
      </c>
      <c r="G243" s="34" t="b">
        <v>1</v>
      </c>
      <c r="H243" s="34">
        <v>2</v>
      </c>
      <c r="I243" s="34">
        <v>1</v>
      </c>
      <c r="J243" s="34">
        <v>1</v>
      </c>
      <c r="K243" s="34">
        <v>0</v>
      </c>
      <c r="L243" s="34">
        <v>0</v>
      </c>
      <c r="M243" s="50">
        <v>1</v>
      </c>
    </row>
    <row r="244" spans="1:13" ht="15.75" customHeight="1" x14ac:dyDescent="0.2">
      <c r="A244" s="34">
        <v>17388</v>
      </c>
      <c r="B244" s="34">
        <v>243</v>
      </c>
      <c r="C244" s="34" t="s">
        <v>1026</v>
      </c>
      <c r="D244" s="34" t="s">
        <v>6993</v>
      </c>
      <c r="E244" s="34" t="s">
        <v>6994</v>
      </c>
      <c r="F244" s="34">
        <v>2</v>
      </c>
      <c r="G244" s="34" t="b">
        <v>1</v>
      </c>
      <c r="H244" s="34">
        <v>7</v>
      </c>
      <c r="I244" s="34">
        <v>2</v>
      </c>
      <c r="J244" s="34">
        <v>4</v>
      </c>
      <c r="K244" s="34">
        <v>0</v>
      </c>
      <c r="L244" s="34">
        <v>1</v>
      </c>
      <c r="M244" s="50">
        <v>0</v>
      </c>
    </row>
    <row r="245" spans="1:13" ht="15.75" customHeight="1" x14ac:dyDescent="0.2">
      <c r="A245" s="34">
        <v>17388</v>
      </c>
      <c r="B245" s="34">
        <v>244</v>
      </c>
      <c r="C245" s="34" t="s">
        <v>1029</v>
      </c>
      <c r="D245" s="34" t="s">
        <v>6643</v>
      </c>
      <c r="E245" s="34" t="s">
        <v>6644</v>
      </c>
      <c r="F245" s="34">
        <v>1</v>
      </c>
      <c r="G245" s="34" t="b">
        <v>1</v>
      </c>
      <c r="H245" s="34">
        <v>4</v>
      </c>
      <c r="I245" s="34">
        <v>3</v>
      </c>
      <c r="J245" s="34">
        <v>1</v>
      </c>
      <c r="K245" s="34">
        <v>0</v>
      </c>
      <c r="L245" s="34">
        <v>0</v>
      </c>
      <c r="M245" s="50">
        <v>0</v>
      </c>
    </row>
    <row r="246" spans="1:13" ht="15.75" customHeight="1" x14ac:dyDescent="0.2">
      <c r="A246" s="34">
        <v>17388</v>
      </c>
      <c r="B246" s="34">
        <v>245</v>
      </c>
      <c r="C246" s="34" t="s">
        <v>1032</v>
      </c>
      <c r="D246" s="34" t="s">
        <v>6645</v>
      </c>
      <c r="E246" s="34" t="s">
        <v>6646</v>
      </c>
      <c r="F246" s="34">
        <v>1</v>
      </c>
      <c r="G246" s="34" t="b">
        <v>1</v>
      </c>
      <c r="H246" s="34">
        <v>1</v>
      </c>
      <c r="I246" s="34">
        <v>1</v>
      </c>
      <c r="J246" s="34">
        <v>0</v>
      </c>
      <c r="K246" s="34">
        <v>0</v>
      </c>
      <c r="L246" s="34">
        <v>0</v>
      </c>
      <c r="M246" s="50">
        <v>0</v>
      </c>
    </row>
    <row r="247" spans="1:13" ht="15.75" customHeight="1" x14ac:dyDescent="0.2">
      <c r="A247" s="34">
        <v>17388</v>
      </c>
      <c r="B247" s="34">
        <v>246</v>
      </c>
      <c r="C247" s="34" t="s">
        <v>1035</v>
      </c>
      <c r="D247" s="34" t="s">
        <v>6647</v>
      </c>
      <c r="E247" s="34" t="s">
        <v>6648</v>
      </c>
      <c r="F247" s="34">
        <v>1</v>
      </c>
      <c r="G247" s="34" t="b">
        <v>1</v>
      </c>
      <c r="H247" s="34">
        <v>2</v>
      </c>
      <c r="I247" s="34">
        <v>2</v>
      </c>
      <c r="J247" s="34">
        <v>0</v>
      </c>
      <c r="K247" s="34">
        <v>0</v>
      </c>
      <c r="L247" s="34">
        <v>0</v>
      </c>
      <c r="M247" s="50">
        <v>0</v>
      </c>
    </row>
    <row r="248" spans="1:13" ht="15.75" customHeight="1" x14ac:dyDescent="0.2">
      <c r="A248" s="34">
        <v>17388</v>
      </c>
      <c r="B248" s="34">
        <v>247</v>
      </c>
      <c r="C248" s="34" t="s">
        <v>1038</v>
      </c>
      <c r="D248" s="34" t="s">
        <v>6649</v>
      </c>
      <c r="E248" s="34" t="s">
        <v>6995</v>
      </c>
      <c r="F248" s="34">
        <v>1</v>
      </c>
      <c r="G248" s="34" t="b">
        <v>1</v>
      </c>
      <c r="H248" s="34">
        <v>1</v>
      </c>
      <c r="I248" s="34">
        <v>0</v>
      </c>
      <c r="J248" s="34">
        <v>0</v>
      </c>
      <c r="K248" s="34">
        <v>0</v>
      </c>
      <c r="L248" s="34">
        <v>1</v>
      </c>
      <c r="M248" s="50">
        <v>1</v>
      </c>
    </row>
    <row r="249" spans="1:13" ht="15.75" customHeight="1" x14ac:dyDescent="0.2">
      <c r="A249" s="34">
        <v>17388</v>
      </c>
      <c r="B249" s="34">
        <v>248</v>
      </c>
      <c r="C249" s="34" t="s">
        <v>1039</v>
      </c>
      <c r="D249" s="34" t="s">
        <v>6996</v>
      </c>
      <c r="E249" s="34" t="s">
        <v>6997</v>
      </c>
      <c r="F249" s="34">
        <v>2</v>
      </c>
      <c r="G249" s="34" t="b">
        <v>1</v>
      </c>
      <c r="H249" s="34">
        <v>6</v>
      </c>
      <c r="I249" s="34">
        <v>0</v>
      </c>
      <c r="J249" s="34">
        <v>5</v>
      </c>
      <c r="K249" s="34">
        <v>0</v>
      </c>
      <c r="L249" s="34">
        <v>1</v>
      </c>
      <c r="M249" s="50">
        <v>1</v>
      </c>
    </row>
    <row r="250" spans="1:13" ht="15.75" customHeight="1" x14ac:dyDescent="0.2">
      <c r="A250" s="34">
        <v>17388</v>
      </c>
      <c r="B250" s="34">
        <v>249</v>
      </c>
      <c r="C250" s="34" t="s">
        <v>1040</v>
      </c>
      <c r="D250" s="34" t="s">
        <v>6653</v>
      </c>
      <c r="E250" s="34" t="s">
        <v>6654</v>
      </c>
      <c r="F250" s="34">
        <v>1</v>
      </c>
      <c r="G250" s="34" t="b">
        <v>1</v>
      </c>
      <c r="H250" s="34">
        <v>1</v>
      </c>
      <c r="I250" s="34">
        <v>1</v>
      </c>
      <c r="J250" s="34">
        <v>0</v>
      </c>
      <c r="K250" s="34">
        <v>0</v>
      </c>
      <c r="L250" s="34">
        <v>0</v>
      </c>
      <c r="M250" s="50">
        <v>0</v>
      </c>
    </row>
    <row r="251" spans="1:13" ht="15.75" customHeight="1" x14ac:dyDescent="0.2">
      <c r="A251" s="34">
        <v>17388</v>
      </c>
      <c r="B251" s="34">
        <v>250</v>
      </c>
      <c r="C251" s="34" t="s">
        <v>1043</v>
      </c>
      <c r="D251" s="34" t="s">
        <v>6993</v>
      </c>
      <c r="E251" s="34" t="s">
        <v>6998</v>
      </c>
      <c r="F251" s="34">
        <v>2</v>
      </c>
      <c r="G251" s="34" t="b">
        <v>1</v>
      </c>
      <c r="H251" s="34">
        <v>4</v>
      </c>
      <c r="I251" s="34">
        <v>2</v>
      </c>
      <c r="J251" s="34">
        <v>1</v>
      </c>
      <c r="K251" s="34">
        <v>0</v>
      </c>
      <c r="L251" s="34">
        <v>1</v>
      </c>
      <c r="M251" s="50">
        <v>0</v>
      </c>
    </row>
    <row r="252" spans="1:13" ht="15.75" customHeight="1" x14ac:dyDescent="0.2">
      <c r="A252" s="34">
        <v>17388</v>
      </c>
      <c r="B252" s="34">
        <v>251</v>
      </c>
      <c r="C252" s="34" t="s">
        <v>1046</v>
      </c>
      <c r="D252" s="34" t="s">
        <v>6656</v>
      </c>
      <c r="E252" s="34" t="s">
        <v>6657</v>
      </c>
      <c r="F252" s="34">
        <v>1</v>
      </c>
      <c r="G252" s="34" t="b">
        <v>1</v>
      </c>
      <c r="H252" s="34">
        <v>7</v>
      </c>
      <c r="I252" s="34">
        <v>6</v>
      </c>
      <c r="J252" s="34">
        <v>0</v>
      </c>
      <c r="K252" s="34">
        <v>0</v>
      </c>
      <c r="L252" s="34">
        <v>1</v>
      </c>
      <c r="M252" s="50">
        <v>0</v>
      </c>
    </row>
    <row r="253" spans="1:13" ht="15.75" customHeight="1" x14ac:dyDescent="0.2">
      <c r="A253" s="34">
        <v>17388</v>
      </c>
      <c r="B253" s="34">
        <v>252</v>
      </c>
      <c r="C253" s="34" t="s">
        <v>1047</v>
      </c>
      <c r="D253" s="34" t="s">
        <v>6993</v>
      </c>
      <c r="E253" s="34" t="s">
        <v>6999</v>
      </c>
      <c r="F253" s="34">
        <v>2</v>
      </c>
      <c r="G253" s="34" t="b">
        <v>1</v>
      </c>
      <c r="H253" s="34">
        <v>5</v>
      </c>
      <c r="I253" s="34">
        <v>3</v>
      </c>
      <c r="J253" s="34">
        <v>1</v>
      </c>
      <c r="K253" s="34">
        <v>0</v>
      </c>
      <c r="L253" s="34">
        <v>1</v>
      </c>
      <c r="M253" s="50">
        <v>0</v>
      </c>
    </row>
    <row r="254" spans="1:13" ht="15.75" customHeight="1" x14ac:dyDescent="0.2">
      <c r="A254" s="34">
        <v>17388</v>
      </c>
      <c r="B254" s="34">
        <v>253</v>
      </c>
      <c r="C254" s="34" t="s">
        <v>1048</v>
      </c>
      <c r="D254" s="34" t="s">
        <v>6659</v>
      </c>
      <c r="E254" s="34" t="s">
        <v>6660</v>
      </c>
      <c r="F254" s="34">
        <v>1</v>
      </c>
      <c r="G254" s="34" t="b">
        <v>1</v>
      </c>
      <c r="H254" s="34">
        <v>2</v>
      </c>
      <c r="I254" s="34">
        <v>1</v>
      </c>
      <c r="J254" s="34">
        <v>1</v>
      </c>
      <c r="K254" s="34">
        <v>0</v>
      </c>
      <c r="L254" s="34">
        <v>0</v>
      </c>
      <c r="M254" s="50">
        <v>0</v>
      </c>
    </row>
    <row r="255" spans="1:13" ht="15.75" customHeight="1" x14ac:dyDescent="0.2">
      <c r="A255" s="34">
        <v>17388</v>
      </c>
      <c r="B255" s="34">
        <v>254</v>
      </c>
      <c r="C255" s="34" t="s">
        <v>1051</v>
      </c>
      <c r="D255" s="34" t="s">
        <v>6661</v>
      </c>
      <c r="E255" s="34" t="s">
        <v>6662</v>
      </c>
      <c r="F255" s="34">
        <v>1</v>
      </c>
      <c r="G255" s="34" t="b">
        <v>1</v>
      </c>
      <c r="H255" s="34">
        <v>6</v>
      </c>
      <c r="I255" s="34">
        <v>5</v>
      </c>
      <c r="J255" s="34">
        <v>0</v>
      </c>
      <c r="K255" s="34">
        <v>0</v>
      </c>
      <c r="L255" s="34">
        <v>1</v>
      </c>
      <c r="M255" s="50">
        <v>0</v>
      </c>
    </row>
    <row r="256" spans="1:13" ht="15.75" customHeight="1" x14ac:dyDescent="0.2">
      <c r="A256" s="34">
        <v>17388</v>
      </c>
      <c r="B256" s="34">
        <v>255</v>
      </c>
      <c r="C256" s="34" t="s">
        <v>1054</v>
      </c>
      <c r="D256" s="34" t="s">
        <v>6663</v>
      </c>
      <c r="E256" s="34" t="s">
        <v>6664</v>
      </c>
      <c r="F256" s="34">
        <v>1</v>
      </c>
      <c r="G256" s="34" t="b">
        <v>1</v>
      </c>
      <c r="H256" s="34">
        <v>5</v>
      </c>
      <c r="I256" s="34">
        <v>3</v>
      </c>
      <c r="J256" s="34">
        <v>0</v>
      </c>
      <c r="K256" s="34">
        <v>2</v>
      </c>
      <c r="L256" s="34">
        <v>0</v>
      </c>
      <c r="M256" s="50">
        <v>1</v>
      </c>
    </row>
    <row r="257" spans="1:13" ht="15.75" customHeight="1" x14ac:dyDescent="0.2">
      <c r="A257" s="34">
        <v>17388</v>
      </c>
      <c r="B257" s="34">
        <v>256</v>
      </c>
      <c r="C257" s="34" t="s">
        <v>1057</v>
      </c>
      <c r="D257" s="34" t="s">
        <v>7000</v>
      </c>
      <c r="E257" s="34" t="s">
        <v>7001</v>
      </c>
      <c r="F257" s="34">
        <v>2</v>
      </c>
      <c r="G257" s="34" t="b">
        <v>1</v>
      </c>
      <c r="H257" s="34">
        <v>5</v>
      </c>
      <c r="I257" s="34">
        <v>3</v>
      </c>
      <c r="J257" s="34">
        <v>2</v>
      </c>
      <c r="K257" s="34">
        <v>0</v>
      </c>
      <c r="L257" s="34">
        <v>0</v>
      </c>
      <c r="M257" s="50">
        <v>0</v>
      </c>
    </row>
    <row r="258" spans="1:13" ht="15.75" customHeight="1" x14ac:dyDescent="0.2">
      <c r="A258" s="34">
        <v>17388</v>
      </c>
      <c r="B258" s="34">
        <v>257</v>
      </c>
      <c r="C258" s="34" t="s">
        <v>1058</v>
      </c>
      <c r="D258" s="34" t="s">
        <v>6643</v>
      </c>
      <c r="E258" s="34" t="s">
        <v>6667</v>
      </c>
      <c r="F258" s="34">
        <v>1</v>
      </c>
      <c r="G258" s="34" t="b">
        <v>1</v>
      </c>
      <c r="H258" s="34">
        <v>5</v>
      </c>
      <c r="I258" s="34">
        <v>2</v>
      </c>
      <c r="J258" s="34">
        <v>0</v>
      </c>
      <c r="K258" s="34">
        <v>2</v>
      </c>
      <c r="L258" s="34">
        <v>1</v>
      </c>
      <c r="M258" s="50">
        <v>0</v>
      </c>
    </row>
    <row r="259" spans="1:13" ht="15.75" customHeight="1" x14ac:dyDescent="0.2">
      <c r="A259" s="34">
        <v>17388</v>
      </c>
      <c r="B259" s="34">
        <v>258</v>
      </c>
      <c r="C259" s="34" t="s">
        <v>1059</v>
      </c>
      <c r="D259" s="34" t="s">
        <v>6668</v>
      </c>
      <c r="E259" s="34" t="s">
        <v>6669</v>
      </c>
      <c r="F259" s="34">
        <v>1</v>
      </c>
      <c r="G259" s="34" t="b">
        <v>1</v>
      </c>
      <c r="H259" s="34">
        <v>1</v>
      </c>
      <c r="I259" s="34">
        <v>1</v>
      </c>
      <c r="J259" s="34">
        <v>0</v>
      </c>
      <c r="K259" s="34">
        <v>0</v>
      </c>
      <c r="L259" s="34">
        <v>0</v>
      </c>
      <c r="M259" s="50">
        <v>0</v>
      </c>
    </row>
    <row r="260" spans="1:13" ht="15.75" customHeight="1" x14ac:dyDescent="0.2">
      <c r="A260" s="34">
        <v>17389</v>
      </c>
      <c r="B260" s="34">
        <v>259</v>
      </c>
      <c r="C260" s="34" t="s">
        <v>1060</v>
      </c>
      <c r="D260" s="34" t="s">
        <v>6670</v>
      </c>
      <c r="E260" s="34" t="s">
        <v>6671</v>
      </c>
      <c r="F260" s="34">
        <v>1</v>
      </c>
      <c r="G260" s="34" t="b">
        <v>1</v>
      </c>
      <c r="H260" s="34">
        <v>4</v>
      </c>
      <c r="I260" s="34">
        <v>1</v>
      </c>
      <c r="J260" s="34">
        <v>3</v>
      </c>
      <c r="K260" s="34">
        <v>0</v>
      </c>
      <c r="L260" s="34">
        <v>0</v>
      </c>
      <c r="M260" s="50">
        <v>0</v>
      </c>
    </row>
    <row r="261" spans="1:13" ht="15.75" customHeight="1" x14ac:dyDescent="0.2">
      <c r="A261" s="34">
        <v>17389</v>
      </c>
      <c r="B261" s="34">
        <v>260</v>
      </c>
      <c r="C261" s="34" t="s">
        <v>1063</v>
      </c>
      <c r="D261" s="34" t="s">
        <v>7002</v>
      </c>
      <c r="E261" s="34" t="s">
        <v>6673</v>
      </c>
      <c r="F261" s="34">
        <v>5</v>
      </c>
      <c r="G261" s="34" t="b">
        <v>0</v>
      </c>
      <c r="H261" s="34">
        <v>2</v>
      </c>
      <c r="I261" s="34">
        <v>2</v>
      </c>
      <c r="J261" s="34">
        <v>0</v>
      </c>
      <c r="K261" s="34">
        <v>0</v>
      </c>
      <c r="L261" s="34">
        <v>0</v>
      </c>
      <c r="M261" s="50">
        <v>0</v>
      </c>
    </row>
    <row r="262" spans="1:13" ht="15.75" customHeight="1" x14ac:dyDescent="0.2">
      <c r="A262" s="34">
        <v>17389</v>
      </c>
      <c r="B262" s="34">
        <v>261</v>
      </c>
      <c r="C262" s="34" t="s">
        <v>1065</v>
      </c>
      <c r="D262" s="34" t="s">
        <v>6674</v>
      </c>
      <c r="E262" s="34" t="s">
        <v>6675</v>
      </c>
      <c r="F262" s="34">
        <v>1</v>
      </c>
      <c r="G262" s="34" t="b">
        <v>1</v>
      </c>
      <c r="H262" s="34">
        <v>3</v>
      </c>
      <c r="I262" s="34">
        <v>1</v>
      </c>
      <c r="J262" s="34">
        <v>0</v>
      </c>
      <c r="K262" s="34">
        <v>2</v>
      </c>
      <c r="L262" s="34">
        <v>0</v>
      </c>
      <c r="M262" s="50">
        <v>0</v>
      </c>
    </row>
    <row r="263" spans="1:13" ht="15.75" customHeight="1" x14ac:dyDescent="0.2">
      <c r="A263" s="34">
        <v>17389</v>
      </c>
      <c r="B263" s="34">
        <v>262</v>
      </c>
      <c r="C263" s="34" t="s">
        <v>1066</v>
      </c>
      <c r="D263" s="34" t="s">
        <v>7003</v>
      </c>
      <c r="E263" s="34" t="s">
        <v>7004</v>
      </c>
      <c r="F263" s="34">
        <v>5</v>
      </c>
      <c r="G263" s="34" t="b">
        <v>0</v>
      </c>
      <c r="H263" s="34">
        <v>4</v>
      </c>
      <c r="I263" s="34">
        <v>4</v>
      </c>
      <c r="J263" s="34">
        <v>0</v>
      </c>
      <c r="K263" s="34">
        <v>0</v>
      </c>
      <c r="L263" s="34">
        <v>0</v>
      </c>
      <c r="M263" s="50">
        <v>0</v>
      </c>
    </row>
    <row r="264" spans="1:13" ht="15.75" customHeight="1" x14ac:dyDescent="0.2">
      <c r="A264" s="34">
        <v>17389</v>
      </c>
      <c r="B264" s="34">
        <v>263</v>
      </c>
      <c r="C264" s="34" t="s">
        <v>1067</v>
      </c>
      <c r="D264" s="34" t="s">
        <v>7005</v>
      </c>
      <c r="E264" s="34" t="s">
        <v>7006</v>
      </c>
      <c r="F264" s="34">
        <v>2</v>
      </c>
      <c r="G264" s="34" t="b">
        <v>1</v>
      </c>
      <c r="H264" s="34">
        <v>5</v>
      </c>
      <c r="I264" s="34">
        <v>5</v>
      </c>
      <c r="J264" s="34">
        <v>0</v>
      </c>
      <c r="K264" s="34">
        <v>0</v>
      </c>
      <c r="L264" s="34">
        <v>0</v>
      </c>
      <c r="M264" s="50">
        <v>0</v>
      </c>
    </row>
    <row r="265" spans="1:13" ht="15.75" customHeight="1" x14ac:dyDescent="0.2">
      <c r="A265" s="34">
        <v>17389</v>
      </c>
      <c r="B265" s="34">
        <v>264</v>
      </c>
      <c r="C265" s="34" t="s">
        <v>1068</v>
      </c>
      <c r="D265" s="34" t="s">
        <v>6680</v>
      </c>
      <c r="E265" s="34" t="s">
        <v>6681</v>
      </c>
      <c r="F265" s="34">
        <v>1</v>
      </c>
      <c r="G265" s="34" t="b">
        <v>1</v>
      </c>
      <c r="H265" s="34">
        <v>4</v>
      </c>
      <c r="I265" s="34">
        <v>3</v>
      </c>
      <c r="J265" s="34">
        <v>1</v>
      </c>
      <c r="K265" s="34">
        <v>0</v>
      </c>
      <c r="L265" s="34">
        <v>0</v>
      </c>
      <c r="M265" s="50">
        <v>0</v>
      </c>
    </row>
    <row r="266" spans="1:13" ht="15.75" customHeight="1" x14ac:dyDescent="0.2">
      <c r="A266" s="34">
        <v>17389</v>
      </c>
      <c r="B266" s="34">
        <v>265</v>
      </c>
      <c r="C266" s="34" t="s">
        <v>1071</v>
      </c>
      <c r="D266" s="34" t="s">
        <v>6682</v>
      </c>
      <c r="E266" s="34" t="s">
        <v>6683</v>
      </c>
      <c r="F266" s="34">
        <v>1</v>
      </c>
      <c r="G266" s="34" t="b">
        <v>1</v>
      </c>
      <c r="H266" s="34">
        <v>6</v>
      </c>
      <c r="I266" s="34">
        <v>4</v>
      </c>
      <c r="J266" s="34">
        <v>1</v>
      </c>
      <c r="K266" s="34">
        <v>0</v>
      </c>
      <c r="L266" s="34">
        <v>1</v>
      </c>
      <c r="M266" s="50">
        <v>0</v>
      </c>
    </row>
    <row r="267" spans="1:13" ht="15.75" customHeight="1" x14ac:dyDescent="0.2">
      <c r="A267" s="34">
        <v>17389</v>
      </c>
      <c r="B267" s="34">
        <v>266</v>
      </c>
      <c r="C267" s="34" t="s">
        <v>1072</v>
      </c>
      <c r="D267" s="34" t="s">
        <v>7007</v>
      </c>
      <c r="E267" s="34" t="s">
        <v>7008</v>
      </c>
      <c r="F267" s="34">
        <v>2</v>
      </c>
      <c r="G267" s="34" t="b">
        <v>1</v>
      </c>
      <c r="H267" s="34">
        <v>4</v>
      </c>
      <c r="I267" s="34">
        <v>0</v>
      </c>
      <c r="J267" s="34">
        <v>3</v>
      </c>
      <c r="K267" s="34">
        <v>1</v>
      </c>
      <c r="L267" s="34">
        <v>0</v>
      </c>
      <c r="M267" s="50">
        <v>2</v>
      </c>
    </row>
    <row r="268" spans="1:13" ht="15.75" customHeight="1" x14ac:dyDescent="0.2">
      <c r="A268" s="34">
        <v>17390</v>
      </c>
      <c r="B268" s="34">
        <v>267</v>
      </c>
      <c r="C268" s="34" t="s">
        <v>1075</v>
      </c>
      <c r="D268" s="34" t="s">
        <v>7009</v>
      </c>
      <c r="E268" s="34" t="s">
        <v>7010</v>
      </c>
      <c r="F268" s="34">
        <v>5</v>
      </c>
      <c r="G268" s="34" t="b">
        <v>0</v>
      </c>
      <c r="H268" s="34">
        <v>1</v>
      </c>
      <c r="I268" s="34">
        <v>0</v>
      </c>
      <c r="J268" s="34">
        <v>0</v>
      </c>
      <c r="K268" s="34">
        <v>1</v>
      </c>
      <c r="L268" s="34">
        <v>0</v>
      </c>
      <c r="M268" s="50">
        <v>1</v>
      </c>
    </row>
    <row r="269" spans="1:13" ht="15.75" customHeight="1" x14ac:dyDescent="0.2">
      <c r="A269" s="34">
        <v>17390</v>
      </c>
      <c r="B269" s="34">
        <v>268</v>
      </c>
      <c r="C269" s="34" t="s">
        <v>1077</v>
      </c>
      <c r="D269" s="34" t="s">
        <v>7011</v>
      </c>
      <c r="E269" s="34" t="s">
        <v>7012</v>
      </c>
      <c r="F269" s="34">
        <v>5</v>
      </c>
      <c r="G269" s="34" t="b">
        <v>0</v>
      </c>
      <c r="H269" s="34">
        <v>6</v>
      </c>
      <c r="I269" s="34">
        <v>2</v>
      </c>
      <c r="J269" s="34">
        <v>1</v>
      </c>
      <c r="K269" s="34">
        <v>3</v>
      </c>
      <c r="L269" s="34"/>
      <c r="M269" s="50">
        <v>1</v>
      </c>
    </row>
    <row r="270" spans="1:13" ht="15.75" customHeight="1" x14ac:dyDescent="0.2">
      <c r="A270" s="34">
        <v>17390</v>
      </c>
      <c r="B270" s="34">
        <v>269</v>
      </c>
      <c r="C270" s="34" t="s">
        <v>1078</v>
      </c>
      <c r="D270" s="34" t="s">
        <v>7013</v>
      </c>
      <c r="E270" s="34" t="s">
        <v>7014</v>
      </c>
      <c r="F270" s="34">
        <v>5</v>
      </c>
      <c r="G270" s="34" t="b">
        <v>0</v>
      </c>
      <c r="H270" s="34">
        <v>4</v>
      </c>
      <c r="I270" s="34">
        <v>1</v>
      </c>
      <c r="J270" s="34">
        <v>2</v>
      </c>
      <c r="K270" s="34">
        <v>0</v>
      </c>
      <c r="L270" s="34">
        <v>1</v>
      </c>
      <c r="M270" s="50">
        <v>1</v>
      </c>
    </row>
    <row r="271" spans="1:13" ht="15.75" customHeight="1" x14ac:dyDescent="0.2">
      <c r="A271" s="34">
        <v>17390</v>
      </c>
      <c r="B271" s="34">
        <v>270</v>
      </c>
      <c r="C271" s="34" t="s">
        <v>1079</v>
      </c>
      <c r="D271" s="34" t="s">
        <v>6692</v>
      </c>
      <c r="E271" s="34" t="s">
        <v>6693</v>
      </c>
      <c r="F271" s="34">
        <v>1</v>
      </c>
      <c r="G271" s="34" t="b">
        <v>1</v>
      </c>
      <c r="H271" s="34">
        <v>1</v>
      </c>
      <c r="I271" s="34">
        <v>0</v>
      </c>
      <c r="J271" s="34">
        <v>0</v>
      </c>
      <c r="K271" s="34">
        <v>0</v>
      </c>
      <c r="L271" s="34">
        <v>1</v>
      </c>
      <c r="M271" s="50">
        <v>2</v>
      </c>
    </row>
    <row r="272" spans="1:13" ht="15.75" customHeight="1" x14ac:dyDescent="0.2">
      <c r="A272" s="34">
        <v>17390</v>
      </c>
      <c r="B272" s="34">
        <v>271</v>
      </c>
      <c r="C272" s="34" t="s">
        <v>1080</v>
      </c>
      <c r="D272" s="34" t="s">
        <v>6694</v>
      </c>
      <c r="E272" s="34" t="s">
        <v>6695</v>
      </c>
      <c r="F272" s="34">
        <v>1</v>
      </c>
      <c r="G272" s="34" t="b">
        <v>1</v>
      </c>
      <c r="H272" s="34">
        <v>1</v>
      </c>
      <c r="I272" s="34">
        <v>1</v>
      </c>
      <c r="J272" s="34">
        <v>0</v>
      </c>
      <c r="K272" s="34">
        <v>0</v>
      </c>
      <c r="L272" s="34">
        <v>0</v>
      </c>
      <c r="M272" s="50">
        <v>1</v>
      </c>
    </row>
    <row r="273" spans="1:13" ht="15.75" customHeight="1" x14ac:dyDescent="0.2">
      <c r="A273" s="34">
        <v>17390</v>
      </c>
      <c r="B273" s="34">
        <v>272</v>
      </c>
      <c r="C273" s="34" t="s">
        <v>1081</v>
      </c>
      <c r="D273" s="34" t="s">
        <v>1081</v>
      </c>
      <c r="E273" s="34" t="s">
        <v>7015</v>
      </c>
      <c r="F273" s="34">
        <v>5</v>
      </c>
      <c r="G273" s="34" t="b">
        <v>0</v>
      </c>
      <c r="H273" s="34">
        <v>1</v>
      </c>
      <c r="I273" s="34">
        <v>0</v>
      </c>
      <c r="J273" s="34">
        <v>0</v>
      </c>
      <c r="K273" s="34">
        <v>0</v>
      </c>
      <c r="L273" s="34">
        <v>1</v>
      </c>
      <c r="M273" s="50">
        <v>1</v>
      </c>
    </row>
    <row r="274" spans="1:13" ht="15.75" customHeight="1" x14ac:dyDescent="0.2">
      <c r="A274" s="34">
        <v>17391</v>
      </c>
      <c r="B274" s="34">
        <v>273</v>
      </c>
      <c r="C274" s="34" t="s">
        <v>1084</v>
      </c>
      <c r="D274" s="34" t="s">
        <v>4829</v>
      </c>
      <c r="E274" s="34" t="s">
        <v>6697</v>
      </c>
      <c r="F274" s="34">
        <v>1</v>
      </c>
      <c r="G274" s="34" t="b">
        <v>1</v>
      </c>
      <c r="H274" s="34">
        <v>2</v>
      </c>
      <c r="I274" s="34">
        <v>2</v>
      </c>
      <c r="J274" s="34">
        <v>0</v>
      </c>
      <c r="K274" s="34">
        <v>0</v>
      </c>
      <c r="L274" s="34">
        <v>0</v>
      </c>
      <c r="M274" s="50">
        <v>0</v>
      </c>
    </row>
    <row r="275" spans="1:13" ht="15.75" customHeight="1" x14ac:dyDescent="0.2">
      <c r="A275" s="34">
        <v>17391</v>
      </c>
      <c r="B275" s="34">
        <v>274</v>
      </c>
      <c r="C275" s="34" t="s">
        <v>1086</v>
      </c>
      <c r="D275" s="34" t="s">
        <v>6698</v>
      </c>
      <c r="E275" s="34" t="s">
        <v>6699</v>
      </c>
      <c r="F275" s="34">
        <v>1</v>
      </c>
      <c r="G275" s="34" t="b">
        <v>1</v>
      </c>
      <c r="H275" s="34">
        <v>3</v>
      </c>
      <c r="I275" s="34">
        <v>3</v>
      </c>
      <c r="J275" s="34">
        <v>0</v>
      </c>
      <c r="K275" s="34">
        <v>0</v>
      </c>
      <c r="L275" s="34">
        <v>0</v>
      </c>
      <c r="M275" s="50">
        <v>0</v>
      </c>
    </row>
    <row r="276" spans="1:13" ht="15.75" customHeight="1" x14ac:dyDescent="0.2">
      <c r="A276" s="34">
        <v>17391</v>
      </c>
      <c r="B276" s="34">
        <v>275</v>
      </c>
      <c r="C276" s="34" t="s">
        <v>1087</v>
      </c>
      <c r="D276" s="34" t="s">
        <v>6700</v>
      </c>
      <c r="E276" s="34" t="s">
        <v>6701</v>
      </c>
      <c r="F276" s="34">
        <v>1</v>
      </c>
      <c r="G276" s="34" t="b">
        <v>1</v>
      </c>
      <c r="H276" s="34">
        <v>1</v>
      </c>
      <c r="I276" s="34">
        <v>1</v>
      </c>
      <c r="J276" s="34">
        <v>0</v>
      </c>
      <c r="K276" s="34">
        <v>0</v>
      </c>
      <c r="L276" s="34">
        <v>0</v>
      </c>
      <c r="M276" s="50">
        <v>0</v>
      </c>
    </row>
    <row r="277" spans="1:13" ht="15.75" customHeight="1" x14ac:dyDescent="0.2">
      <c r="A277" s="34">
        <v>17392</v>
      </c>
      <c r="B277" s="34">
        <v>276</v>
      </c>
      <c r="C277" s="34" t="s">
        <v>1090</v>
      </c>
      <c r="D277" s="34" t="s">
        <v>6702</v>
      </c>
      <c r="E277" s="34" t="s">
        <v>6703</v>
      </c>
      <c r="F277" s="34">
        <v>1</v>
      </c>
      <c r="G277" s="34" t="b">
        <v>1</v>
      </c>
      <c r="H277" s="34">
        <v>4</v>
      </c>
      <c r="I277" s="34">
        <v>1</v>
      </c>
      <c r="J277" s="34">
        <v>1</v>
      </c>
      <c r="K277" s="34">
        <v>0</v>
      </c>
      <c r="L277" s="34">
        <v>2</v>
      </c>
      <c r="M277" s="50">
        <v>0</v>
      </c>
    </row>
    <row r="278" spans="1:13" ht="15.75" customHeight="1" x14ac:dyDescent="0.2">
      <c r="A278" s="34">
        <v>17392</v>
      </c>
      <c r="B278" s="34">
        <v>277</v>
      </c>
      <c r="C278" s="34" t="s">
        <v>1092</v>
      </c>
      <c r="D278" s="34" t="s">
        <v>6704</v>
      </c>
      <c r="E278" s="34" t="s">
        <v>6705</v>
      </c>
      <c r="F278" s="34">
        <v>1</v>
      </c>
      <c r="G278" s="34" t="b">
        <v>1</v>
      </c>
      <c r="H278" s="34">
        <v>2</v>
      </c>
      <c r="I278" s="34">
        <v>2</v>
      </c>
      <c r="J278" s="34">
        <v>0</v>
      </c>
      <c r="K278" s="34">
        <v>0</v>
      </c>
      <c r="L278" s="34">
        <v>0</v>
      </c>
      <c r="M278" s="50">
        <v>0</v>
      </c>
    </row>
    <row r="279" spans="1:13" ht="15.75" customHeight="1" x14ac:dyDescent="0.2">
      <c r="A279" s="34">
        <v>17392</v>
      </c>
      <c r="B279" s="34">
        <v>278</v>
      </c>
      <c r="C279" s="34" t="s">
        <v>1093</v>
      </c>
      <c r="D279" s="34" t="s">
        <v>6706</v>
      </c>
      <c r="E279" s="34" t="s">
        <v>6707</v>
      </c>
      <c r="F279" s="34">
        <v>1</v>
      </c>
      <c r="G279" s="34" t="b">
        <v>1</v>
      </c>
      <c r="H279" s="34">
        <v>2</v>
      </c>
      <c r="I279" s="34">
        <v>2</v>
      </c>
      <c r="J279" s="34">
        <v>0</v>
      </c>
      <c r="K279" s="34">
        <v>0</v>
      </c>
      <c r="L279" s="34">
        <v>0</v>
      </c>
      <c r="M279" s="50">
        <v>0</v>
      </c>
    </row>
    <row r="280" spans="1:13" ht="15.75" customHeight="1" x14ac:dyDescent="0.2">
      <c r="A280" s="34">
        <v>17392</v>
      </c>
      <c r="B280" s="34">
        <v>279</v>
      </c>
      <c r="C280" s="34" t="s">
        <v>1094</v>
      </c>
      <c r="D280" s="34" t="s">
        <v>6708</v>
      </c>
      <c r="E280" s="34" t="s">
        <v>6709</v>
      </c>
      <c r="F280" s="34">
        <v>1</v>
      </c>
      <c r="G280" s="34" t="b">
        <v>1</v>
      </c>
      <c r="H280" s="34">
        <v>2</v>
      </c>
      <c r="I280" s="34">
        <v>2</v>
      </c>
      <c r="J280" s="34">
        <v>0</v>
      </c>
      <c r="K280" s="34">
        <v>0</v>
      </c>
      <c r="L280" s="34">
        <v>0</v>
      </c>
      <c r="M280" s="50">
        <v>0</v>
      </c>
    </row>
    <row r="281" spans="1:13" ht="15.75" customHeight="1" x14ac:dyDescent="0.2">
      <c r="A281" s="34">
        <v>17392</v>
      </c>
      <c r="B281" s="34">
        <v>280</v>
      </c>
      <c r="C281" s="34" t="s">
        <v>1097</v>
      </c>
      <c r="D281" s="34" t="s">
        <v>6710</v>
      </c>
      <c r="E281" s="34" t="s">
        <v>6711</v>
      </c>
      <c r="F281" s="34">
        <v>1</v>
      </c>
      <c r="G281" s="34" t="b">
        <v>1</v>
      </c>
      <c r="H281" s="34">
        <v>3</v>
      </c>
      <c r="I281" s="34">
        <v>2</v>
      </c>
      <c r="J281" s="34">
        <v>1</v>
      </c>
      <c r="K281" s="34">
        <v>0</v>
      </c>
      <c r="L281" s="34">
        <v>0</v>
      </c>
      <c r="M281" s="50">
        <v>1</v>
      </c>
    </row>
    <row r="282" spans="1:13" ht="15.75" customHeight="1" x14ac:dyDescent="0.2">
      <c r="A282" s="34">
        <v>17393</v>
      </c>
      <c r="B282" s="34">
        <v>281</v>
      </c>
      <c r="C282" s="34" t="s">
        <v>1098</v>
      </c>
      <c r="D282" s="34" t="s">
        <v>6712</v>
      </c>
      <c r="E282" s="34" t="s">
        <v>6713</v>
      </c>
      <c r="F282" s="34">
        <v>1</v>
      </c>
      <c r="G282" s="34" t="b">
        <v>1</v>
      </c>
      <c r="H282" s="34">
        <v>1</v>
      </c>
      <c r="I282" s="34">
        <v>1</v>
      </c>
      <c r="J282" s="34">
        <v>0</v>
      </c>
      <c r="K282" s="34">
        <v>0</v>
      </c>
      <c r="L282" s="34">
        <v>0</v>
      </c>
      <c r="M282" s="50">
        <v>0</v>
      </c>
    </row>
    <row r="283" spans="1:13" ht="15.75" customHeight="1" x14ac:dyDescent="0.2">
      <c r="A283" s="34">
        <v>17393</v>
      </c>
      <c r="B283" s="34">
        <v>282</v>
      </c>
      <c r="C283" s="34" t="s">
        <v>1100</v>
      </c>
      <c r="D283" s="34" t="s">
        <v>6714</v>
      </c>
      <c r="E283" s="34" t="s">
        <v>6715</v>
      </c>
      <c r="F283" s="34">
        <v>1</v>
      </c>
      <c r="G283" s="34" t="b">
        <v>1</v>
      </c>
      <c r="H283" s="34">
        <v>3</v>
      </c>
      <c r="I283" s="34">
        <v>3</v>
      </c>
      <c r="J283" s="34">
        <v>0</v>
      </c>
      <c r="K283" s="34">
        <v>0</v>
      </c>
      <c r="L283" s="34">
        <v>0</v>
      </c>
      <c r="M283" s="50">
        <v>0</v>
      </c>
    </row>
    <row r="284" spans="1:13" ht="15.75" customHeight="1" x14ac:dyDescent="0.2">
      <c r="A284" s="34">
        <v>17393</v>
      </c>
      <c r="B284" s="34">
        <v>283</v>
      </c>
      <c r="C284" s="34" t="s">
        <v>1101</v>
      </c>
      <c r="D284" s="34" t="s">
        <v>5004</v>
      </c>
      <c r="E284" s="34" t="s">
        <v>6716</v>
      </c>
      <c r="F284" s="34">
        <v>1</v>
      </c>
      <c r="G284" s="34" t="b">
        <v>1</v>
      </c>
      <c r="H284" s="34">
        <v>2</v>
      </c>
      <c r="I284" s="34">
        <v>2</v>
      </c>
      <c r="J284" s="34">
        <v>0</v>
      </c>
      <c r="K284" s="34">
        <v>0</v>
      </c>
      <c r="L284" s="34">
        <v>0</v>
      </c>
      <c r="M284" s="50">
        <v>0</v>
      </c>
    </row>
    <row r="285" spans="1:13" ht="15.75" customHeight="1" x14ac:dyDescent="0.2">
      <c r="A285" s="34">
        <v>17393</v>
      </c>
      <c r="B285" s="34">
        <v>284</v>
      </c>
      <c r="C285" s="34" t="s">
        <v>1102</v>
      </c>
      <c r="D285" s="34" t="s">
        <v>6717</v>
      </c>
      <c r="E285" s="34" t="s">
        <v>6718</v>
      </c>
      <c r="F285" s="34">
        <v>1</v>
      </c>
      <c r="G285" s="34" t="b">
        <v>1</v>
      </c>
      <c r="H285" s="34">
        <v>2</v>
      </c>
      <c r="I285" s="34">
        <v>1</v>
      </c>
      <c r="J285" s="34">
        <v>1</v>
      </c>
      <c r="K285" s="34">
        <v>0</v>
      </c>
      <c r="L285" s="34">
        <v>0</v>
      </c>
      <c r="M285" s="50">
        <v>0</v>
      </c>
    </row>
    <row r="286" spans="1:13" ht="15.75" customHeight="1" x14ac:dyDescent="0.2">
      <c r="A286" s="34">
        <v>17393</v>
      </c>
      <c r="B286" s="34">
        <v>285</v>
      </c>
      <c r="C286" s="34" t="s">
        <v>1103</v>
      </c>
      <c r="D286" s="34" t="s">
        <v>5057</v>
      </c>
      <c r="E286" s="34" t="s">
        <v>6719</v>
      </c>
      <c r="F286" s="34">
        <v>1</v>
      </c>
      <c r="G286" s="34" t="b">
        <v>1</v>
      </c>
      <c r="H286" s="34">
        <v>2</v>
      </c>
      <c r="I286" s="34">
        <v>1</v>
      </c>
      <c r="J286" s="34">
        <v>1</v>
      </c>
      <c r="K286" s="34">
        <v>0</v>
      </c>
      <c r="L286" s="34">
        <v>0</v>
      </c>
      <c r="M286" s="50">
        <v>0</v>
      </c>
    </row>
    <row r="287" spans="1:13" ht="15.75" customHeight="1" x14ac:dyDescent="0.2">
      <c r="A287" s="34">
        <v>17393</v>
      </c>
      <c r="B287" s="34">
        <v>286</v>
      </c>
      <c r="C287" s="34" t="s">
        <v>1104</v>
      </c>
      <c r="D287" s="34" t="s">
        <v>6720</v>
      </c>
      <c r="E287" s="34" t="s">
        <v>6721</v>
      </c>
      <c r="F287" s="34">
        <v>1</v>
      </c>
      <c r="G287" s="34" t="b">
        <v>1</v>
      </c>
      <c r="H287" s="34">
        <v>1</v>
      </c>
      <c r="I287" s="34">
        <v>1</v>
      </c>
      <c r="J287" s="34">
        <v>0</v>
      </c>
      <c r="K287" s="34">
        <v>0</v>
      </c>
      <c r="L287" s="34">
        <v>0</v>
      </c>
      <c r="M287" s="50">
        <v>1</v>
      </c>
    </row>
    <row r="288" spans="1:13" ht="15.75" customHeight="1" x14ac:dyDescent="0.2">
      <c r="A288" s="34">
        <v>17397</v>
      </c>
      <c r="B288" s="34">
        <v>287</v>
      </c>
      <c r="C288" s="34" t="s">
        <v>1107</v>
      </c>
      <c r="D288" s="34" t="s">
        <v>6722</v>
      </c>
      <c r="E288" s="34" t="s">
        <v>6723</v>
      </c>
      <c r="F288" s="34">
        <v>1</v>
      </c>
      <c r="G288" s="34" t="b">
        <v>1</v>
      </c>
      <c r="H288" s="34">
        <v>1</v>
      </c>
      <c r="I288" s="34">
        <v>1</v>
      </c>
      <c r="J288" s="34">
        <v>0</v>
      </c>
      <c r="K288" s="34">
        <v>0</v>
      </c>
      <c r="L288" s="34">
        <v>0</v>
      </c>
      <c r="M288" s="50">
        <v>1</v>
      </c>
    </row>
    <row r="289" spans="1:13" ht="15.75" customHeight="1" x14ac:dyDescent="0.2">
      <c r="A289" s="34">
        <v>17397</v>
      </c>
      <c r="B289" s="34">
        <v>288</v>
      </c>
      <c r="C289" s="34" t="s">
        <v>1109</v>
      </c>
      <c r="D289" s="34" t="s">
        <v>6724</v>
      </c>
      <c r="E289" s="34" t="s">
        <v>6725</v>
      </c>
      <c r="F289" s="34">
        <v>1</v>
      </c>
      <c r="G289" s="34" t="b">
        <v>1</v>
      </c>
      <c r="H289" s="34">
        <v>4</v>
      </c>
      <c r="I289" s="34">
        <v>4</v>
      </c>
      <c r="J289" s="34">
        <v>0</v>
      </c>
      <c r="K289" s="34">
        <v>0</v>
      </c>
      <c r="L289" s="34">
        <v>0</v>
      </c>
      <c r="M289" s="50">
        <v>0</v>
      </c>
    </row>
    <row r="290" spans="1:13" ht="15.75" customHeight="1" x14ac:dyDescent="0.2">
      <c r="A290" s="34">
        <v>17397</v>
      </c>
      <c r="B290" s="34">
        <v>289</v>
      </c>
      <c r="C290" s="34" t="s">
        <v>1110</v>
      </c>
      <c r="D290" s="34" t="s">
        <v>6726</v>
      </c>
      <c r="E290" s="34" t="s">
        <v>6727</v>
      </c>
      <c r="F290" s="34">
        <v>1</v>
      </c>
      <c r="G290" s="34" t="b">
        <v>1</v>
      </c>
      <c r="H290" s="34">
        <v>1</v>
      </c>
      <c r="I290" s="34">
        <v>1</v>
      </c>
      <c r="J290" s="34">
        <v>0</v>
      </c>
      <c r="K290" s="34">
        <v>0</v>
      </c>
      <c r="L290" s="34">
        <v>0</v>
      </c>
      <c r="M290" s="50">
        <v>0</v>
      </c>
    </row>
    <row r="291" spans="1:13" ht="15.75" customHeight="1" x14ac:dyDescent="0.2">
      <c r="A291" s="34">
        <v>17397</v>
      </c>
      <c r="B291" s="34">
        <v>290</v>
      </c>
      <c r="C291" s="34" t="s">
        <v>1111</v>
      </c>
      <c r="D291" s="34" t="s">
        <v>6728</v>
      </c>
      <c r="E291" s="34" t="s">
        <v>6729</v>
      </c>
      <c r="F291" s="34">
        <v>1</v>
      </c>
      <c r="G291" s="34" t="b">
        <v>1</v>
      </c>
      <c r="H291" s="34">
        <v>2</v>
      </c>
      <c r="I291" s="34">
        <v>1</v>
      </c>
      <c r="J291" s="34">
        <v>1</v>
      </c>
      <c r="K291" s="34">
        <v>0</v>
      </c>
      <c r="L291" s="34">
        <v>0</v>
      </c>
      <c r="M291" s="50">
        <v>0</v>
      </c>
    </row>
    <row r="292" spans="1:13" ht="15.75" customHeight="1" x14ac:dyDescent="0.2">
      <c r="A292" s="34">
        <v>17398</v>
      </c>
      <c r="B292" s="34">
        <v>291</v>
      </c>
      <c r="C292" s="34" t="s">
        <v>1114</v>
      </c>
      <c r="D292" s="34" t="s">
        <v>7016</v>
      </c>
      <c r="E292" s="34" t="s">
        <v>7017</v>
      </c>
      <c r="F292" s="34">
        <v>3</v>
      </c>
      <c r="G292" s="34" t="b">
        <v>1</v>
      </c>
      <c r="H292" s="34">
        <v>3</v>
      </c>
      <c r="I292" s="34">
        <v>3</v>
      </c>
      <c r="J292" s="34">
        <v>0</v>
      </c>
      <c r="K292" s="34">
        <v>0</v>
      </c>
      <c r="L292" s="34">
        <v>0</v>
      </c>
      <c r="M292" s="50">
        <v>0</v>
      </c>
    </row>
    <row r="293" spans="1:13" ht="15.75" customHeight="1" x14ac:dyDescent="0.2">
      <c r="A293" s="34">
        <v>17398</v>
      </c>
      <c r="B293" s="34">
        <v>292</v>
      </c>
      <c r="C293" s="34" t="s">
        <v>1116</v>
      </c>
      <c r="D293" s="34" t="s">
        <v>6732</v>
      </c>
      <c r="E293" s="34" t="s">
        <v>6733</v>
      </c>
      <c r="F293" s="34">
        <v>1</v>
      </c>
      <c r="G293" s="34" t="b">
        <v>1</v>
      </c>
      <c r="H293" s="34">
        <v>1</v>
      </c>
      <c r="I293" s="34">
        <v>1</v>
      </c>
      <c r="J293" s="34">
        <v>0</v>
      </c>
      <c r="K293" s="34">
        <v>0</v>
      </c>
      <c r="L293" s="34">
        <v>0</v>
      </c>
      <c r="M293" s="50">
        <v>0</v>
      </c>
    </row>
    <row r="294" spans="1:13" ht="15.75" customHeight="1" x14ac:dyDescent="0.2">
      <c r="A294" s="34">
        <v>17398</v>
      </c>
      <c r="B294" s="34">
        <v>293</v>
      </c>
      <c r="C294" s="34" t="s">
        <v>1117</v>
      </c>
      <c r="D294" s="34" t="s">
        <v>6734</v>
      </c>
      <c r="E294" s="34" t="s">
        <v>6735</v>
      </c>
      <c r="F294" s="34">
        <v>1</v>
      </c>
      <c r="G294" s="34" t="b">
        <v>1</v>
      </c>
      <c r="H294" s="34">
        <v>2</v>
      </c>
      <c r="I294" s="34">
        <v>1</v>
      </c>
      <c r="J294" s="34">
        <v>0</v>
      </c>
      <c r="K294" s="34">
        <v>1</v>
      </c>
      <c r="L294" s="34">
        <v>0</v>
      </c>
      <c r="M294" s="50">
        <v>1</v>
      </c>
    </row>
    <row r="295" spans="1:13" ht="15.75" customHeight="1" x14ac:dyDescent="0.2">
      <c r="A295" s="34">
        <v>17398</v>
      </c>
      <c r="B295" s="34">
        <v>294</v>
      </c>
      <c r="C295" s="34" t="s">
        <v>1118</v>
      </c>
      <c r="D295" s="34" t="s">
        <v>6736</v>
      </c>
      <c r="E295" s="34" t="s">
        <v>6737</v>
      </c>
      <c r="F295" s="34">
        <v>1</v>
      </c>
      <c r="G295" s="34" t="b">
        <v>1</v>
      </c>
      <c r="H295" s="34">
        <v>1</v>
      </c>
      <c r="I295" s="34">
        <v>1</v>
      </c>
      <c r="J295" s="34">
        <v>0</v>
      </c>
      <c r="K295" s="34">
        <v>0</v>
      </c>
      <c r="L295" s="34">
        <v>0</v>
      </c>
      <c r="M295" s="50">
        <v>0</v>
      </c>
    </row>
    <row r="296" spans="1:13" ht="15.75" customHeight="1" x14ac:dyDescent="0.2">
      <c r="A296" s="34">
        <v>17398</v>
      </c>
      <c r="B296" s="34">
        <v>295</v>
      </c>
      <c r="C296" s="34" t="s">
        <v>1119</v>
      </c>
      <c r="D296" s="34" t="s">
        <v>7018</v>
      </c>
      <c r="E296" s="34" t="s">
        <v>7019</v>
      </c>
      <c r="F296" s="34">
        <v>3</v>
      </c>
      <c r="G296" s="34" t="b">
        <v>1</v>
      </c>
      <c r="H296" s="34">
        <v>3</v>
      </c>
      <c r="I296" s="34">
        <v>2</v>
      </c>
      <c r="J296" s="34">
        <v>1</v>
      </c>
      <c r="K296" s="34">
        <v>0</v>
      </c>
      <c r="L296" s="34">
        <v>0</v>
      </c>
      <c r="M296" s="50">
        <v>0</v>
      </c>
    </row>
    <row r="297" spans="1:13" ht="15.75" customHeight="1" x14ac:dyDescent="0.2">
      <c r="A297" s="34">
        <v>17398</v>
      </c>
      <c r="B297" s="34">
        <v>296</v>
      </c>
      <c r="C297" s="34" t="s">
        <v>1120</v>
      </c>
      <c r="D297" s="34" t="s">
        <v>6740</v>
      </c>
      <c r="E297" s="34" t="s">
        <v>6741</v>
      </c>
      <c r="F297" s="34">
        <v>1</v>
      </c>
      <c r="G297" s="34" t="b">
        <v>1</v>
      </c>
      <c r="H297" s="34">
        <v>1</v>
      </c>
      <c r="I297" s="34">
        <v>1</v>
      </c>
      <c r="J297" s="34">
        <v>0</v>
      </c>
      <c r="K297" s="34">
        <v>0</v>
      </c>
      <c r="L297" s="34">
        <v>0</v>
      </c>
      <c r="M297" s="50">
        <v>0</v>
      </c>
    </row>
    <row r="298" spans="1:13" ht="15.75" customHeight="1" x14ac:dyDescent="0.2">
      <c r="A298" s="34">
        <v>17398</v>
      </c>
      <c r="B298" s="34">
        <v>297</v>
      </c>
      <c r="C298" s="34" t="s">
        <v>1123</v>
      </c>
      <c r="D298" s="34" t="s">
        <v>6742</v>
      </c>
      <c r="E298" s="34" t="s">
        <v>6743</v>
      </c>
      <c r="F298" s="34">
        <v>1</v>
      </c>
      <c r="G298" s="34" t="b">
        <v>1</v>
      </c>
      <c r="H298" s="34">
        <v>3</v>
      </c>
      <c r="I298" s="34">
        <v>3</v>
      </c>
      <c r="J298" s="34">
        <v>0</v>
      </c>
      <c r="K298" s="34">
        <v>0</v>
      </c>
      <c r="L298" s="34">
        <v>0</v>
      </c>
      <c r="M298" s="50">
        <v>0</v>
      </c>
    </row>
    <row r="299" spans="1:13" ht="15.75" customHeight="1" x14ac:dyDescent="0.2">
      <c r="A299" s="34">
        <v>17398</v>
      </c>
      <c r="B299" s="34">
        <v>298</v>
      </c>
      <c r="C299" s="34" t="s">
        <v>1124</v>
      </c>
      <c r="D299" s="34" t="s">
        <v>6744</v>
      </c>
      <c r="E299" s="34" t="s">
        <v>6745</v>
      </c>
      <c r="F299" s="34">
        <v>1</v>
      </c>
      <c r="G299" s="34" t="b">
        <v>1</v>
      </c>
      <c r="H299" s="34">
        <v>4</v>
      </c>
      <c r="I299" s="34">
        <v>2</v>
      </c>
      <c r="J299" s="34">
        <v>1</v>
      </c>
      <c r="K299" s="34">
        <v>0</v>
      </c>
      <c r="L299" s="34">
        <v>1</v>
      </c>
      <c r="M299" s="50">
        <v>0</v>
      </c>
    </row>
    <row r="300" spans="1:13" ht="15.75" customHeight="1" x14ac:dyDescent="0.2">
      <c r="A300" s="34">
        <v>17398</v>
      </c>
      <c r="B300" s="34">
        <v>299</v>
      </c>
      <c r="C300" s="34" t="s">
        <v>1125</v>
      </c>
      <c r="D300" s="34" t="s">
        <v>7020</v>
      </c>
      <c r="E300" s="34" t="s">
        <v>7021</v>
      </c>
      <c r="F300" s="34">
        <v>5</v>
      </c>
      <c r="G300" s="34" t="b">
        <v>0</v>
      </c>
      <c r="H300" s="34">
        <v>3</v>
      </c>
      <c r="I300" s="34">
        <v>2</v>
      </c>
      <c r="J300" s="34">
        <v>1</v>
      </c>
      <c r="K300" s="34">
        <v>0</v>
      </c>
      <c r="L300" s="34">
        <v>0</v>
      </c>
      <c r="M300" s="50">
        <v>1</v>
      </c>
    </row>
    <row r="301" spans="1:13" ht="15.75" customHeight="1" x14ac:dyDescent="0.2">
      <c r="A301" s="34">
        <v>17398</v>
      </c>
      <c r="B301" s="34">
        <v>300</v>
      </c>
      <c r="C301" s="34" t="s">
        <v>1126</v>
      </c>
      <c r="D301" s="34" t="s">
        <v>6748</v>
      </c>
      <c r="E301" s="34" t="s">
        <v>6749</v>
      </c>
      <c r="F301" s="34">
        <v>1</v>
      </c>
      <c r="G301" s="34" t="b">
        <v>1</v>
      </c>
      <c r="H301" s="34">
        <v>1</v>
      </c>
      <c r="I301" s="34">
        <v>1</v>
      </c>
      <c r="J301" s="34">
        <v>0</v>
      </c>
      <c r="K301" s="34">
        <v>0</v>
      </c>
      <c r="L301" s="34">
        <v>0</v>
      </c>
      <c r="M301" s="50">
        <v>0</v>
      </c>
    </row>
    <row r="302" spans="1:13" ht="15.75" customHeight="1" x14ac:dyDescent="0.2">
      <c r="A302" s="34">
        <v>17399</v>
      </c>
      <c r="B302" s="34">
        <v>301</v>
      </c>
      <c r="C302" s="34" t="s">
        <v>1127</v>
      </c>
      <c r="D302" s="34" t="s">
        <v>6750</v>
      </c>
      <c r="E302" s="34" t="s">
        <v>6751</v>
      </c>
      <c r="F302" s="34">
        <v>1</v>
      </c>
      <c r="G302" s="34" t="b">
        <v>1</v>
      </c>
      <c r="H302" s="34">
        <v>1</v>
      </c>
      <c r="I302" s="34">
        <v>1</v>
      </c>
      <c r="J302" s="34">
        <v>0</v>
      </c>
      <c r="K302" s="34">
        <v>0</v>
      </c>
      <c r="L302" s="34">
        <v>0</v>
      </c>
      <c r="M302" s="50">
        <v>0</v>
      </c>
    </row>
    <row r="303" spans="1:13" ht="15.75" customHeight="1" x14ac:dyDescent="0.2">
      <c r="A303" s="34">
        <v>17399</v>
      </c>
      <c r="B303" s="34">
        <v>302</v>
      </c>
      <c r="C303" s="34" t="s">
        <v>1129</v>
      </c>
      <c r="D303" s="34" t="s">
        <v>7022</v>
      </c>
      <c r="E303" s="34" t="s">
        <v>7023</v>
      </c>
      <c r="F303" s="34">
        <v>5</v>
      </c>
      <c r="G303" s="34" t="b">
        <v>0</v>
      </c>
      <c r="H303" s="34">
        <v>3</v>
      </c>
      <c r="I303" s="34">
        <v>3</v>
      </c>
      <c r="J303" s="34">
        <v>0</v>
      </c>
      <c r="K303" s="34">
        <v>0</v>
      </c>
      <c r="L303" s="34">
        <v>0</v>
      </c>
      <c r="M303" s="50">
        <v>0</v>
      </c>
    </row>
    <row r="304" spans="1:13" ht="15.75" customHeight="1" x14ac:dyDescent="0.2">
      <c r="A304" s="34">
        <v>17399</v>
      </c>
      <c r="B304" s="34">
        <v>303</v>
      </c>
      <c r="C304" s="34" t="s">
        <v>1130</v>
      </c>
      <c r="D304" s="34" t="s">
        <v>6754</v>
      </c>
      <c r="E304" s="34" t="s">
        <v>6755</v>
      </c>
      <c r="F304" s="34">
        <v>1</v>
      </c>
      <c r="G304" s="34" t="b">
        <v>1</v>
      </c>
      <c r="H304" s="34">
        <v>4</v>
      </c>
      <c r="I304" s="34">
        <v>3</v>
      </c>
      <c r="J304" s="34">
        <v>1</v>
      </c>
      <c r="K304" s="34">
        <v>0</v>
      </c>
      <c r="L304" s="34">
        <v>0</v>
      </c>
      <c r="M304" s="50">
        <v>0</v>
      </c>
    </row>
    <row r="305" spans="1:13" ht="15.75" customHeight="1" x14ac:dyDescent="0.2">
      <c r="A305" s="34">
        <v>17399</v>
      </c>
      <c r="B305" s="34">
        <v>304</v>
      </c>
      <c r="C305" s="34" t="s">
        <v>1131</v>
      </c>
      <c r="D305" s="34" t="s">
        <v>6756</v>
      </c>
      <c r="E305" s="34" t="s">
        <v>6757</v>
      </c>
      <c r="F305" s="34">
        <v>1</v>
      </c>
      <c r="G305" s="34" t="b">
        <v>1</v>
      </c>
      <c r="H305" s="34">
        <v>4</v>
      </c>
      <c r="I305" s="34">
        <v>2</v>
      </c>
      <c r="J305" s="34">
        <v>1</v>
      </c>
      <c r="K305" s="34">
        <v>0</v>
      </c>
      <c r="L305" s="34">
        <v>1</v>
      </c>
      <c r="M305" s="50">
        <v>0</v>
      </c>
    </row>
    <row r="306" spans="1:13" ht="15.75" customHeight="1" x14ac:dyDescent="0.2">
      <c r="A306" s="34">
        <v>17399</v>
      </c>
      <c r="B306" s="34">
        <v>305</v>
      </c>
      <c r="C306" s="34" t="s">
        <v>1134</v>
      </c>
      <c r="D306" s="34" t="s">
        <v>6758</v>
      </c>
      <c r="E306" s="34" t="s">
        <v>6759</v>
      </c>
      <c r="F306" s="34">
        <v>1</v>
      </c>
      <c r="G306" s="34" t="b">
        <v>1</v>
      </c>
      <c r="H306" s="34">
        <v>3</v>
      </c>
      <c r="I306" s="34">
        <v>3</v>
      </c>
      <c r="J306" s="34">
        <v>0</v>
      </c>
      <c r="K306" s="34">
        <v>0</v>
      </c>
      <c r="L306" s="34">
        <v>0</v>
      </c>
      <c r="M306" s="50">
        <v>0</v>
      </c>
    </row>
    <row r="307" spans="1:13" ht="15.75" customHeight="1" x14ac:dyDescent="0.2">
      <c r="A307" s="34">
        <v>17399</v>
      </c>
      <c r="B307" s="34">
        <v>306</v>
      </c>
      <c r="C307" s="34" t="s">
        <v>1135</v>
      </c>
      <c r="D307" s="34" t="s">
        <v>6760</v>
      </c>
      <c r="E307" s="34" t="s">
        <v>6761</v>
      </c>
      <c r="F307" s="34">
        <v>1</v>
      </c>
      <c r="G307" s="34" t="b">
        <v>1</v>
      </c>
      <c r="H307" s="34">
        <v>1</v>
      </c>
      <c r="I307" s="34">
        <v>1</v>
      </c>
      <c r="J307" s="34">
        <v>0</v>
      </c>
      <c r="K307" s="34">
        <v>0</v>
      </c>
      <c r="L307" s="34">
        <v>0</v>
      </c>
      <c r="M307" s="50">
        <v>0</v>
      </c>
    </row>
    <row r="308" spans="1:13" ht="15.75" customHeight="1" x14ac:dyDescent="0.2">
      <c r="A308" s="34">
        <v>17399</v>
      </c>
      <c r="B308" s="34">
        <v>307</v>
      </c>
      <c r="C308" s="34" t="s">
        <v>1136</v>
      </c>
      <c r="D308" s="34" t="s">
        <v>6762</v>
      </c>
      <c r="E308" s="34" t="s">
        <v>6763</v>
      </c>
      <c r="F308" s="34">
        <v>1</v>
      </c>
      <c r="G308" s="34" t="b">
        <v>1</v>
      </c>
      <c r="H308" s="34">
        <v>6</v>
      </c>
      <c r="I308" s="34">
        <v>5</v>
      </c>
      <c r="J308" s="34">
        <v>0</v>
      </c>
      <c r="K308" s="34">
        <v>0</v>
      </c>
      <c r="L308" s="34">
        <v>1</v>
      </c>
      <c r="M308" s="50">
        <v>0</v>
      </c>
    </row>
    <row r="309" spans="1:13" ht="15.75" customHeight="1" x14ac:dyDescent="0.2">
      <c r="A309" s="34">
        <v>17399</v>
      </c>
      <c r="B309" s="34">
        <v>308</v>
      </c>
      <c r="C309" s="34" t="s">
        <v>1137</v>
      </c>
      <c r="D309" s="34" t="s">
        <v>6764</v>
      </c>
      <c r="E309" s="34" t="s">
        <v>6765</v>
      </c>
      <c r="F309" s="34">
        <v>1</v>
      </c>
      <c r="G309" s="34" t="b">
        <v>1</v>
      </c>
      <c r="H309" s="34">
        <v>6</v>
      </c>
      <c r="I309" s="34">
        <v>5</v>
      </c>
      <c r="J309" s="34">
        <v>0</v>
      </c>
      <c r="K309" s="34">
        <v>0</v>
      </c>
      <c r="L309" s="34">
        <v>1</v>
      </c>
      <c r="M309" s="50">
        <v>0</v>
      </c>
    </row>
    <row r="310" spans="1:13" ht="15.75" customHeight="1" x14ac:dyDescent="0.2">
      <c r="A310" s="34">
        <v>17399</v>
      </c>
      <c r="B310" s="34">
        <v>309</v>
      </c>
      <c r="C310" s="34" t="s">
        <v>1138</v>
      </c>
      <c r="D310" s="34" t="s">
        <v>6764</v>
      </c>
      <c r="E310" s="34" t="s">
        <v>7024</v>
      </c>
      <c r="F310" s="34">
        <v>2</v>
      </c>
      <c r="G310" s="34" t="b">
        <v>1</v>
      </c>
      <c r="H310" s="34">
        <v>5</v>
      </c>
      <c r="I310" s="34">
        <v>2</v>
      </c>
      <c r="J310" s="34">
        <v>2</v>
      </c>
      <c r="K310" s="34">
        <v>0</v>
      </c>
      <c r="L310" s="34">
        <v>1</v>
      </c>
      <c r="M310" s="50">
        <v>0</v>
      </c>
    </row>
    <row r="311" spans="1:13" ht="15.75" customHeight="1" x14ac:dyDescent="0.2">
      <c r="A311" s="34">
        <v>17400</v>
      </c>
      <c r="B311" s="34">
        <v>310</v>
      </c>
      <c r="C311" s="34" t="s">
        <v>1139</v>
      </c>
      <c r="D311" s="34" t="s">
        <v>6768</v>
      </c>
      <c r="E311" s="34" t="s">
        <v>6769</v>
      </c>
      <c r="F311" s="34">
        <v>1</v>
      </c>
      <c r="G311" s="34" t="b">
        <v>1</v>
      </c>
      <c r="H311" s="34">
        <v>1</v>
      </c>
      <c r="I311" s="34">
        <v>1</v>
      </c>
      <c r="J311" s="34">
        <v>0</v>
      </c>
      <c r="K311" s="34">
        <v>0</v>
      </c>
      <c r="L311" s="34">
        <v>0</v>
      </c>
      <c r="M311" s="50">
        <v>0</v>
      </c>
    </row>
    <row r="312" spans="1:13" ht="15.75" customHeight="1" x14ac:dyDescent="0.2">
      <c r="A312" s="34">
        <v>17400</v>
      </c>
      <c r="B312" s="34">
        <v>311</v>
      </c>
      <c r="C312" s="34" t="s">
        <v>1142</v>
      </c>
      <c r="D312" s="34" t="s">
        <v>6770</v>
      </c>
      <c r="E312" s="34" t="s">
        <v>6771</v>
      </c>
      <c r="F312" s="34">
        <v>1</v>
      </c>
      <c r="G312" s="34" t="b">
        <v>1</v>
      </c>
      <c r="H312" s="34">
        <v>1</v>
      </c>
      <c r="I312" s="34">
        <v>1</v>
      </c>
      <c r="J312" s="34">
        <v>0</v>
      </c>
      <c r="K312" s="34">
        <v>0</v>
      </c>
      <c r="L312" s="34">
        <v>0</v>
      </c>
      <c r="M312" s="50">
        <v>0</v>
      </c>
    </row>
    <row r="313" spans="1:13" ht="15.75" customHeight="1" x14ac:dyDescent="0.2">
      <c r="A313" s="34">
        <v>17400</v>
      </c>
      <c r="B313" s="34">
        <v>312</v>
      </c>
      <c r="C313" s="34" t="s">
        <v>1144</v>
      </c>
      <c r="D313" s="34" t="s">
        <v>6772</v>
      </c>
      <c r="E313" s="34" t="s">
        <v>6773</v>
      </c>
      <c r="F313" s="34">
        <v>1</v>
      </c>
      <c r="G313" s="34" t="b">
        <v>1</v>
      </c>
      <c r="H313" s="34">
        <v>1</v>
      </c>
      <c r="I313" s="34">
        <v>1</v>
      </c>
      <c r="J313" s="34">
        <v>0</v>
      </c>
      <c r="K313" s="34">
        <v>0</v>
      </c>
      <c r="L313" s="34">
        <v>0</v>
      </c>
      <c r="M313" s="50">
        <v>0</v>
      </c>
    </row>
    <row r="314" spans="1:13" ht="15.75" customHeight="1" x14ac:dyDescent="0.2">
      <c r="A314" s="34">
        <v>17405</v>
      </c>
      <c r="B314" s="34">
        <v>313</v>
      </c>
      <c r="C314" s="34" t="s">
        <v>1145</v>
      </c>
      <c r="D314" s="34" t="s">
        <v>7025</v>
      </c>
      <c r="E314" s="34" t="s">
        <v>7026</v>
      </c>
      <c r="F314" s="34">
        <v>2</v>
      </c>
      <c r="G314" s="34" t="b">
        <v>1</v>
      </c>
      <c r="H314" s="34">
        <v>5</v>
      </c>
      <c r="I314" s="34">
        <v>2</v>
      </c>
      <c r="J314" s="34">
        <v>1</v>
      </c>
      <c r="K314" s="34">
        <v>2</v>
      </c>
      <c r="L314" s="34">
        <v>0</v>
      </c>
      <c r="M314" s="50">
        <v>0</v>
      </c>
    </row>
    <row r="315" spans="1:13" ht="15.75" customHeight="1" x14ac:dyDescent="0.2">
      <c r="A315" s="34">
        <v>17405</v>
      </c>
      <c r="B315" s="34">
        <v>314</v>
      </c>
      <c r="C315" s="34" t="s">
        <v>1148</v>
      </c>
      <c r="D315" s="34" t="s">
        <v>6776</v>
      </c>
      <c r="E315" s="34" t="s">
        <v>6777</v>
      </c>
      <c r="F315" s="34">
        <v>1</v>
      </c>
      <c r="G315" s="34" t="b">
        <v>1</v>
      </c>
      <c r="H315" s="34">
        <v>3</v>
      </c>
      <c r="I315" s="34">
        <v>3</v>
      </c>
      <c r="J315" s="34">
        <v>0</v>
      </c>
      <c r="K315" s="34">
        <v>0</v>
      </c>
      <c r="L315" s="34">
        <v>0</v>
      </c>
      <c r="M315" s="50">
        <v>0</v>
      </c>
    </row>
    <row r="316" spans="1:13" ht="15.75" customHeight="1" x14ac:dyDescent="0.2">
      <c r="A316" s="34">
        <v>17405</v>
      </c>
      <c r="B316" s="34">
        <v>315</v>
      </c>
      <c r="C316" s="34" t="s">
        <v>1151</v>
      </c>
      <c r="D316" s="34"/>
      <c r="E316" s="34" t="s">
        <v>7027</v>
      </c>
      <c r="F316" s="34">
        <v>5</v>
      </c>
      <c r="G316" s="34" t="b">
        <v>0</v>
      </c>
      <c r="H316" s="34">
        <v>0</v>
      </c>
      <c r="I316" s="34"/>
      <c r="J316" s="34"/>
      <c r="K316" s="34"/>
      <c r="L316" s="34"/>
    </row>
    <row r="317" spans="1:13" ht="15.75" customHeight="1" x14ac:dyDescent="0.2">
      <c r="A317" s="34">
        <v>17405</v>
      </c>
      <c r="B317" s="34">
        <v>316</v>
      </c>
      <c r="C317" s="34" t="s">
        <v>1154</v>
      </c>
      <c r="D317" s="34" t="s">
        <v>6780</v>
      </c>
      <c r="E317" s="34" t="s">
        <v>6781</v>
      </c>
      <c r="F317" s="34">
        <v>1</v>
      </c>
      <c r="G317" s="34" t="b">
        <v>1</v>
      </c>
      <c r="H317" s="34">
        <v>3</v>
      </c>
      <c r="I317" s="34">
        <v>3</v>
      </c>
      <c r="J317" s="34">
        <v>0</v>
      </c>
      <c r="K317" s="34">
        <v>0</v>
      </c>
      <c r="L317" s="34">
        <v>0</v>
      </c>
      <c r="M317" s="50">
        <v>0</v>
      </c>
    </row>
    <row r="318" spans="1:13" ht="15.75" customHeight="1" x14ac:dyDescent="0.2">
      <c r="A318" s="34">
        <v>17405</v>
      </c>
      <c r="B318" s="34">
        <v>317</v>
      </c>
      <c r="C318" s="34" t="s">
        <v>1157</v>
      </c>
      <c r="D318" s="34" t="s">
        <v>6782</v>
      </c>
      <c r="E318" s="34" t="s">
        <v>6783</v>
      </c>
      <c r="F318" s="34">
        <v>1</v>
      </c>
      <c r="G318" s="34" t="b">
        <v>1</v>
      </c>
      <c r="H318" s="34">
        <v>2</v>
      </c>
      <c r="I318" s="34">
        <v>2</v>
      </c>
      <c r="J318" s="34">
        <v>0</v>
      </c>
      <c r="K318" s="34">
        <v>0</v>
      </c>
      <c r="L318" s="34">
        <v>0</v>
      </c>
      <c r="M318" s="50">
        <v>0</v>
      </c>
    </row>
    <row r="319" spans="1:13" ht="15.75" customHeight="1" x14ac:dyDescent="0.2">
      <c r="A319" s="34">
        <v>17405</v>
      </c>
      <c r="B319" s="34">
        <v>318</v>
      </c>
      <c r="C319" s="34" t="s">
        <v>1160</v>
      </c>
      <c r="D319" s="34" t="s">
        <v>6784</v>
      </c>
      <c r="E319" s="34" t="s">
        <v>6785</v>
      </c>
      <c r="F319" s="34">
        <v>1</v>
      </c>
      <c r="G319" s="34" t="b">
        <v>1</v>
      </c>
      <c r="H319" s="34">
        <v>3</v>
      </c>
      <c r="I319" s="34">
        <v>1</v>
      </c>
      <c r="J319" s="34">
        <v>2</v>
      </c>
      <c r="K319" s="34">
        <v>0</v>
      </c>
      <c r="L319" s="34">
        <v>0</v>
      </c>
      <c r="M319" s="50">
        <v>1</v>
      </c>
    </row>
    <row r="320" spans="1:13" ht="15.75" customHeight="1" x14ac:dyDescent="0.2">
      <c r="A320" s="34">
        <v>17406</v>
      </c>
      <c r="B320" s="34">
        <v>319</v>
      </c>
      <c r="C320" s="34" t="s">
        <v>1162</v>
      </c>
      <c r="D320" s="34" t="s">
        <v>6786</v>
      </c>
      <c r="E320" s="34" t="s">
        <v>6787</v>
      </c>
      <c r="F320" s="34">
        <v>1</v>
      </c>
      <c r="G320" s="34" t="b">
        <v>1</v>
      </c>
      <c r="H320" s="34">
        <v>4</v>
      </c>
      <c r="I320" s="34">
        <v>4</v>
      </c>
      <c r="J320" s="34">
        <v>0</v>
      </c>
      <c r="K320" s="34">
        <v>0</v>
      </c>
      <c r="L320" s="34">
        <v>0</v>
      </c>
      <c r="M320" s="50">
        <v>0</v>
      </c>
    </row>
    <row r="321" spans="1:13" ht="15.75" customHeight="1" x14ac:dyDescent="0.2">
      <c r="A321" s="34">
        <v>17406</v>
      </c>
      <c r="B321" s="34">
        <v>320</v>
      </c>
      <c r="C321" s="34" t="s">
        <v>1165</v>
      </c>
      <c r="D321" s="34" t="s">
        <v>6788</v>
      </c>
      <c r="E321" s="34" t="s">
        <v>6789</v>
      </c>
      <c r="F321" s="34">
        <v>1</v>
      </c>
      <c r="G321" s="34" t="b">
        <v>1</v>
      </c>
      <c r="H321" s="34">
        <v>3</v>
      </c>
      <c r="I321" s="34">
        <v>1</v>
      </c>
      <c r="J321" s="34">
        <v>2</v>
      </c>
      <c r="K321" s="34">
        <v>0</v>
      </c>
      <c r="L321" s="34">
        <v>0</v>
      </c>
      <c r="M321" s="50">
        <v>0</v>
      </c>
    </row>
    <row r="322" spans="1:13" ht="15.75" customHeight="1" x14ac:dyDescent="0.2">
      <c r="A322" s="34">
        <v>17406</v>
      </c>
      <c r="B322" s="34">
        <v>321</v>
      </c>
      <c r="C322" s="34" t="s">
        <v>1168</v>
      </c>
      <c r="D322" s="34" t="s">
        <v>6790</v>
      </c>
      <c r="E322" s="34" t="s">
        <v>6791</v>
      </c>
      <c r="F322" s="34">
        <v>1</v>
      </c>
      <c r="G322" s="34" t="b">
        <v>1</v>
      </c>
      <c r="H322" s="34">
        <v>4</v>
      </c>
      <c r="I322" s="34">
        <v>4</v>
      </c>
      <c r="J322" s="34">
        <v>0</v>
      </c>
      <c r="K322" s="34">
        <v>0</v>
      </c>
      <c r="L322" s="34">
        <v>0</v>
      </c>
      <c r="M322" s="50">
        <v>0</v>
      </c>
    </row>
    <row r="323" spans="1:13" ht="15.75" customHeight="1" x14ac:dyDescent="0.2">
      <c r="A323" s="34">
        <v>17406</v>
      </c>
      <c r="B323" s="34">
        <v>322</v>
      </c>
      <c r="C323" s="34" t="s">
        <v>1171</v>
      </c>
      <c r="D323" s="34" t="s">
        <v>6792</v>
      </c>
      <c r="E323" s="34" t="s">
        <v>6793</v>
      </c>
      <c r="F323" s="34">
        <v>1</v>
      </c>
      <c r="G323" s="34" t="b">
        <v>1</v>
      </c>
      <c r="H323" s="34">
        <v>3</v>
      </c>
      <c r="I323" s="34">
        <v>1</v>
      </c>
      <c r="J323" s="34">
        <v>2</v>
      </c>
      <c r="K323" s="34">
        <v>0</v>
      </c>
      <c r="L323" s="34">
        <v>0</v>
      </c>
      <c r="M323" s="50">
        <v>0</v>
      </c>
    </row>
    <row r="324" spans="1:13" ht="15.75" customHeight="1" x14ac:dyDescent="0.2">
      <c r="A324" s="34">
        <v>17406</v>
      </c>
      <c r="B324" s="34">
        <v>323</v>
      </c>
      <c r="C324" s="34" t="s">
        <v>1172</v>
      </c>
      <c r="D324" s="34" t="s">
        <v>6794</v>
      </c>
      <c r="E324" s="34" t="s">
        <v>6795</v>
      </c>
      <c r="F324" s="34">
        <v>1</v>
      </c>
      <c r="G324" s="34" t="b">
        <v>1</v>
      </c>
      <c r="H324" s="34">
        <v>3</v>
      </c>
      <c r="I324" s="34">
        <v>3</v>
      </c>
      <c r="J324" s="34">
        <v>0</v>
      </c>
      <c r="K324" s="34">
        <v>0</v>
      </c>
      <c r="L324" s="34">
        <v>0</v>
      </c>
      <c r="M324" s="50">
        <v>0</v>
      </c>
    </row>
    <row r="325" spans="1:13" ht="15.75" customHeight="1" x14ac:dyDescent="0.2">
      <c r="A325" s="34">
        <v>17407</v>
      </c>
      <c r="B325" s="34">
        <v>324</v>
      </c>
      <c r="C325" s="34" t="s">
        <v>1175</v>
      </c>
      <c r="D325" s="34" t="s">
        <v>6796</v>
      </c>
      <c r="E325" s="34" t="s">
        <v>6797</v>
      </c>
      <c r="F325" s="34">
        <v>1</v>
      </c>
      <c r="G325" s="34" t="b">
        <v>1</v>
      </c>
      <c r="H325" s="34">
        <v>1</v>
      </c>
      <c r="I325" s="34">
        <v>1</v>
      </c>
      <c r="J325" s="34">
        <v>0</v>
      </c>
      <c r="K325" s="34">
        <v>0</v>
      </c>
      <c r="L325" s="34">
        <v>0</v>
      </c>
      <c r="M325" s="50">
        <v>0</v>
      </c>
    </row>
    <row r="326" spans="1:13" ht="15.75" customHeight="1" x14ac:dyDescent="0.2">
      <c r="A326" s="34">
        <v>17407</v>
      </c>
      <c r="B326" s="34">
        <v>325</v>
      </c>
      <c r="C326" s="34" t="s">
        <v>1177</v>
      </c>
      <c r="D326" s="34" t="s">
        <v>6798</v>
      </c>
      <c r="E326" s="34" t="s">
        <v>6799</v>
      </c>
      <c r="F326" s="34">
        <v>1</v>
      </c>
      <c r="G326" s="34" t="b">
        <v>1</v>
      </c>
      <c r="H326" s="34">
        <v>1</v>
      </c>
      <c r="I326" s="34">
        <v>1</v>
      </c>
      <c r="J326" s="34">
        <v>0</v>
      </c>
      <c r="K326" s="34">
        <v>0</v>
      </c>
      <c r="L326" s="34">
        <v>0</v>
      </c>
      <c r="M326" s="50">
        <v>0</v>
      </c>
    </row>
    <row r="327" spans="1:13" ht="15.75" customHeight="1" x14ac:dyDescent="0.2">
      <c r="A327" s="34">
        <v>17407</v>
      </c>
      <c r="B327" s="34">
        <v>326</v>
      </c>
      <c r="C327" s="34" t="s">
        <v>1178</v>
      </c>
      <c r="D327" s="34" t="s">
        <v>7028</v>
      </c>
      <c r="E327" s="34" t="s">
        <v>7029</v>
      </c>
      <c r="F327" s="34">
        <v>2</v>
      </c>
      <c r="G327" s="34" t="b">
        <v>1</v>
      </c>
      <c r="H327" s="34">
        <v>3</v>
      </c>
      <c r="I327" s="34">
        <v>3</v>
      </c>
      <c r="J327" s="34">
        <v>0</v>
      </c>
      <c r="K327" s="34">
        <v>0</v>
      </c>
      <c r="L327" s="34">
        <v>0</v>
      </c>
      <c r="M327" s="50">
        <v>0</v>
      </c>
    </row>
    <row r="328" spans="1:13" ht="15.75" customHeight="1" x14ac:dyDescent="0.2">
      <c r="A328" s="34">
        <v>17407</v>
      </c>
      <c r="B328" s="34">
        <v>327</v>
      </c>
      <c r="C328" s="34" t="s">
        <v>1179</v>
      </c>
      <c r="D328" s="34" t="s">
        <v>6802</v>
      </c>
      <c r="E328" s="34" t="s">
        <v>6803</v>
      </c>
      <c r="F328" s="34">
        <v>1</v>
      </c>
      <c r="G328" s="34" t="b">
        <v>1</v>
      </c>
      <c r="H328" s="34">
        <v>1</v>
      </c>
      <c r="I328" s="34">
        <v>1</v>
      </c>
      <c r="J328" s="34">
        <v>0</v>
      </c>
      <c r="K328" s="34">
        <v>0</v>
      </c>
      <c r="L328" s="34">
        <v>0</v>
      </c>
      <c r="M328" s="50">
        <v>0</v>
      </c>
    </row>
    <row r="329" spans="1:13" ht="15.75" customHeight="1" x14ac:dyDescent="0.2">
      <c r="A329" s="34">
        <v>17407</v>
      </c>
      <c r="B329" s="34">
        <v>328</v>
      </c>
      <c r="C329" s="34" t="s">
        <v>1180</v>
      </c>
      <c r="D329" s="34" t="s">
        <v>6804</v>
      </c>
      <c r="E329" s="34" t="s">
        <v>6805</v>
      </c>
      <c r="F329" s="34">
        <v>1</v>
      </c>
      <c r="G329" s="34" t="b">
        <v>1</v>
      </c>
      <c r="H329" s="34">
        <v>2</v>
      </c>
      <c r="I329" s="34">
        <v>2</v>
      </c>
      <c r="J329" s="34">
        <v>0</v>
      </c>
      <c r="K329" s="34">
        <v>0</v>
      </c>
      <c r="L329" s="34">
        <v>0</v>
      </c>
      <c r="M329" s="50">
        <v>1</v>
      </c>
    </row>
    <row r="330" spans="1:13" ht="15.75" customHeight="1" x14ac:dyDescent="0.2">
      <c r="A330" s="34">
        <v>17407</v>
      </c>
      <c r="B330" s="34">
        <v>329</v>
      </c>
      <c r="C330" s="34" t="s">
        <v>1181</v>
      </c>
      <c r="D330" s="34" t="s">
        <v>6806</v>
      </c>
      <c r="E330" s="34" t="s">
        <v>6807</v>
      </c>
      <c r="F330" s="34">
        <v>1</v>
      </c>
      <c r="G330" s="34" t="b">
        <v>1</v>
      </c>
      <c r="H330" s="34">
        <v>4</v>
      </c>
      <c r="I330" s="34">
        <v>3</v>
      </c>
      <c r="J330" s="34">
        <v>0</v>
      </c>
      <c r="K330" s="34">
        <v>1</v>
      </c>
      <c r="L330" s="34">
        <v>0</v>
      </c>
      <c r="M330" s="50">
        <v>0</v>
      </c>
    </row>
    <row r="331" spans="1:13" ht="15.75" customHeight="1" x14ac:dyDescent="0.2">
      <c r="A331" s="34">
        <v>17407</v>
      </c>
      <c r="B331" s="34">
        <v>330</v>
      </c>
      <c r="C331" s="34" t="s">
        <v>1182</v>
      </c>
      <c r="D331" s="34" t="s">
        <v>6808</v>
      </c>
      <c r="E331" s="34" t="s">
        <v>6809</v>
      </c>
      <c r="F331" s="34">
        <v>1</v>
      </c>
      <c r="G331" s="34" t="b">
        <v>1</v>
      </c>
      <c r="H331" s="34">
        <v>1</v>
      </c>
      <c r="I331" s="34">
        <v>1</v>
      </c>
      <c r="J331" s="34">
        <v>0</v>
      </c>
      <c r="K331" s="34">
        <v>0</v>
      </c>
      <c r="L331" s="34">
        <v>0</v>
      </c>
      <c r="M331" s="50">
        <v>0</v>
      </c>
    </row>
    <row r="332" spans="1:13" ht="15.75" customHeight="1" x14ac:dyDescent="0.2">
      <c r="A332" s="34">
        <v>17407</v>
      </c>
      <c r="B332" s="34">
        <v>331</v>
      </c>
      <c r="C332" s="34" t="s">
        <v>1183</v>
      </c>
      <c r="D332" s="34" t="s">
        <v>6810</v>
      </c>
      <c r="E332" s="34" t="s">
        <v>6811</v>
      </c>
      <c r="F332" s="34">
        <v>1</v>
      </c>
      <c r="G332" s="34" t="b">
        <v>1</v>
      </c>
      <c r="H332" s="34">
        <v>1</v>
      </c>
      <c r="I332" s="34">
        <v>1</v>
      </c>
      <c r="J332" s="34">
        <v>0</v>
      </c>
      <c r="K332" s="34">
        <v>0</v>
      </c>
      <c r="L332" s="34">
        <v>0</v>
      </c>
      <c r="M332" s="50">
        <v>0</v>
      </c>
    </row>
    <row r="333" spans="1:13" ht="15.75" customHeight="1" x14ac:dyDescent="0.2">
      <c r="A333" s="34">
        <v>17407</v>
      </c>
      <c r="B333" s="34">
        <v>332</v>
      </c>
      <c r="C333" s="34" t="s">
        <v>1184</v>
      </c>
      <c r="D333" s="34" t="s">
        <v>6812</v>
      </c>
      <c r="E333" s="34" t="s">
        <v>6813</v>
      </c>
      <c r="F333" s="34">
        <v>1</v>
      </c>
      <c r="G333" s="34" t="b">
        <v>1</v>
      </c>
      <c r="H333" s="34">
        <v>1</v>
      </c>
      <c r="I333" s="34">
        <v>1</v>
      </c>
      <c r="J333" s="34">
        <v>0</v>
      </c>
      <c r="K333" s="34">
        <v>0</v>
      </c>
      <c r="L333" s="34">
        <v>0</v>
      </c>
      <c r="M333" s="50">
        <v>0</v>
      </c>
    </row>
    <row r="334" spans="1:13" ht="15.75" customHeight="1" x14ac:dyDescent="0.2">
      <c r="A334" s="34">
        <v>17407</v>
      </c>
      <c r="B334" s="34">
        <v>333</v>
      </c>
      <c r="C334" s="34" t="s">
        <v>1185</v>
      </c>
      <c r="D334" s="34" t="s">
        <v>6814</v>
      </c>
      <c r="E334" s="34" t="s">
        <v>6815</v>
      </c>
      <c r="F334" s="34">
        <v>1</v>
      </c>
      <c r="G334" s="34" t="b">
        <v>1</v>
      </c>
      <c r="H334" s="34">
        <v>3</v>
      </c>
      <c r="I334" s="34">
        <v>3</v>
      </c>
      <c r="J334" s="34">
        <v>0</v>
      </c>
      <c r="K334" s="34">
        <v>0</v>
      </c>
      <c r="L334" s="34">
        <v>0</v>
      </c>
      <c r="M334" s="50">
        <v>0</v>
      </c>
    </row>
    <row r="335" spans="1:13" ht="15.75" customHeight="1" x14ac:dyDescent="0.2">
      <c r="A335" s="34">
        <v>17407</v>
      </c>
      <c r="B335" s="34">
        <v>334</v>
      </c>
      <c r="C335" s="34" t="s">
        <v>1186</v>
      </c>
      <c r="D335" s="34" t="s">
        <v>6816</v>
      </c>
      <c r="E335" s="34" t="s">
        <v>6817</v>
      </c>
      <c r="F335" s="34">
        <v>1</v>
      </c>
      <c r="G335" s="34" t="b">
        <v>1</v>
      </c>
      <c r="H335" s="34">
        <v>1</v>
      </c>
      <c r="I335" s="34">
        <v>1</v>
      </c>
      <c r="J335" s="34">
        <v>0</v>
      </c>
      <c r="K335" s="34">
        <v>0</v>
      </c>
      <c r="L335" s="34">
        <v>0</v>
      </c>
      <c r="M335" s="50">
        <v>0</v>
      </c>
    </row>
    <row r="336" spans="1:13" ht="15.75" customHeight="1" x14ac:dyDescent="0.2">
      <c r="A336" s="34">
        <v>17408</v>
      </c>
      <c r="B336" s="34">
        <v>335</v>
      </c>
      <c r="C336" s="34" t="s">
        <v>1187</v>
      </c>
      <c r="D336" s="34" t="s">
        <v>6818</v>
      </c>
      <c r="E336" s="34" t="s">
        <v>7030</v>
      </c>
      <c r="F336" s="34">
        <v>5</v>
      </c>
      <c r="G336" s="34" t="b">
        <v>0</v>
      </c>
      <c r="H336" s="34">
        <v>2</v>
      </c>
      <c r="I336" s="34">
        <v>2</v>
      </c>
      <c r="J336" s="34">
        <v>0</v>
      </c>
      <c r="K336" s="34">
        <v>0</v>
      </c>
      <c r="L336" s="34">
        <v>0</v>
      </c>
      <c r="M336" s="50">
        <v>0</v>
      </c>
    </row>
    <row r="337" spans="1:13" ht="15.75" customHeight="1" x14ac:dyDescent="0.2">
      <c r="A337" s="34">
        <v>17408</v>
      </c>
      <c r="B337" s="34">
        <v>336</v>
      </c>
      <c r="C337" s="34" t="s">
        <v>1189</v>
      </c>
      <c r="D337" s="34" t="s">
        <v>6820</v>
      </c>
      <c r="E337" s="34" t="s">
        <v>7031</v>
      </c>
      <c r="F337" s="34">
        <v>5</v>
      </c>
      <c r="G337" s="34" t="b">
        <v>0</v>
      </c>
      <c r="H337" s="34">
        <v>2</v>
      </c>
      <c r="I337" s="34">
        <v>2</v>
      </c>
      <c r="J337" s="34">
        <v>0</v>
      </c>
      <c r="K337" s="34">
        <v>0</v>
      </c>
      <c r="L337" s="34">
        <v>0</v>
      </c>
      <c r="M337" s="50">
        <v>0</v>
      </c>
    </row>
    <row r="338" spans="1:13" ht="15.75" customHeight="1" x14ac:dyDescent="0.2">
      <c r="A338" s="34">
        <v>17408</v>
      </c>
      <c r="B338" s="34">
        <v>337</v>
      </c>
      <c r="C338" s="34" t="s">
        <v>1190</v>
      </c>
      <c r="D338" s="34" t="s">
        <v>7032</v>
      </c>
      <c r="E338" s="34" t="s">
        <v>7033</v>
      </c>
      <c r="F338" s="34">
        <v>5</v>
      </c>
      <c r="G338" s="34" t="b">
        <v>0</v>
      </c>
      <c r="H338" s="34">
        <v>5</v>
      </c>
      <c r="I338" s="34">
        <v>3</v>
      </c>
      <c r="J338" s="34">
        <v>1</v>
      </c>
      <c r="K338" s="34">
        <v>0</v>
      </c>
      <c r="L338" s="34">
        <v>1</v>
      </c>
      <c r="M338" s="50">
        <v>0</v>
      </c>
    </row>
    <row r="339" spans="1:13" ht="15.75" customHeight="1" x14ac:dyDescent="0.2">
      <c r="A339" s="34">
        <v>17409</v>
      </c>
      <c r="B339" s="34">
        <v>338</v>
      </c>
      <c r="C339" s="34" t="s">
        <v>1191</v>
      </c>
      <c r="D339" s="34" t="s">
        <v>7034</v>
      </c>
      <c r="E339" s="34" t="s">
        <v>7035</v>
      </c>
      <c r="F339" s="34">
        <v>5</v>
      </c>
      <c r="G339" s="34" t="b">
        <v>0</v>
      </c>
      <c r="H339" s="34">
        <v>2</v>
      </c>
      <c r="I339" s="34">
        <v>0</v>
      </c>
      <c r="J339" s="34">
        <v>1</v>
      </c>
      <c r="K339" s="34">
        <v>1</v>
      </c>
      <c r="L339" s="34">
        <v>0</v>
      </c>
      <c r="M339" s="50">
        <v>1</v>
      </c>
    </row>
    <row r="340" spans="1:13" ht="15.75" customHeight="1" x14ac:dyDescent="0.2">
      <c r="A340" s="34">
        <v>17409</v>
      </c>
      <c r="B340" s="34">
        <v>339</v>
      </c>
      <c r="C340" s="34" t="s">
        <v>1193</v>
      </c>
      <c r="D340" s="34" t="s">
        <v>7036</v>
      </c>
      <c r="E340" s="34" t="s">
        <v>7037</v>
      </c>
      <c r="F340" s="34">
        <v>5</v>
      </c>
      <c r="G340" s="34" t="b">
        <v>0</v>
      </c>
      <c r="H340" s="34">
        <v>3</v>
      </c>
      <c r="I340" s="34">
        <v>1</v>
      </c>
      <c r="J340" s="34">
        <v>1</v>
      </c>
      <c r="K340" s="34">
        <v>1</v>
      </c>
      <c r="L340" s="34">
        <v>0</v>
      </c>
      <c r="M340" s="50">
        <v>1</v>
      </c>
    </row>
    <row r="341" spans="1:13" ht="15.75" customHeight="1" x14ac:dyDescent="0.2">
      <c r="A341" s="34">
        <v>17409</v>
      </c>
      <c r="B341" s="34">
        <v>340</v>
      </c>
      <c r="C341" s="34" t="s">
        <v>1196</v>
      </c>
      <c r="D341" s="34" t="s">
        <v>6828</v>
      </c>
      <c r="E341" s="34" t="s">
        <v>7038</v>
      </c>
      <c r="F341" s="34">
        <v>5</v>
      </c>
      <c r="G341" s="34" t="b">
        <v>0</v>
      </c>
      <c r="H341" s="34">
        <v>3</v>
      </c>
      <c r="I341" s="34">
        <v>1</v>
      </c>
      <c r="J341" s="34">
        <v>1</v>
      </c>
      <c r="K341" s="34">
        <v>1</v>
      </c>
      <c r="L341" s="34">
        <v>0</v>
      </c>
      <c r="M341" s="50">
        <v>1</v>
      </c>
    </row>
    <row r="342" spans="1:13" ht="15.75" customHeight="1" x14ac:dyDescent="0.2">
      <c r="A342" s="34">
        <v>17410</v>
      </c>
      <c r="B342" s="34">
        <v>341</v>
      </c>
      <c r="C342" s="34" t="s">
        <v>1197</v>
      </c>
      <c r="D342" s="34" t="s">
        <v>7039</v>
      </c>
      <c r="E342" s="34" t="s">
        <v>7040</v>
      </c>
      <c r="F342" s="34">
        <v>5</v>
      </c>
      <c r="G342" s="34" t="b">
        <v>0</v>
      </c>
      <c r="H342" s="34">
        <v>4</v>
      </c>
      <c r="I342" s="34">
        <v>3</v>
      </c>
      <c r="J342" s="34">
        <v>0</v>
      </c>
      <c r="K342" s="34">
        <v>1</v>
      </c>
      <c r="L342" s="34">
        <v>0</v>
      </c>
      <c r="M342" s="50">
        <v>1</v>
      </c>
    </row>
    <row r="343" spans="1:13" ht="15.75" customHeight="1" x14ac:dyDescent="0.2">
      <c r="A343" s="34">
        <v>17412</v>
      </c>
      <c r="B343" s="34">
        <v>342</v>
      </c>
      <c r="C343" s="34" t="s">
        <v>1199</v>
      </c>
      <c r="D343" s="34" t="s">
        <v>6832</v>
      </c>
      <c r="E343" s="34" t="s">
        <v>6833</v>
      </c>
      <c r="F343" s="34">
        <v>1</v>
      </c>
      <c r="G343" s="34" t="b">
        <v>1</v>
      </c>
      <c r="H343" s="34">
        <v>1</v>
      </c>
      <c r="I343" s="34">
        <v>0</v>
      </c>
      <c r="J343" s="34">
        <v>0</v>
      </c>
      <c r="K343" s="34">
        <v>0</v>
      </c>
      <c r="L343" s="34">
        <v>1</v>
      </c>
      <c r="M343" s="50">
        <v>1</v>
      </c>
    </row>
    <row r="344" spans="1:13" ht="15.75" customHeight="1" x14ac:dyDescent="0.2">
      <c r="A344" s="34">
        <v>17415</v>
      </c>
      <c r="B344" s="34">
        <v>343</v>
      </c>
      <c r="C344" s="34" t="s">
        <v>1201</v>
      </c>
      <c r="D344" s="34" t="s">
        <v>5834</v>
      </c>
      <c r="E344" s="34" t="s">
        <v>6834</v>
      </c>
      <c r="F344" s="34">
        <v>1</v>
      </c>
      <c r="G344" s="34" t="b">
        <v>1</v>
      </c>
      <c r="H344" s="34">
        <v>1</v>
      </c>
      <c r="I344" s="34">
        <v>1</v>
      </c>
      <c r="J344" s="34">
        <v>0</v>
      </c>
      <c r="K344" s="34">
        <v>0</v>
      </c>
      <c r="L344" s="34">
        <v>0</v>
      </c>
      <c r="M344" s="50">
        <v>0</v>
      </c>
    </row>
    <row r="345" spans="1:13" ht="15.75" customHeight="1" x14ac:dyDescent="0.2">
      <c r="A345" s="34">
        <v>17416</v>
      </c>
      <c r="B345" s="34">
        <v>344</v>
      </c>
      <c r="C345" s="34" t="s">
        <v>1203</v>
      </c>
      <c r="D345" s="34" t="s">
        <v>6835</v>
      </c>
      <c r="E345" s="34" t="s">
        <v>6836</v>
      </c>
      <c r="F345" s="34">
        <v>1</v>
      </c>
      <c r="G345" s="34" t="b">
        <v>1</v>
      </c>
      <c r="H345" s="34">
        <v>1</v>
      </c>
      <c r="I345" s="34">
        <v>0</v>
      </c>
      <c r="J345" s="34">
        <v>0</v>
      </c>
      <c r="K345" s="34">
        <v>0</v>
      </c>
      <c r="L345" s="34">
        <v>1</v>
      </c>
      <c r="M345" s="50">
        <v>1</v>
      </c>
    </row>
    <row r="346" spans="1:13" ht="15.75" customHeight="1" x14ac:dyDescent="0.2">
      <c r="A346" s="34">
        <v>17417</v>
      </c>
      <c r="B346" s="34">
        <v>345</v>
      </c>
      <c r="C346" s="34" t="s">
        <v>1205</v>
      </c>
      <c r="D346" s="34" t="s">
        <v>7041</v>
      </c>
      <c r="E346" s="34" t="s">
        <v>7042</v>
      </c>
      <c r="F346" s="34">
        <v>2</v>
      </c>
      <c r="G346" s="34" t="b">
        <v>1</v>
      </c>
      <c r="H346" s="34">
        <v>6</v>
      </c>
      <c r="I346" s="34">
        <v>0</v>
      </c>
      <c r="J346" s="34">
        <v>0</v>
      </c>
      <c r="K346" s="34">
        <v>1</v>
      </c>
      <c r="L346" s="34">
        <v>5</v>
      </c>
      <c r="M346" s="50">
        <v>1</v>
      </c>
    </row>
    <row r="347" spans="1:13" ht="15.75" customHeight="1" x14ac:dyDescent="0.2">
      <c r="A347" s="34">
        <v>17417</v>
      </c>
      <c r="B347" s="34">
        <v>346</v>
      </c>
      <c r="C347" s="34" t="s">
        <v>1208</v>
      </c>
      <c r="D347" s="34" t="s">
        <v>7043</v>
      </c>
      <c r="E347" s="34" t="s">
        <v>7044</v>
      </c>
      <c r="F347" s="34">
        <v>4</v>
      </c>
      <c r="G347" s="34" t="b">
        <v>1</v>
      </c>
      <c r="H347" s="34">
        <v>3</v>
      </c>
      <c r="I347" s="34"/>
      <c r="J347" s="34">
        <v>1</v>
      </c>
      <c r="K347" s="34">
        <v>1</v>
      </c>
      <c r="L347" s="34">
        <v>1</v>
      </c>
      <c r="M347" s="50">
        <v>2</v>
      </c>
    </row>
    <row r="348" spans="1:13" ht="15.75" customHeight="1" x14ac:dyDescent="0.2">
      <c r="A348" s="34">
        <v>17418</v>
      </c>
      <c r="B348" s="34">
        <v>347</v>
      </c>
      <c r="C348" s="34" t="s">
        <v>1210</v>
      </c>
      <c r="D348" s="34" t="s">
        <v>6841</v>
      </c>
      <c r="E348" s="34" t="s">
        <v>6842</v>
      </c>
      <c r="F348" s="34">
        <v>1</v>
      </c>
      <c r="G348" s="34" t="b">
        <v>1</v>
      </c>
      <c r="H348" s="34">
        <v>1</v>
      </c>
      <c r="I348" s="34">
        <v>1</v>
      </c>
      <c r="J348" s="34">
        <v>0</v>
      </c>
      <c r="K348" s="34">
        <v>0</v>
      </c>
      <c r="L348" s="34">
        <v>0</v>
      </c>
      <c r="M348" s="50">
        <v>0</v>
      </c>
    </row>
    <row r="349" spans="1:13" ht="15.75" customHeight="1" x14ac:dyDescent="0.2">
      <c r="A349" s="34">
        <v>17418</v>
      </c>
      <c r="B349" s="34">
        <v>348</v>
      </c>
      <c r="C349" s="34" t="s">
        <v>1212</v>
      </c>
      <c r="D349" s="34" t="s">
        <v>6843</v>
      </c>
      <c r="E349" s="34" t="s">
        <v>6844</v>
      </c>
      <c r="F349" s="34">
        <v>1</v>
      </c>
      <c r="G349" s="34" t="b">
        <v>1</v>
      </c>
      <c r="H349" s="34">
        <v>1</v>
      </c>
      <c r="I349" s="34">
        <v>1</v>
      </c>
      <c r="J349" s="34">
        <v>0</v>
      </c>
      <c r="K349" s="34">
        <v>0</v>
      </c>
      <c r="L349" s="34">
        <v>0</v>
      </c>
      <c r="M349" s="50">
        <v>0</v>
      </c>
    </row>
    <row r="350" spans="1:13" ht="15.75" customHeight="1" x14ac:dyDescent="0.2">
      <c r="A350" s="34">
        <v>17418</v>
      </c>
      <c r="B350" s="34">
        <v>349</v>
      </c>
      <c r="C350" s="34" t="s">
        <v>1213</v>
      </c>
      <c r="D350" s="34" t="s">
        <v>5906</v>
      </c>
      <c r="E350" s="34" t="s">
        <v>6845</v>
      </c>
      <c r="F350" s="34">
        <v>1</v>
      </c>
      <c r="G350" s="34" t="b">
        <v>1</v>
      </c>
      <c r="H350" s="34">
        <v>1</v>
      </c>
      <c r="I350" s="34">
        <v>1</v>
      </c>
      <c r="J350" s="34">
        <v>0</v>
      </c>
      <c r="K350" s="34">
        <v>0</v>
      </c>
      <c r="L350" s="34">
        <v>0</v>
      </c>
      <c r="M350" s="50">
        <v>0</v>
      </c>
    </row>
    <row r="351" spans="1:13" ht="15.75" customHeight="1" x14ac:dyDescent="0.2">
      <c r="A351" s="34">
        <v>17418</v>
      </c>
      <c r="B351" s="34">
        <v>350</v>
      </c>
      <c r="C351" s="34" t="s">
        <v>1214</v>
      </c>
      <c r="D351" s="34" t="s">
        <v>6841</v>
      </c>
      <c r="E351" s="34" t="s">
        <v>6846</v>
      </c>
      <c r="F351" s="34">
        <v>1</v>
      </c>
      <c r="G351" s="34" t="b">
        <v>1</v>
      </c>
      <c r="H351" s="34">
        <v>1</v>
      </c>
      <c r="I351" s="34">
        <v>1</v>
      </c>
      <c r="J351" s="34">
        <v>0</v>
      </c>
      <c r="K351" s="34">
        <v>0</v>
      </c>
      <c r="L351" s="34">
        <v>0</v>
      </c>
      <c r="M351" s="50">
        <v>0</v>
      </c>
    </row>
    <row r="352" spans="1:13" ht="15.75" customHeight="1" x14ac:dyDescent="0.2">
      <c r="A352" s="34">
        <v>17418</v>
      </c>
      <c r="B352" s="34">
        <v>351</v>
      </c>
      <c r="C352" s="34" t="s">
        <v>1215</v>
      </c>
      <c r="D352" s="34" t="s">
        <v>6847</v>
      </c>
      <c r="E352" s="34" t="s">
        <v>6848</v>
      </c>
      <c r="F352" s="34">
        <v>1</v>
      </c>
      <c r="G352" s="34" t="b">
        <v>1</v>
      </c>
      <c r="H352" s="34">
        <v>1</v>
      </c>
      <c r="I352" s="34">
        <v>1</v>
      </c>
      <c r="J352" s="34">
        <v>0</v>
      </c>
      <c r="K352" s="34">
        <v>0</v>
      </c>
      <c r="L352" s="34">
        <v>0</v>
      </c>
      <c r="M352" s="50">
        <v>0</v>
      </c>
    </row>
    <row r="353" spans="1:13" ht="15.75" customHeight="1" x14ac:dyDescent="0.2">
      <c r="A353" s="34">
        <v>17418</v>
      </c>
      <c r="B353" s="34">
        <v>352</v>
      </c>
      <c r="C353" s="34" t="s">
        <v>1216</v>
      </c>
      <c r="D353" s="34" t="s">
        <v>5880</v>
      </c>
      <c r="E353" s="34" t="s">
        <v>6849</v>
      </c>
      <c r="F353" s="34">
        <v>1</v>
      </c>
      <c r="G353" s="34" t="b">
        <v>1</v>
      </c>
      <c r="H353" s="34">
        <v>1</v>
      </c>
      <c r="I353" s="34">
        <v>1</v>
      </c>
      <c r="J353" s="34">
        <v>0</v>
      </c>
      <c r="K353" s="34">
        <v>0</v>
      </c>
      <c r="L353" s="34">
        <v>0</v>
      </c>
      <c r="M353" s="50">
        <v>0</v>
      </c>
    </row>
    <row r="354" spans="1:13" ht="15.75" customHeight="1" x14ac:dyDescent="0.2">
      <c r="A354" s="34">
        <v>17418</v>
      </c>
      <c r="B354" s="34">
        <v>353</v>
      </c>
      <c r="C354" s="34" t="s">
        <v>1217</v>
      </c>
      <c r="D354" s="34" t="s">
        <v>6850</v>
      </c>
      <c r="E354" s="34" t="s">
        <v>6851</v>
      </c>
      <c r="F354" s="34">
        <v>1</v>
      </c>
      <c r="G354" s="34" t="b">
        <v>1</v>
      </c>
      <c r="H354" s="34">
        <v>1</v>
      </c>
      <c r="I354" s="34">
        <v>1</v>
      </c>
      <c r="J354" s="34">
        <v>0</v>
      </c>
      <c r="K354" s="34">
        <v>0</v>
      </c>
      <c r="L354" s="34">
        <v>0</v>
      </c>
      <c r="M354" s="50">
        <v>0</v>
      </c>
    </row>
    <row r="355" spans="1:13" ht="15.75" customHeight="1" x14ac:dyDescent="0.2">
      <c r="A355" s="34">
        <v>17420</v>
      </c>
      <c r="B355" s="34">
        <v>354</v>
      </c>
      <c r="C355" s="34" t="s">
        <v>1218</v>
      </c>
      <c r="D355" s="34" t="s">
        <v>6852</v>
      </c>
      <c r="E355" s="34" t="s">
        <v>6853</v>
      </c>
      <c r="F355" s="34">
        <v>1</v>
      </c>
      <c r="G355" s="34" t="b">
        <v>1</v>
      </c>
      <c r="H355" s="34">
        <v>3</v>
      </c>
      <c r="I355" s="34">
        <v>3</v>
      </c>
      <c r="J355" s="34">
        <v>0</v>
      </c>
      <c r="K355" s="34">
        <v>0</v>
      </c>
      <c r="L355" s="34">
        <v>0</v>
      </c>
      <c r="M355" s="50">
        <v>0</v>
      </c>
    </row>
    <row r="356" spans="1:13" ht="15.75" customHeight="1" x14ac:dyDescent="0.2">
      <c r="A356" s="34">
        <v>17420</v>
      </c>
      <c r="B356" s="34">
        <v>355</v>
      </c>
      <c r="C356" s="34" t="s">
        <v>1220</v>
      </c>
      <c r="D356" s="34" t="s">
        <v>6854</v>
      </c>
      <c r="E356" s="34" t="s">
        <v>6855</v>
      </c>
      <c r="F356" s="34">
        <v>1</v>
      </c>
      <c r="G356" s="34" t="b">
        <v>1</v>
      </c>
      <c r="H356" s="34">
        <v>2</v>
      </c>
      <c r="I356" s="34">
        <v>2</v>
      </c>
      <c r="J356" s="34">
        <v>0</v>
      </c>
      <c r="K356" s="34">
        <v>0</v>
      </c>
      <c r="L356" s="34">
        <v>0</v>
      </c>
      <c r="M356" s="50">
        <v>0</v>
      </c>
    </row>
    <row r="357" spans="1:13" ht="15.75" customHeight="1" x14ac:dyDescent="0.2">
      <c r="A357" s="34">
        <v>17420</v>
      </c>
      <c r="B357" s="34">
        <v>356</v>
      </c>
      <c r="C357" s="34" t="s">
        <v>1221</v>
      </c>
      <c r="D357" s="34" t="s">
        <v>6856</v>
      </c>
      <c r="E357" s="34" t="s">
        <v>6857</v>
      </c>
      <c r="F357" s="34">
        <v>1</v>
      </c>
      <c r="G357" s="34" t="b">
        <v>1</v>
      </c>
      <c r="H357" s="34">
        <v>2</v>
      </c>
      <c r="I357" s="34">
        <v>2</v>
      </c>
      <c r="J357" s="34">
        <v>0</v>
      </c>
      <c r="K357" s="34">
        <v>0</v>
      </c>
      <c r="L357" s="34">
        <v>0</v>
      </c>
      <c r="M357" s="50">
        <v>1</v>
      </c>
    </row>
    <row r="358" spans="1:13" ht="15.75" customHeight="1" x14ac:dyDescent="0.2">
      <c r="A358" s="34">
        <v>17420</v>
      </c>
      <c r="B358" s="34">
        <v>357</v>
      </c>
      <c r="C358" s="34" t="s">
        <v>1222</v>
      </c>
      <c r="D358" s="34" t="s">
        <v>6858</v>
      </c>
      <c r="E358" s="34" t="s">
        <v>6859</v>
      </c>
      <c r="F358" s="34">
        <v>1</v>
      </c>
      <c r="G358" s="34" t="b">
        <v>1</v>
      </c>
      <c r="H358" s="34">
        <v>5</v>
      </c>
      <c r="I358" s="34">
        <v>5</v>
      </c>
      <c r="J358" s="34">
        <v>0</v>
      </c>
      <c r="K358" s="34">
        <v>0</v>
      </c>
      <c r="L358" s="34">
        <v>0</v>
      </c>
      <c r="M358" s="50">
        <v>0</v>
      </c>
    </row>
    <row r="359" spans="1:13" ht="15.75" customHeight="1" x14ac:dyDescent="0.2">
      <c r="A359" s="34">
        <v>17420</v>
      </c>
      <c r="B359" s="34">
        <v>358</v>
      </c>
      <c r="C359" s="34" t="s">
        <v>1223</v>
      </c>
      <c r="D359" s="34" t="s">
        <v>6860</v>
      </c>
      <c r="E359" s="34" t="s">
        <v>6861</v>
      </c>
      <c r="F359" s="34">
        <v>1</v>
      </c>
      <c r="G359" s="34" t="b">
        <v>1</v>
      </c>
      <c r="H359" s="34">
        <v>2</v>
      </c>
      <c r="I359" s="34">
        <v>2</v>
      </c>
      <c r="J359" s="34">
        <v>0</v>
      </c>
      <c r="K359" s="34">
        <v>0</v>
      </c>
      <c r="L359" s="34">
        <v>0</v>
      </c>
      <c r="M359" s="50">
        <v>0</v>
      </c>
    </row>
    <row r="360" spans="1:13" ht="15.75" customHeight="1" x14ac:dyDescent="0.2">
      <c r="A360" s="34">
        <v>17420</v>
      </c>
      <c r="B360" s="34">
        <v>359</v>
      </c>
      <c r="C360" s="34" t="s">
        <v>1224</v>
      </c>
      <c r="D360" s="34" t="s">
        <v>6862</v>
      </c>
      <c r="E360" s="34" t="s">
        <v>6863</v>
      </c>
      <c r="F360" s="34">
        <v>1</v>
      </c>
      <c r="G360" s="34" t="b">
        <v>1</v>
      </c>
      <c r="H360" s="34">
        <v>5</v>
      </c>
      <c r="I360" s="34">
        <v>4</v>
      </c>
      <c r="J360" s="34">
        <v>0</v>
      </c>
      <c r="K360" s="34">
        <v>1</v>
      </c>
      <c r="L360" s="34">
        <v>0</v>
      </c>
      <c r="M360" s="50">
        <v>1</v>
      </c>
    </row>
    <row r="361" spans="1:13" ht="15.75" customHeight="1" x14ac:dyDescent="0.2">
      <c r="A361" s="34">
        <v>17420</v>
      </c>
      <c r="B361" s="34">
        <v>360</v>
      </c>
      <c r="C361" s="34" t="s">
        <v>1225</v>
      </c>
      <c r="D361" s="34" t="s">
        <v>6864</v>
      </c>
      <c r="E361" s="34" t="s">
        <v>6865</v>
      </c>
      <c r="F361" s="34">
        <v>1</v>
      </c>
      <c r="G361" s="34" t="b">
        <v>1</v>
      </c>
      <c r="H361" s="34">
        <v>2</v>
      </c>
      <c r="I361" s="34">
        <v>1</v>
      </c>
      <c r="J361" s="34">
        <v>0</v>
      </c>
      <c r="K361" s="34">
        <v>1</v>
      </c>
      <c r="L361" s="34">
        <v>0</v>
      </c>
      <c r="M361" s="50">
        <v>0</v>
      </c>
    </row>
    <row r="362" spans="1:13" ht="15.75" customHeight="1" x14ac:dyDescent="0.2">
      <c r="A362" s="34">
        <v>17421</v>
      </c>
      <c r="B362" s="34">
        <v>361</v>
      </c>
      <c r="C362" s="34" t="s">
        <v>1226</v>
      </c>
      <c r="D362" s="34" t="s">
        <v>7045</v>
      </c>
      <c r="E362" s="34" t="s">
        <v>7046</v>
      </c>
      <c r="F362" s="34">
        <v>4</v>
      </c>
      <c r="G362" s="34" t="b">
        <v>1</v>
      </c>
      <c r="H362" s="34">
        <v>5</v>
      </c>
      <c r="I362" s="34">
        <v>1</v>
      </c>
      <c r="J362" s="34">
        <v>2</v>
      </c>
      <c r="K362" s="34">
        <v>2</v>
      </c>
      <c r="L362" s="34">
        <v>0</v>
      </c>
      <c r="M362" s="50">
        <v>1</v>
      </c>
    </row>
    <row r="363" spans="1:13" ht="15.75" customHeight="1" x14ac:dyDescent="0.2">
      <c r="A363" s="34">
        <v>17421</v>
      </c>
      <c r="B363" s="34">
        <v>362</v>
      </c>
      <c r="C363" s="34" t="s">
        <v>1228</v>
      </c>
      <c r="D363" s="34" t="s">
        <v>7047</v>
      </c>
      <c r="E363" s="34" t="s">
        <v>7048</v>
      </c>
      <c r="F363" s="34">
        <v>2</v>
      </c>
      <c r="G363" s="34" t="b">
        <v>1</v>
      </c>
      <c r="H363" s="34">
        <v>3</v>
      </c>
      <c r="I363" s="34">
        <v>1</v>
      </c>
      <c r="J363" s="34">
        <v>2</v>
      </c>
      <c r="K363" s="34">
        <v>0</v>
      </c>
      <c r="L363" s="34">
        <v>0</v>
      </c>
      <c r="M363" s="50">
        <v>0</v>
      </c>
    </row>
    <row r="364" spans="1:13" ht="15.75" customHeight="1" x14ac:dyDescent="0.2">
      <c r="A364" s="34">
        <v>17421</v>
      </c>
      <c r="B364" s="34">
        <v>363</v>
      </c>
      <c r="C364" s="34" t="s">
        <v>1231</v>
      </c>
      <c r="D364" s="34" t="s">
        <v>6870</v>
      </c>
      <c r="E364" s="34" t="s">
        <v>6871</v>
      </c>
      <c r="F364" s="34">
        <v>1</v>
      </c>
      <c r="G364" s="34" t="b">
        <v>1</v>
      </c>
      <c r="H364" s="34">
        <v>2</v>
      </c>
      <c r="I364" s="34">
        <v>2</v>
      </c>
      <c r="J364" s="34"/>
      <c r="K364" s="34">
        <v>0</v>
      </c>
      <c r="L364" s="34">
        <v>0</v>
      </c>
      <c r="M364" s="50">
        <v>1</v>
      </c>
    </row>
    <row r="365" spans="1:13" ht="15.75" customHeight="1" x14ac:dyDescent="0.2">
      <c r="A365" s="34">
        <v>17421</v>
      </c>
      <c r="B365" s="34">
        <v>364</v>
      </c>
      <c r="C365" s="34" t="s">
        <v>1234</v>
      </c>
      <c r="D365" s="34" t="s">
        <v>6872</v>
      </c>
      <c r="E365" s="34" t="s">
        <v>6873</v>
      </c>
      <c r="F365" s="34">
        <v>1</v>
      </c>
      <c r="G365" s="34" t="b">
        <v>1</v>
      </c>
      <c r="H365" s="34">
        <v>2</v>
      </c>
      <c r="I365" s="34">
        <v>2</v>
      </c>
      <c r="J365" s="34">
        <v>0</v>
      </c>
      <c r="K365" s="34">
        <v>0</v>
      </c>
      <c r="L365" s="34">
        <v>0</v>
      </c>
      <c r="M365" s="50">
        <v>0</v>
      </c>
    </row>
    <row r="366" spans="1:13" ht="15.75" customHeight="1" x14ac:dyDescent="0.2">
      <c r="A366" s="34">
        <v>17422</v>
      </c>
      <c r="B366" s="34">
        <v>365</v>
      </c>
      <c r="C366" s="34" t="s">
        <v>1235</v>
      </c>
      <c r="D366" s="34" t="s">
        <v>6874</v>
      </c>
      <c r="E366" s="34" t="s">
        <v>6875</v>
      </c>
      <c r="F366" s="34">
        <v>1</v>
      </c>
      <c r="G366" s="34" t="b">
        <v>1</v>
      </c>
      <c r="H366" s="34">
        <v>2</v>
      </c>
      <c r="I366" s="34">
        <v>1</v>
      </c>
      <c r="J366" s="34">
        <v>1</v>
      </c>
      <c r="K366" s="34">
        <v>0</v>
      </c>
      <c r="L366" s="34">
        <v>0</v>
      </c>
      <c r="M366" s="50">
        <v>0</v>
      </c>
    </row>
    <row r="367" spans="1:13" ht="15.75" customHeight="1" x14ac:dyDescent="0.2">
      <c r="A367" s="34">
        <v>17422</v>
      </c>
      <c r="B367" s="34">
        <v>366</v>
      </c>
      <c r="C367" s="34" t="s">
        <v>1237</v>
      </c>
      <c r="D367" s="34" t="s">
        <v>6876</v>
      </c>
      <c r="E367" s="34" t="s">
        <v>6877</v>
      </c>
      <c r="F367" s="34">
        <v>1</v>
      </c>
      <c r="G367" s="34" t="b">
        <v>1</v>
      </c>
      <c r="H367" s="34">
        <v>1</v>
      </c>
      <c r="I367" s="34">
        <v>1</v>
      </c>
      <c r="J367" s="34">
        <v>0</v>
      </c>
      <c r="K367" s="34">
        <v>0</v>
      </c>
      <c r="L367" s="34">
        <v>0</v>
      </c>
      <c r="M367" s="50">
        <v>0</v>
      </c>
    </row>
    <row r="368" spans="1:13" ht="15.75" customHeight="1" x14ac:dyDescent="0.2">
      <c r="C368" s="34"/>
      <c r="D368" s="34"/>
      <c r="E368" s="34"/>
      <c r="F368" s="34"/>
    </row>
    <row r="369" spans="3:6" ht="15.75" customHeight="1" x14ac:dyDescent="0.2">
      <c r="C369" s="34"/>
      <c r="D369" s="34"/>
      <c r="E369" s="34"/>
      <c r="F369" s="34"/>
    </row>
    <row r="370" spans="3:6" ht="15.75" customHeight="1" x14ac:dyDescent="0.2">
      <c r="C370" s="34"/>
      <c r="D370" s="34"/>
      <c r="E370" s="34"/>
      <c r="F370" s="34"/>
    </row>
    <row r="371" spans="3:6" ht="15.75" customHeight="1" x14ac:dyDescent="0.2">
      <c r="C371" s="34"/>
      <c r="D371" s="34"/>
      <c r="E371" s="34"/>
      <c r="F371" s="34"/>
    </row>
    <row r="372" spans="3:6" ht="15.75" customHeight="1" x14ac:dyDescent="0.2">
      <c r="C372" s="34"/>
      <c r="D372" s="34"/>
      <c r="E372" s="34"/>
      <c r="F372" s="34"/>
    </row>
    <row r="373" spans="3:6" ht="15.75" customHeight="1" x14ac:dyDescent="0.2">
      <c r="C373" s="34"/>
      <c r="D373" s="34"/>
      <c r="E373" s="34"/>
      <c r="F373" s="34"/>
    </row>
    <row r="374" spans="3:6" ht="15.75" customHeight="1" x14ac:dyDescent="0.2">
      <c r="C374" s="34"/>
      <c r="D374" s="34"/>
      <c r="E374" s="34"/>
      <c r="F374" s="34"/>
    </row>
    <row r="375" spans="3:6" ht="15.75" customHeight="1" x14ac:dyDescent="0.2">
      <c r="C375" s="34"/>
      <c r="D375" s="34"/>
      <c r="E375" s="34"/>
      <c r="F375" s="34"/>
    </row>
    <row r="376" spans="3:6" ht="15.75" customHeight="1" x14ac:dyDescent="0.2">
      <c r="C376" s="34"/>
      <c r="D376" s="34"/>
      <c r="E376" s="34"/>
      <c r="F376" s="34"/>
    </row>
    <row r="377" spans="3:6" ht="15.75" customHeight="1" x14ac:dyDescent="0.2">
      <c r="C377" s="34"/>
      <c r="D377" s="34"/>
      <c r="E377" s="34"/>
      <c r="F377" s="34"/>
    </row>
    <row r="378" spans="3:6" ht="15.75" customHeight="1" x14ac:dyDescent="0.2">
      <c r="C378" s="34"/>
      <c r="D378" s="34"/>
      <c r="E378" s="34"/>
      <c r="F378" s="34"/>
    </row>
    <row r="379" spans="3:6" ht="15.75" customHeight="1" x14ac:dyDescent="0.2">
      <c r="C379" s="34"/>
      <c r="D379" s="34"/>
      <c r="E379" s="34"/>
      <c r="F379" s="34"/>
    </row>
    <row r="380" spans="3:6" ht="15.75" customHeight="1" x14ac:dyDescent="0.2">
      <c r="C380" s="34"/>
      <c r="D380" s="34"/>
      <c r="E380" s="34"/>
      <c r="F380" s="34"/>
    </row>
    <row r="381" spans="3:6" ht="15.75" customHeight="1" x14ac:dyDescent="0.2">
      <c r="C381" s="34"/>
      <c r="D381" s="34"/>
      <c r="E381" s="34"/>
      <c r="F381" s="34"/>
    </row>
    <row r="382" spans="3:6" ht="15.75" customHeight="1" x14ac:dyDescent="0.2">
      <c r="C382" s="34"/>
      <c r="D382" s="34"/>
      <c r="E382" s="34"/>
      <c r="F382" s="34"/>
    </row>
    <row r="383" spans="3:6" ht="15.75" customHeight="1" x14ac:dyDescent="0.2">
      <c r="C383" s="34"/>
      <c r="D383" s="34"/>
      <c r="E383" s="34"/>
      <c r="F383" s="34"/>
    </row>
    <row r="384" spans="3:6" ht="15.75" customHeight="1" x14ac:dyDescent="0.2">
      <c r="C384" s="34"/>
      <c r="D384" s="34"/>
      <c r="E384" s="34"/>
      <c r="F384" s="34"/>
    </row>
    <row r="385" spans="3:6" ht="15.75" customHeight="1" x14ac:dyDescent="0.2">
      <c r="C385" s="34"/>
      <c r="D385" s="34"/>
      <c r="E385" s="34"/>
      <c r="F385" s="34"/>
    </row>
    <row r="386" spans="3:6" ht="15.75" customHeight="1" x14ac:dyDescent="0.2">
      <c r="C386" s="34"/>
      <c r="D386" s="34"/>
      <c r="E386" s="34"/>
      <c r="F386" s="34"/>
    </row>
    <row r="387" spans="3:6" ht="15.75" customHeight="1" x14ac:dyDescent="0.2">
      <c r="C387" s="34"/>
      <c r="D387" s="34"/>
      <c r="E387" s="34"/>
      <c r="F387" s="34"/>
    </row>
    <row r="388" spans="3:6" ht="15.75" customHeight="1" x14ac:dyDescent="0.2">
      <c r="C388" s="34"/>
      <c r="D388" s="34"/>
      <c r="E388" s="34"/>
      <c r="F388" s="34"/>
    </row>
    <row r="389" spans="3:6" ht="15.75" customHeight="1" x14ac:dyDescent="0.2">
      <c r="C389" s="34"/>
      <c r="D389" s="34"/>
      <c r="E389" s="34"/>
      <c r="F389" s="34"/>
    </row>
    <row r="390" spans="3:6" ht="15.75" customHeight="1" x14ac:dyDescent="0.2">
      <c r="C390" s="34"/>
      <c r="D390" s="34"/>
      <c r="E390" s="34"/>
      <c r="F390" s="34"/>
    </row>
    <row r="391" spans="3:6" ht="15.75" customHeight="1" x14ac:dyDescent="0.2">
      <c r="C391" s="34"/>
      <c r="D391" s="34"/>
      <c r="E391" s="34"/>
      <c r="F391" s="34"/>
    </row>
    <row r="392" spans="3:6" ht="15.75" customHeight="1" x14ac:dyDescent="0.2">
      <c r="C392" s="34"/>
      <c r="D392" s="34"/>
      <c r="E392" s="34"/>
      <c r="F392" s="34"/>
    </row>
    <row r="393" spans="3:6" ht="15.75" customHeight="1" x14ac:dyDescent="0.2">
      <c r="C393" s="34"/>
      <c r="D393" s="34"/>
      <c r="E393" s="34"/>
      <c r="F393" s="34"/>
    </row>
    <row r="394" spans="3:6" ht="15.75" customHeight="1" x14ac:dyDescent="0.2">
      <c r="C394" s="34"/>
      <c r="D394" s="34"/>
      <c r="E394" s="34"/>
      <c r="F394" s="34"/>
    </row>
    <row r="395" spans="3:6" ht="15.75" customHeight="1" x14ac:dyDescent="0.2">
      <c r="C395" s="34"/>
      <c r="D395" s="34"/>
      <c r="E395" s="34"/>
      <c r="F395" s="34"/>
    </row>
    <row r="396" spans="3:6" ht="15.75" customHeight="1" x14ac:dyDescent="0.2">
      <c r="C396" s="34"/>
      <c r="D396" s="34"/>
      <c r="E396" s="34"/>
      <c r="F396" s="34"/>
    </row>
    <row r="397" spans="3:6" ht="15.75" customHeight="1" x14ac:dyDescent="0.2">
      <c r="C397" s="34"/>
      <c r="D397" s="34"/>
      <c r="E397" s="34"/>
      <c r="F397" s="34"/>
    </row>
    <row r="398" spans="3:6" ht="15.75" customHeight="1" x14ac:dyDescent="0.2">
      <c r="C398" s="34"/>
      <c r="D398" s="34"/>
      <c r="E398" s="34"/>
      <c r="F398" s="34"/>
    </row>
    <row r="399" spans="3:6" ht="15.75" customHeight="1" x14ac:dyDescent="0.2">
      <c r="C399" s="34"/>
      <c r="D399" s="34"/>
      <c r="E399" s="34"/>
      <c r="F399" s="34"/>
    </row>
    <row r="400" spans="3:6" ht="15.75" customHeight="1" x14ac:dyDescent="0.2">
      <c r="C400" s="34"/>
      <c r="D400" s="34"/>
      <c r="E400" s="34"/>
      <c r="F400" s="34"/>
    </row>
    <row r="401" spans="3:6" ht="15.75" customHeight="1" x14ac:dyDescent="0.2">
      <c r="C401" s="34"/>
      <c r="D401" s="34"/>
      <c r="E401" s="34"/>
      <c r="F401" s="34"/>
    </row>
    <row r="402" spans="3:6" ht="15.75" customHeight="1" x14ac:dyDescent="0.2">
      <c r="C402" s="34"/>
      <c r="D402" s="34"/>
      <c r="E402" s="34"/>
      <c r="F402" s="34"/>
    </row>
    <row r="403" spans="3:6" ht="15.75" customHeight="1" x14ac:dyDescent="0.2">
      <c r="C403" s="34"/>
      <c r="D403" s="34"/>
      <c r="E403" s="34"/>
      <c r="F403" s="34"/>
    </row>
    <row r="404" spans="3:6" ht="15.75" customHeight="1" x14ac:dyDescent="0.2">
      <c r="C404" s="34"/>
      <c r="D404" s="34"/>
      <c r="E404" s="34"/>
      <c r="F404" s="34"/>
    </row>
    <row r="405" spans="3:6" ht="15.75" customHeight="1" x14ac:dyDescent="0.2">
      <c r="C405" s="34"/>
      <c r="D405" s="34"/>
      <c r="E405" s="34"/>
      <c r="F405" s="34"/>
    </row>
    <row r="406" spans="3:6" ht="15.75" customHeight="1" x14ac:dyDescent="0.2">
      <c r="C406" s="34"/>
      <c r="D406" s="34"/>
      <c r="E406" s="34"/>
      <c r="F406" s="34"/>
    </row>
    <row r="407" spans="3:6" ht="15.75" customHeight="1" x14ac:dyDescent="0.2">
      <c r="C407" s="34"/>
      <c r="D407" s="34"/>
      <c r="E407" s="34"/>
      <c r="F407" s="34"/>
    </row>
    <row r="408" spans="3:6" ht="15.75" customHeight="1" x14ac:dyDescent="0.2">
      <c r="C408" s="34"/>
      <c r="D408" s="34"/>
      <c r="E408" s="34"/>
      <c r="F408" s="34"/>
    </row>
    <row r="409" spans="3:6" ht="15.75" customHeight="1" x14ac:dyDescent="0.2">
      <c r="C409" s="34"/>
      <c r="D409" s="34"/>
      <c r="E409" s="34"/>
      <c r="F409" s="34"/>
    </row>
    <row r="410" spans="3:6" ht="15.75" customHeight="1" x14ac:dyDescent="0.2">
      <c r="C410" s="34"/>
      <c r="D410" s="34"/>
      <c r="E410" s="34"/>
      <c r="F410" s="34"/>
    </row>
    <row r="411" spans="3:6" ht="15.75" customHeight="1" x14ac:dyDescent="0.2">
      <c r="C411" s="34"/>
      <c r="D411" s="34"/>
      <c r="E411" s="34"/>
      <c r="F411" s="34"/>
    </row>
    <row r="412" spans="3:6" ht="15.75" customHeight="1" x14ac:dyDescent="0.2">
      <c r="C412" s="34"/>
      <c r="D412" s="34"/>
      <c r="E412" s="34"/>
      <c r="F412" s="34"/>
    </row>
    <row r="413" spans="3:6" ht="15.75" customHeight="1" x14ac:dyDescent="0.2">
      <c r="C413" s="34"/>
      <c r="D413" s="34"/>
      <c r="E413" s="34"/>
      <c r="F413" s="34"/>
    </row>
    <row r="414" spans="3:6" ht="15.75" customHeight="1" x14ac:dyDescent="0.2">
      <c r="C414" s="34"/>
      <c r="D414" s="34"/>
      <c r="E414" s="34"/>
      <c r="F414" s="34"/>
    </row>
    <row r="415" spans="3:6" ht="15.75" customHeight="1" x14ac:dyDescent="0.2">
      <c r="C415" s="34"/>
      <c r="D415" s="34"/>
      <c r="E415" s="34"/>
      <c r="F415" s="34"/>
    </row>
    <row r="416" spans="3:6" ht="15.75" customHeight="1" x14ac:dyDescent="0.2">
      <c r="C416" s="34"/>
      <c r="D416" s="34"/>
      <c r="E416" s="34"/>
      <c r="F416" s="34"/>
    </row>
    <row r="417" spans="3:6" ht="15.75" customHeight="1" x14ac:dyDescent="0.2">
      <c r="C417" s="34"/>
      <c r="D417" s="34"/>
      <c r="E417" s="34"/>
      <c r="F417" s="34"/>
    </row>
    <row r="418" spans="3:6" ht="15.75" customHeight="1" x14ac:dyDescent="0.2">
      <c r="C418" s="34"/>
      <c r="D418" s="34"/>
      <c r="E418" s="34"/>
      <c r="F418" s="34"/>
    </row>
    <row r="419" spans="3:6" ht="15.75" customHeight="1" x14ac:dyDescent="0.2">
      <c r="C419" s="34"/>
      <c r="D419" s="34"/>
      <c r="E419" s="34"/>
      <c r="F419" s="34"/>
    </row>
    <row r="420" spans="3:6" ht="15.75" customHeight="1" x14ac:dyDescent="0.2">
      <c r="C420" s="34"/>
      <c r="D420" s="34"/>
      <c r="E420" s="34"/>
      <c r="F420" s="34"/>
    </row>
    <row r="421" spans="3:6" ht="15.75" customHeight="1" x14ac:dyDescent="0.2">
      <c r="C421" s="34"/>
      <c r="D421" s="34"/>
      <c r="E421" s="34"/>
      <c r="F421" s="34"/>
    </row>
    <row r="422" spans="3:6" ht="15.75" customHeight="1" x14ac:dyDescent="0.2">
      <c r="C422" s="34"/>
      <c r="D422" s="34"/>
      <c r="E422" s="34"/>
      <c r="F422" s="34"/>
    </row>
    <row r="423" spans="3:6" ht="15.75" customHeight="1" x14ac:dyDescent="0.2">
      <c r="C423" s="34"/>
      <c r="D423" s="34"/>
      <c r="E423" s="34"/>
      <c r="F423" s="34"/>
    </row>
    <row r="424" spans="3:6" ht="15.75" customHeight="1" x14ac:dyDescent="0.2">
      <c r="C424" s="34"/>
      <c r="D424" s="34"/>
      <c r="E424" s="34"/>
      <c r="F424" s="34"/>
    </row>
    <row r="425" spans="3:6" ht="15.75" customHeight="1" x14ac:dyDescent="0.2">
      <c r="C425" s="34"/>
      <c r="D425" s="34"/>
      <c r="E425" s="34"/>
      <c r="F425" s="34"/>
    </row>
    <row r="426" spans="3:6" ht="15.75" customHeight="1" x14ac:dyDescent="0.2">
      <c r="C426" s="34"/>
      <c r="D426" s="34"/>
      <c r="E426" s="34"/>
      <c r="F426" s="34"/>
    </row>
    <row r="427" spans="3:6" ht="15.75" customHeight="1" x14ac:dyDescent="0.2">
      <c r="C427" s="34"/>
      <c r="D427" s="34"/>
      <c r="E427" s="34"/>
      <c r="F427" s="34"/>
    </row>
    <row r="428" spans="3:6" ht="15.75" customHeight="1" x14ac:dyDescent="0.2">
      <c r="C428" s="34"/>
      <c r="D428" s="34"/>
      <c r="E428" s="34"/>
      <c r="F428" s="34"/>
    </row>
    <row r="429" spans="3:6" ht="15.75" customHeight="1" x14ac:dyDescent="0.2">
      <c r="C429" s="34"/>
      <c r="D429" s="34"/>
      <c r="E429" s="34"/>
      <c r="F429" s="34"/>
    </row>
    <row r="430" spans="3:6" ht="15.75" customHeight="1" x14ac:dyDescent="0.2">
      <c r="C430" s="34"/>
      <c r="D430" s="34"/>
      <c r="E430" s="34"/>
      <c r="F430" s="34"/>
    </row>
    <row r="431" spans="3:6" ht="15.75" customHeight="1" x14ac:dyDescent="0.2">
      <c r="C431" s="34"/>
      <c r="D431" s="34"/>
      <c r="E431" s="34"/>
      <c r="F431" s="34"/>
    </row>
    <row r="432" spans="3:6" ht="15.75" customHeight="1" x14ac:dyDescent="0.2">
      <c r="C432" s="34"/>
      <c r="D432" s="34"/>
      <c r="E432" s="34"/>
      <c r="F432" s="34"/>
    </row>
    <row r="433" spans="3:6" ht="15.75" customHeight="1" x14ac:dyDescent="0.2">
      <c r="C433" s="34"/>
      <c r="D433" s="34"/>
      <c r="E433" s="34"/>
      <c r="F433" s="34"/>
    </row>
    <row r="434" spans="3:6" ht="15.75" customHeight="1" x14ac:dyDescent="0.2">
      <c r="C434" s="34"/>
      <c r="D434" s="34"/>
      <c r="E434" s="34"/>
      <c r="F434" s="34"/>
    </row>
    <row r="435" spans="3:6" ht="15.75" customHeight="1" x14ac:dyDescent="0.2">
      <c r="C435" s="34"/>
      <c r="D435" s="34"/>
      <c r="E435" s="34"/>
      <c r="F435" s="34"/>
    </row>
    <row r="436" spans="3:6" ht="15.75" customHeight="1" x14ac:dyDescent="0.2">
      <c r="C436" s="34"/>
      <c r="D436" s="34"/>
      <c r="E436" s="34"/>
      <c r="F436" s="34"/>
    </row>
    <row r="437" spans="3:6" ht="15.75" customHeight="1" x14ac:dyDescent="0.2">
      <c r="C437" s="34"/>
      <c r="D437" s="34"/>
      <c r="E437" s="34"/>
      <c r="F437" s="34"/>
    </row>
    <row r="438" spans="3:6" ht="15.75" customHeight="1" x14ac:dyDescent="0.2">
      <c r="C438" s="34"/>
      <c r="D438" s="34"/>
      <c r="E438" s="34"/>
      <c r="F438" s="34"/>
    </row>
    <row r="439" spans="3:6" ht="15.75" customHeight="1" x14ac:dyDescent="0.2">
      <c r="C439" s="34"/>
      <c r="D439" s="34"/>
      <c r="E439" s="34"/>
      <c r="F439" s="34"/>
    </row>
    <row r="440" spans="3:6" ht="15.75" customHeight="1" x14ac:dyDescent="0.2">
      <c r="C440" s="34"/>
      <c r="D440" s="34"/>
      <c r="E440" s="34"/>
      <c r="F440" s="34"/>
    </row>
    <row r="441" spans="3:6" ht="15.75" customHeight="1" x14ac:dyDescent="0.2">
      <c r="C441" s="34"/>
      <c r="D441" s="34"/>
      <c r="E441" s="34"/>
      <c r="F441" s="34"/>
    </row>
    <row r="442" spans="3:6" ht="15.75" customHeight="1" x14ac:dyDescent="0.2">
      <c r="C442" s="34"/>
      <c r="D442" s="34"/>
      <c r="E442" s="34"/>
      <c r="F442" s="34"/>
    </row>
    <row r="443" spans="3:6" ht="15.75" customHeight="1" x14ac:dyDescent="0.2">
      <c r="C443" s="34"/>
      <c r="D443" s="34"/>
      <c r="E443" s="34"/>
      <c r="F443" s="34"/>
    </row>
    <row r="444" spans="3:6" ht="15.75" customHeight="1" x14ac:dyDescent="0.2">
      <c r="C444" s="34"/>
      <c r="D444" s="34"/>
      <c r="E444" s="34"/>
      <c r="F444" s="34"/>
    </row>
    <row r="445" spans="3:6" ht="15.75" customHeight="1" x14ac:dyDescent="0.2">
      <c r="C445" s="34"/>
      <c r="D445" s="34"/>
      <c r="E445" s="34"/>
      <c r="F445" s="34"/>
    </row>
    <row r="446" spans="3:6" ht="15.75" customHeight="1" x14ac:dyDescent="0.2">
      <c r="C446" s="34"/>
      <c r="D446" s="34"/>
      <c r="E446" s="34"/>
      <c r="F446" s="34"/>
    </row>
    <row r="447" spans="3:6" ht="15.75" customHeight="1" x14ac:dyDescent="0.2">
      <c r="C447" s="34"/>
      <c r="D447" s="34"/>
      <c r="E447" s="34"/>
      <c r="F447" s="34"/>
    </row>
    <row r="448" spans="3:6" ht="15.75" customHeight="1" x14ac:dyDescent="0.2">
      <c r="C448" s="34"/>
      <c r="D448" s="34"/>
      <c r="E448" s="34"/>
      <c r="F448" s="34"/>
    </row>
    <row r="449" spans="3:6" ht="15.75" customHeight="1" x14ac:dyDescent="0.2">
      <c r="C449" s="34"/>
      <c r="D449" s="34"/>
      <c r="E449" s="34"/>
      <c r="F449" s="34"/>
    </row>
    <row r="450" spans="3:6" ht="15.75" customHeight="1" x14ac:dyDescent="0.2">
      <c r="C450" s="34"/>
      <c r="D450" s="34"/>
      <c r="E450" s="34"/>
      <c r="F450" s="34"/>
    </row>
    <row r="451" spans="3:6" ht="15.75" customHeight="1" x14ac:dyDescent="0.2">
      <c r="C451" s="34"/>
      <c r="D451" s="34"/>
      <c r="E451" s="34"/>
      <c r="F451" s="34"/>
    </row>
    <row r="452" spans="3:6" ht="15.75" customHeight="1" x14ac:dyDescent="0.2">
      <c r="C452" s="34"/>
      <c r="D452" s="34"/>
      <c r="E452" s="34"/>
      <c r="F452" s="34"/>
    </row>
    <row r="453" spans="3:6" ht="15.75" customHeight="1" x14ac:dyDescent="0.2">
      <c r="C453" s="34"/>
      <c r="D453" s="34"/>
      <c r="E453" s="34"/>
      <c r="F453" s="34"/>
    </row>
    <row r="454" spans="3:6" ht="15.75" customHeight="1" x14ac:dyDescent="0.2">
      <c r="C454" s="34"/>
      <c r="D454" s="34"/>
      <c r="E454" s="34"/>
      <c r="F454" s="34"/>
    </row>
    <row r="455" spans="3:6" ht="15.75" customHeight="1" x14ac:dyDescent="0.2">
      <c r="C455" s="34"/>
      <c r="D455" s="34"/>
      <c r="E455" s="34"/>
      <c r="F455" s="34"/>
    </row>
    <row r="456" spans="3:6" ht="15.75" customHeight="1" x14ac:dyDescent="0.2">
      <c r="C456" s="34"/>
      <c r="D456" s="34"/>
      <c r="E456" s="34"/>
      <c r="F456" s="34"/>
    </row>
    <row r="457" spans="3:6" ht="15.75" customHeight="1" x14ac:dyDescent="0.2">
      <c r="C457" s="34"/>
      <c r="D457" s="34"/>
      <c r="E457" s="34"/>
      <c r="F457" s="34"/>
    </row>
    <row r="458" spans="3:6" ht="15.75" customHeight="1" x14ac:dyDescent="0.2">
      <c r="C458" s="34"/>
      <c r="D458" s="34"/>
      <c r="E458" s="34"/>
      <c r="F458" s="34"/>
    </row>
    <row r="459" spans="3:6" ht="15.75" customHeight="1" x14ac:dyDescent="0.2">
      <c r="C459" s="34"/>
      <c r="D459" s="34"/>
      <c r="E459" s="34"/>
      <c r="F459" s="34"/>
    </row>
    <row r="460" spans="3:6" ht="15.75" customHeight="1" x14ac:dyDescent="0.2">
      <c r="C460" s="34"/>
      <c r="D460" s="34"/>
      <c r="E460" s="34"/>
      <c r="F460" s="34"/>
    </row>
    <row r="461" spans="3:6" ht="15.75" customHeight="1" x14ac:dyDescent="0.2">
      <c r="C461" s="34"/>
      <c r="D461" s="34"/>
      <c r="E461" s="34"/>
      <c r="F461" s="34"/>
    </row>
    <row r="462" spans="3:6" ht="15.75" customHeight="1" x14ac:dyDescent="0.2">
      <c r="C462" s="34"/>
      <c r="D462" s="34"/>
      <c r="E462" s="34"/>
      <c r="F462" s="34"/>
    </row>
    <row r="463" spans="3:6" ht="15.75" customHeight="1" x14ac:dyDescent="0.2">
      <c r="C463" s="34"/>
      <c r="D463" s="34"/>
      <c r="E463" s="34"/>
      <c r="F463" s="34"/>
    </row>
    <row r="464" spans="3:6" ht="15.75" customHeight="1" x14ac:dyDescent="0.2">
      <c r="C464" s="34"/>
      <c r="D464" s="34"/>
      <c r="E464" s="34"/>
      <c r="F464" s="34"/>
    </row>
    <row r="465" spans="3:6" ht="15.75" customHeight="1" x14ac:dyDescent="0.2">
      <c r="C465" s="34"/>
      <c r="D465" s="34"/>
      <c r="E465" s="34"/>
      <c r="F465" s="34"/>
    </row>
    <row r="466" spans="3:6" ht="15.75" customHeight="1" x14ac:dyDescent="0.2">
      <c r="C466" s="34"/>
      <c r="D466" s="34"/>
      <c r="E466" s="34"/>
      <c r="F466" s="34"/>
    </row>
    <row r="467" spans="3:6" ht="15.75" customHeight="1" x14ac:dyDescent="0.2">
      <c r="C467" s="34"/>
      <c r="D467" s="34"/>
      <c r="E467" s="34"/>
      <c r="F467" s="34"/>
    </row>
    <row r="468" spans="3:6" ht="15.75" customHeight="1" x14ac:dyDescent="0.2">
      <c r="C468" s="34"/>
      <c r="D468" s="34"/>
      <c r="E468" s="34"/>
      <c r="F468" s="34"/>
    </row>
    <row r="469" spans="3:6" ht="15.75" customHeight="1" x14ac:dyDescent="0.2">
      <c r="C469" s="34"/>
      <c r="D469" s="34"/>
      <c r="E469" s="34"/>
      <c r="F469" s="34"/>
    </row>
    <row r="470" spans="3:6" ht="15.75" customHeight="1" x14ac:dyDescent="0.2">
      <c r="C470" s="34"/>
      <c r="D470" s="34"/>
      <c r="E470" s="34"/>
      <c r="F470" s="34"/>
    </row>
    <row r="471" spans="3:6" ht="15.75" customHeight="1" x14ac:dyDescent="0.2">
      <c r="C471" s="34"/>
      <c r="D471" s="34"/>
      <c r="E471" s="34"/>
      <c r="F471" s="34"/>
    </row>
    <row r="472" spans="3:6" ht="15.75" customHeight="1" x14ac:dyDescent="0.2">
      <c r="C472" s="34"/>
      <c r="D472" s="34"/>
      <c r="E472" s="34"/>
      <c r="F472" s="34"/>
    </row>
    <row r="473" spans="3:6" ht="15.75" customHeight="1" x14ac:dyDescent="0.2">
      <c r="C473" s="34"/>
      <c r="D473" s="34"/>
      <c r="E473" s="34"/>
      <c r="F473" s="34"/>
    </row>
    <row r="474" spans="3:6" ht="15.75" customHeight="1" x14ac:dyDescent="0.2">
      <c r="C474" s="34"/>
      <c r="D474" s="34"/>
      <c r="E474" s="34"/>
      <c r="F474" s="34"/>
    </row>
    <row r="475" spans="3:6" ht="15.75" customHeight="1" x14ac:dyDescent="0.2">
      <c r="C475" s="34"/>
      <c r="D475" s="34"/>
      <c r="E475" s="34"/>
      <c r="F475" s="34"/>
    </row>
    <row r="476" spans="3:6" ht="15.75" customHeight="1" x14ac:dyDescent="0.2">
      <c r="C476" s="34"/>
      <c r="D476" s="34"/>
      <c r="E476" s="34"/>
      <c r="F476" s="34"/>
    </row>
    <row r="477" spans="3:6" ht="15.75" customHeight="1" x14ac:dyDescent="0.2">
      <c r="C477" s="34"/>
      <c r="D477" s="34"/>
      <c r="E477" s="34"/>
      <c r="F477" s="34"/>
    </row>
    <row r="478" spans="3:6" ht="15.75" customHeight="1" x14ac:dyDescent="0.2">
      <c r="C478" s="34"/>
      <c r="D478" s="34"/>
      <c r="E478" s="34"/>
      <c r="F478" s="34"/>
    </row>
    <row r="479" spans="3:6" ht="15.75" customHeight="1" x14ac:dyDescent="0.2">
      <c r="C479" s="34"/>
      <c r="D479" s="34"/>
      <c r="E479" s="34"/>
      <c r="F479" s="34"/>
    </row>
    <row r="480" spans="3:6" ht="15.75" customHeight="1" x14ac:dyDescent="0.2">
      <c r="C480" s="34"/>
      <c r="D480" s="34"/>
      <c r="E480" s="34"/>
      <c r="F480" s="34"/>
    </row>
    <row r="481" spans="3:6" ht="15.75" customHeight="1" x14ac:dyDescent="0.2">
      <c r="C481" s="34"/>
      <c r="D481" s="34"/>
      <c r="E481" s="34"/>
      <c r="F481" s="34"/>
    </row>
    <row r="482" spans="3:6" ht="15.75" customHeight="1" x14ac:dyDescent="0.2">
      <c r="C482" s="34"/>
      <c r="D482" s="34"/>
      <c r="E482" s="34"/>
      <c r="F482" s="34"/>
    </row>
    <row r="483" spans="3:6" ht="15.75" customHeight="1" x14ac:dyDescent="0.2">
      <c r="C483" s="34"/>
      <c r="D483" s="34"/>
      <c r="E483" s="34"/>
      <c r="F483" s="34"/>
    </row>
    <row r="484" spans="3:6" ht="15.75" customHeight="1" x14ac:dyDescent="0.2">
      <c r="C484" s="34"/>
      <c r="D484" s="34"/>
      <c r="E484" s="34"/>
      <c r="F484" s="34"/>
    </row>
    <row r="485" spans="3:6" ht="15.75" customHeight="1" x14ac:dyDescent="0.2">
      <c r="C485" s="34"/>
      <c r="D485" s="34"/>
      <c r="E485" s="34"/>
      <c r="F485" s="34"/>
    </row>
    <row r="486" spans="3:6" ht="15.75" customHeight="1" x14ac:dyDescent="0.2">
      <c r="C486" s="34"/>
      <c r="D486" s="34"/>
      <c r="E486" s="34"/>
      <c r="F486" s="34"/>
    </row>
    <row r="487" spans="3:6" ht="15.75" customHeight="1" x14ac:dyDescent="0.2">
      <c r="C487" s="34"/>
      <c r="D487" s="34"/>
      <c r="E487" s="34"/>
      <c r="F487" s="34"/>
    </row>
    <row r="488" spans="3:6" ht="15.75" customHeight="1" x14ac:dyDescent="0.2">
      <c r="C488" s="34"/>
      <c r="D488" s="34"/>
      <c r="E488" s="34"/>
      <c r="F488" s="34"/>
    </row>
    <row r="489" spans="3:6" ht="15.75" customHeight="1" x14ac:dyDescent="0.2">
      <c r="C489" s="34"/>
      <c r="D489" s="34"/>
      <c r="E489" s="34"/>
      <c r="F489" s="34"/>
    </row>
    <row r="490" spans="3:6" ht="15.75" customHeight="1" x14ac:dyDescent="0.2">
      <c r="C490" s="34"/>
      <c r="D490" s="34"/>
      <c r="E490" s="34"/>
      <c r="F490" s="34"/>
    </row>
    <row r="491" spans="3:6" ht="15.75" customHeight="1" x14ac:dyDescent="0.2">
      <c r="C491" s="34"/>
      <c r="D491" s="34"/>
      <c r="E491" s="34"/>
      <c r="F491" s="34"/>
    </row>
    <row r="492" spans="3:6" ht="15.75" customHeight="1" x14ac:dyDescent="0.2">
      <c r="C492" s="34"/>
      <c r="D492" s="34"/>
      <c r="E492" s="34"/>
      <c r="F492" s="34"/>
    </row>
    <row r="493" spans="3:6" ht="15.75" customHeight="1" x14ac:dyDescent="0.2">
      <c r="C493" s="34"/>
      <c r="D493" s="34"/>
      <c r="E493" s="34"/>
      <c r="F493" s="34"/>
    </row>
    <row r="494" spans="3:6" ht="15.75" customHeight="1" x14ac:dyDescent="0.2">
      <c r="C494" s="34"/>
      <c r="D494" s="34"/>
      <c r="E494" s="34"/>
      <c r="F494" s="34"/>
    </row>
    <row r="495" spans="3:6" ht="15.75" customHeight="1" x14ac:dyDescent="0.2">
      <c r="C495" s="34"/>
      <c r="D495" s="34"/>
      <c r="E495" s="34"/>
      <c r="F495" s="34"/>
    </row>
    <row r="496" spans="3:6" ht="15.75" customHeight="1" x14ac:dyDescent="0.2">
      <c r="C496" s="34"/>
      <c r="D496" s="34"/>
      <c r="E496" s="34"/>
      <c r="F496" s="34"/>
    </row>
    <row r="497" spans="3:6" ht="15.75" customHeight="1" x14ac:dyDescent="0.2">
      <c r="C497" s="34"/>
      <c r="D497" s="34"/>
      <c r="E497" s="34"/>
      <c r="F497" s="34"/>
    </row>
    <row r="498" spans="3:6" ht="15.75" customHeight="1" x14ac:dyDescent="0.2">
      <c r="C498" s="34"/>
      <c r="D498" s="34"/>
      <c r="E498" s="34"/>
      <c r="F498" s="34"/>
    </row>
    <row r="499" spans="3:6" ht="15.75" customHeight="1" x14ac:dyDescent="0.2">
      <c r="C499" s="34"/>
      <c r="D499" s="34"/>
      <c r="E499" s="34"/>
      <c r="F499" s="34"/>
    </row>
    <row r="500" spans="3:6" ht="15.75" customHeight="1" x14ac:dyDescent="0.2">
      <c r="C500" s="34"/>
      <c r="D500" s="34"/>
      <c r="E500" s="34"/>
      <c r="F500" s="34"/>
    </row>
    <row r="501" spans="3:6" ht="15.75" customHeight="1" x14ac:dyDescent="0.2">
      <c r="C501" s="34"/>
      <c r="D501" s="34"/>
      <c r="E501" s="34"/>
      <c r="F501" s="34"/>
    </row>
    <row r="502" spans="3:6" ht="15.75" customHeight="1" x14ac:dyDescent="0.2">
      <c r="C502" s="34"/>
      <c r="D502" s="34"/>
      <c r="E502" s="34"/>
      <c r="F502" s="34"/>
    </row>
    <row r="503" spans="3:6" ht="15.75" customHeight="1" x14ac:dyDescent="0.2">
      <c r="C503" s="34"/>
      <c r="D503" s="34"/>
      <c r="E503" s="34"/>
      <c r="F503" s="34"/>
    </row>
    <row r="504" spans="3:6" ht="15.75" customHeight="1" x14ac:dyDescent="0.2">
      <c r="C504" s="34"/>
      <c r="D504" s="34"/>
      <c r="E504" s="34"/>
      <c r="F504" s="34"/>
    </row>
    <row r="505" spans="3:6" ht="15.75" customHeight="1" x14ac:dyDescent="0.2">
      <c r="C505" s="34"/>
      <c r="D505" s="34"/>
      <c r="E505" s="34"/>
      <c r="F505" s="34"/>
    </row>
    <row r="506" spans="3:6" ht="15.75" customHeight="1" x14ac:dyDescent="0.2">
      <c r="C506" s="34"/>
      <c r="D506" s="34"/>
      <c r="E506" s="34"/>
      <c r="F506" s="34"/>
    </row>
    <row r="507" spans="3:6" ht="15.75" customHeight="1" x14ac:dyDescent="0.2">
      <c r="C507" s="34"/>
      <c r="D507" s="34"/>
      <c r="E507" s="34"/>
      <c r="F507" s="34"/>
    </row>
    <row r="508" spans="3:6" ht="15.75" customHeight="1" x14ac:dyDescent="0.2">
      <c r="C508" s="34"/>
      <c r="D508" s="34"/>
      <c r="E508" s="34"/>
      <c r="F508" s="34"/>
    </row>
    <row r="509" spans="3:6" ht="15.75" customHeight="1" x14ac:dyDescent="0.2">
      <c r="C509" s="34"/>
      <c r="D509" s="34"/>
      <c r="E509" s="34"/>
      <c r="F509" s="34"/>
    </row>
    <row r="510" spans="3:6" ht="15.75" customHeight="1" x14ac:dyDescent="0.2">
      <c r="C510" s="34"/>
      <c r="D510" s="34"/>
      <c r="E510" s="34"/>
      <c r="F510" s="34"/>
    </row>
    <row r="511" spans="3:6" ht="15.75" customHeight="1" x14ac:dyDescent="0.2">
      <c r="C511" s="34"/>
      <c r="D511" s="34"/>
      <c r="E511" s="34"/>
      <c r="F511" s="34"/>
    </row>
    <row r="512" spans="3:6" ht="15.75" customHeight="1" x14ac:dyDescent="0.2">
      <c r="C512" s="34"/>
      <c r="D512" s="34"/>
      <c r="E512" s="34"/>
      <c r="F512" s="34"/>
    </row>
    <row r="513" spans="3:6" ht="15.75" customHeight="1" x14ac:dyDescent="0.2">
      <c r="C513" s="34"/>
      <c r="D513" s="34"/>
      <c r="E513" s="34"/>
      <c r="F513" s="34"/>
    </row>
    <row r="514" spans="3:6" ht="15.75" customHeight="1" x14ac:dyDescent="0.2">
      <c r="C514" s="34"/>
      <c r="D514" s="34"/>
      <c r="E514" s="34"/>
      <c r="F514" s="34"/>
    </row>
    <row r="515" spans="3:6" ht="15.75" customHeight="1" x14ac:dyDescent="0.2">
      <c r="C515" s="34"/>
      <c r="D515" s="34"/>
      <c r="E515" s="34"/>
      <c r="F515" s="34"/>
    </row>
    <row r="516" spans="3:6" ht="15.75" customHeight="1" x14ac:dyDescent="0.2">
      <c r="C516" s="34"/>
      <c r="D516" s="34"/>
      <c r="E516" s="34"/>
      <c r="F516" s="34"/>
    </row>
    <row r="517" spans="3:6" ht="15.75" customHeight="1" x14ac:dyDescent="0.2">
      <c r="C517" s="34"/>
      <c r="D517" s="34"/>
      <c r="E517" s="34"/>
      <c r="F517" s="34"/>
    </row>
    <row r="518" spans="3:6" ht="15.75" customHeight="1" x14ac:dyDescent="0.2">
      <c r="C518" s="34"/>
      <c r="D518" s="34"/>
      <c r="E518" s="34"/>
      <c r="F518" s="34"/>
    </row>
    <row r="519" spans="3:6" ht="15.75" customHeight="1" x14ac:dyDescent="0.2">
      <c r="C519" s="34"/>
      <c r="D519" s="34"/>
      <c r="E519" s="34"/>
      <c r="F519" s="34"/>
    </row>
    <row r="520" spans="3:6" ht="15.75" customHeight="1" x14ac:dyDescent="0.2">
      <c r="C520" s="34"/>
      <c r="D520" s="34"/>
      <c r="E520" s="34"/>
      <c r="F520" s="34"/>
    </row>
    <row r="521" spans="3:6" ht="15.75" customHeight="1" x14ac:dyDescent="0.2">
      <c r="C521" s="34"/>
      <c r="D521" s="34"/>
      <c r="E521" s="34"/>
      <c r="F521" s="34"/>
    </row>
    <row r="522" spans="3:6" ht="15.75" customHeight="1" x14ac:dyDescent="0.2">
      <c r="C522" s="34"/>
      <c r="D522" s="34"/>
      <c r="E522" s="34"/>
      <c r="F522" s="34"/>
    </row>
    <row r="523" spans="3:6" ht="15.75" customHeight="1" x14ac:dyDescent="0.2">
      <c r="C523" s="34"/>
      <c r="D523" s="34"/>
      <c r="E523" s="34"/>
      <c r="F523" s="34"/>
    </row>
    <row r="524" spans="3:6" ht="15.75" customHeight="1" x14ac:dyDescent="0.2">
      <c r="C524" s="34"/>
      <c r="D524" s="34"/>
      <c r="E524" s="34"/>
      <c r="F524" s="34"/>
    </row>
    <row r="525" spans="3:6" ht="15.75" customHeight="1" x14ac:dyDescent="0.2">
      <c r="C525" s="34"/>
      <c r="D525" s="34"/>
      <c r="E525" s="34"/>
      <c r="F525" s="34"/>
    </row>
    <row r="526" spans="3:6" ht="15.75" customHeight="1" x14ac:dyDescent="0.2">
      <c r="C526" s="34"/>
      <c r="D526" s="34"/>
      <c r="E526" s="34"/>
      <c r="F526" s="34"/>
    </row>
    <row r="527" spans="3:6" ht="15.75" customHeight="1" x14ac:dyDescent="0.2">
      <c r="C527" s="34"/>
      <c r="D527" s="34"/>
      <c r="E527" s="34"/>
      <c r="F527" s="34"/>
    </row>
    <row r="528" spans="3:6" ht="15.75" customHeight="1" x14ac:dyDescent="0.2">
      <c r="C528" s="34"/>
      <c r="D528" s="34"/>
      <c r="E528" s="34"/>
      <c r="F528" s="34"/>
    </row>
    <row r="529" spans="3:6" ht="15.75" customHeight="1" x14ac:dyDescent="0.2">
      <c r="C529" s="34"/>
      <c r="D529" s="34"/>
      <c r="E529" s="34"/>
      <c r="F529" s="34"/>
    </row>
    <row r="530" spans="3:6" ht="15.75" customHeight="1" x14ac:dyDescent="0.2">
      <c r="C530" s="34"/>
      <c r="D530" s="34"/>
      <c r="E530" s="34"/>
      <c r="F530" s="34"/>
    </row>
    <row r="531" spans="3:6" ht="15.75" customHeight="1" x14ac:dyDescent="0.2">
      <c r="C531" s="34"/>
      <c r="D531" s="34"/>
      <c r="E531" s="34"/>
      <c r="F531" s="34"/>
    </row>
    <row r="532" spans="3:6" ht="15.75" customHeight="1" x14ac:dyDescent="0.2">
      <c r="C532" s="34"/>
      <c r="D532" s="34"/>
      <c r="E532" s="34"/>
      <c r="F532" s="34"/>
    </row>
    <row r="533" spans="3:6" ht="15.75" customHeight="1" x14ac:dyDescent="0.2">
      <c r="C533" s="34"/>
      <c r="D533" s="34"/>
      <c r="E533" s="34"/>
      <c r="F533" s="34"/>
    </row>
    <row r="534" spans="3:6" ht="15.75" customHeight="1" x14ac:dyDescent="0.2">
      <c r="C534" s="34"/>
      <c r="D534" s="34"/>
      <c r="E534" s="34"/>
      <c r="F534" s="34"/>
    </row>
    <row r="535" spans="3:6" ht="15.75" customHeight="1" x14ac:dyDescent="0.2">
      <c r="C535" s="34"/>
      <c r="D535" s="34"/>
      <c r="E535" s="34"/>
      <c r="F535" s="34"/>
    </row>
    <row r="536" spans="3:6" ht="15.75" customHeight="1" x14ac:dyDescent="0.2">
      <c r="C536" s="34"/>
      <c r="D536" s="34"/>
      <c r="E536" s="34"/>
      <c r="F536" s="34"/>
    </row>
    <row r="537" spans="3:6" ht="15.75" customHeight="1" x14ac:dyDescent="0.2">
      <c r="C537" s="34"/>
      <c r="D537" s="34"/>
      <c r="E537" s="34"/>
      <c r="F537" s="34"/>
    </row>
    <row r="538" spans="3:6" ht="15.75" customHeight="1" x14ac:dyDescent="0.2">
      <c r="C538" s="34"/>
      <c r="D538" s="34"/>
      <c r="E538" s="34"/>
      <c r="F538" s="34"/>
    </row>
    <row r="539" spans="3:6" ht="15.75" customHeight="1" x14ac:dyDescent="0.2">
      <c r="C539" s="34"/>
      <c r="D539" s="34"/>
      <c r="E539" s="34"/>
      <c r="F539" s="34"/>
    </row>
    <row r="540" spans="3:6" ht="15.75" customHeight="1" x14ac:dyDescent="0.2">
      <c r="C540" s="34"/>
      <c r="D540" s="34"/>
      <c r="E540" s="34"/>
      <c r="F540" s="34"/>
    </row>
    <row r="541" spans="3:6" ht="15.75" customHeight="1" x14ac:dyDescent="0.2">
      <c r="C541" s="34"/>
      <c r="D541" s="34"/>
      <c r="E541" s="34"/>
      <c r="F541" s="34"/>
    </row>
    <row r="542" spans="3:6" ht="15.75" customHeight="1" x14ac:dyDescent="0.2">
      <c r="C542" s="34"/>
      <c r="D542" s="34"/>
      <c r="E542" s="34"/>
      <c r="F542" s="34"/>
    </row>
    <row r="543" spans="3:6" ht="15.75" customHeight="1" x14ac:dyDescent="0.2">
      <c r="C543" s="34"/>
      <c r="D543" s="34"/>
      <c r="E543" s="34"/>
      <c r="F543" s="34"/>
    </row>
    <row r="544" spans="3:6" ht="15.75" customHeight="1" x14ac:dyDescent="0.2">
      <c r="C544" s="34"/>
      <c r="D544" s="34"/>
      <c r="E544" s="34"/>
      <c r="F544" s="34"/>
    </row>
    <row r="545" spans="3:6" ht="15.75" customHeight="1" x14ac:dyDescent="0.2">
      <c r="C545" s="34"/>
      <c r="D545" s="34"/>
      <c r="E545" s="34"/>
      <c r="F545" s="34"/>
    </row>
    <row r="546" spans="3:6" ht="15.75" customHeight="1" x14ac:dyDescent="0.2">
      <c r="C546" s="34"/>
      <c r="D546" s="34"/>
      <c r="E546" s="34"/>
      <c r="F546" s="34"/>
    </row>
    <row r="547" spans="3:6" ht="15.75" customHeight="1" x14ac:dyDescent="0.2">
      <c r="C547" s="34"/>
      <c r="D547" s="34"/>
      <c r="E547" s="34"/>
      <c r="F547" s="34"/>
    </row>
    <row r="548" spans="3:6" ht="15.75" customHeight="1" x14ac:dyDescent="0.2">
      <c r="C548" s="34"/>
      <c r="D548" s="34"/>
      <c r="E548" s="34"/>
      <c r="F548" s="34"/>
    </row>
    <row r="549" spans="3:6" ht="15.75" customHeight="1" x14ac:dyDescent="0.2">
      <c r="C549" s="34"/>
      <c r="D549" s="34"/>
      <c r="E549" s="34"/>
      <c r="F549" s="34"/>
    </row>
    <row r="550" spans="3:6" ht="15.75" customHeight="1" x14ac:dyDescent="0.2">
      <c r="C550" s="34"/>
      <c r="D550" s="34"/>
      <c r="E550" s="34"/>
      <c r="F550" s="34"/>
    </row>
    <row r="551" spans="3:6" ht="15.75" customHeight="1" x14ac:dyDescent="0.2">
      <c r="C551" s="34"/>
      <c r="D551" s="34"/>
      <c r="E551" s="34"/>
      <c r="F551" s="34"/>
    </row>
    <row r="552" spans="3:6" ht="15.75" customHeight="1" x14ac:dyDescent="0.2">
      <c r="C552" s="34"/>
      <c r="D552" s="34"/>
      <c r="E552" s="34"/>
      <c r="F552" s="34"/>
    </row>
    <row r="553" spans="3:6" ht="15.75" customHeight="1" x14ac:dyDescent="0.2">
      <c r="C553" s="34"/>
      <c r="D553" s="34"/>
      <c r="E553" s="34"/>
      <c r="F553" s="34"/>
    </row>
    <row r="554" spans="3:6" ht="15.75" customHeight="1" x14ac:dyDescent="0.2">
      <c r="C554" s="34"/>
      <c r="D554" s="34"/>
      <c r="E554" s="34"/>
      <c r="F554" s="34"/>
    </row>
    <row r="555" spans="3:6" ht="15.75" customHeight="1" x14ac:dyDescent="0.2">
      <c r="C555" s="34"/>
      <c r="D555" s="34"/>
      <c r="E555" s="34"/>
      <c r="F555" s="34"/>
    </row>
    <row r="556" spans="3:6" ht="15.75" customHeight="1" x14ac:dyDescent="0.2">
      <c r="C556" s="34"/>
      <c r="D556" s="34"/>
      <c r="E556" s="34"/>
      <c r="F556" s="34"/>
    </row>
    <row r="557" spans="3:6" ht="15.75" customHeight="1" x14ac:dyDescent="0.2">
      <c r="C557" s="34"/>
      <c r="D557" s="34"/>
      <c r="E557" s="34"/>
      <c r="F557" s="34"/>
    </row>
    <row r="558" spans="3:6" ht="15.75" customHeight="1" x14ac:dyDescent="0.2">
      <c r="C558" s="34"/>
      <c r="D558" s="34"/>
      <c r="E558" s="34"/>
      <c r="F558" s="34"/>
    </row>
    <row r="559" spans="3:6" ht="15.75" customHeight="1" x14ac:dyDescent="0.2">
      <c r="C559" s="34"/>
      <c r="D559" s="34"/>
      <c r="E559" s="34"/>
      <c r="F559" s="34"/>
    </row>
    <row r="560" spans="3:6" ht="15.75" customHeight="1" x14ac:dyDescent="0.2">
      <c r="C560" s="34"/>
      <c r="D560" s="34"/>
      <c r="E560" s="34"/>
      <c r="F560" s="34"/>
    </row>
    <row r="561" spans="3:6" ht="15.75" customHeight="1" x14ac:dyDescent="0.2">
      <c r="C561" s="34"/>
      <c r="D561" s="34"/>
      <c r="E561" s="34"/>
      <c r="F561" s="34"/>
    </row>
    <row r="562" spans="3:6" ht="15.75" customHeight="1" x14ac:dyDescent="0.2">
      <c r="C562" s="34"/>
      <c r="D562" s="34"/>
      <c r="E562" s="34"/>
      <c r="F562" s="34"/>
    </row>
    <row r="563" spans="3:6" ht="15.75" customHeight="1" x14ac:dyDescent="0.2">
      <c r="C563" s="34"/>
      <c r="D563" s="34"/>
      <c r="E563" s="34"/>
      <c r="F563" s="34"/>
    </row>
    <row r="564" spans="3:6" ht="15.75" customHeight="1" x14ac:dyDescent="0.2">
      <c r="C564" s="34"/>
      <c r="D564" s="34"/>
      <c r="E564" s="34"/>
      <c r="F564" s="34"/>
    </row>
    <row r="565" spans="3:6" ht="15.75" customHeight="1" x14ac:dyDescent="0.2">
      <c r="C565" s="34"/>
      <c r="D565" s="34"/>
      <c r="E565" s="34"/>
      <c r="F565" s="34"/>
    </row>
    <row r="566" spans="3:6" ht="15.75" customHeight="1" x14ac:dyDescent="0.2">
      <c r="C566" s="34"/>
      <c r="D566" s="34"/>
      <c r="E566" s="34"/>
      <c r="F566" s="34"/>
    </row>
    <row r="567" spans="3:6" ht="15.75" customHeight="1" x14ac:dyDescent="0.2">
      <c r="C567" s="34"/>
      <c r="D567" s="34"/>
      <c r="E567" s="34"/>
      <c r="F567" s="34"/>
    </row>
    <row r="568" spans="3:6" ht="15.75" customHeight="1" x14ac:dyDescent="0.2">
      <c r="C568" s="34"/>
      <c r="D568" s="34"/>
      <c r="E568" s="34"/>
    </row>
    <row r="569" spans="3:6" ht="15.75" customHeight="1" x14ac:dyDescent="0.2">
      <c r="C569" s="34"/>
      <c r="D569" s="34"/>
      <c r="E569" s="34"/>
    </row>
    <row r="570" spans="3:6" ht="15.75" customHeight="1" x14ac:dyDescent="0.2">
      <c r="C570" s="34"/>
      <c r="D570" s="34"/>
      <c r="E570" s="34"/>
    </row>
    <row r="571" spans="3:6" ht="15.75" customHeight="1" x14ac:dyDescent="0.2">
      <c r="C571" s="34"/>
      <c r="D571" s="34"/>
      <c r="E571" s="34"/>
    </row>
    <row r="572" spans="3:6" ht="15.75" customHeight="1" x14ac:dyDescent="0.2">
      <c r="C572" s="34"/>
      <c r="D572" s="34"/>
      <c r="E572" s="34"/>
    </row>
    <row r="573" spans="3:6" ht="15.75" customHeight="1" x14ac:dyDescent="0.2">
      <c r="C573" s="34"/>
      <c r="D573" s="34"/>
      <c r="E573" s="34"/>
    </row>
    <row r="574" spans="3:6" ht="15.75" customHeight="1" x14ac:dyDescent="0.2">
      <c r="C574" s="34"/>
      <c r="D574" s="34"/>
      <c r="E574" s="34"/>
    </row>
    <row r="575" spans="3:6" ht="15.75" customHeight="1" x14ac:dyDescent="0.2">
      <c r="C575" s="34"/>
      <c r="D575" s="34"/>
      <c r="E575" s="34"/>
    </row>
    <row r="576" spans="3:6" ht="15.75" customHeight="1" x14ac:dyDescent="0.2">
      <c r="C576" s="34"/>
      <c r="D576" s="34"/>
      <c r="E576" s="34"/>
    </row>
    <row r="577" spans="3:5" ht="15.75" customHeight="1" x14ac:dyDescent="0.2">
      <c r="C577" s="34"/>
      <c r="D577" s="34"/>
      <c r="E577" s="34"/>
    </row>
    <row r="578" spans="3:5" ht="15.75" customHeight="1" x14ac:dyDescent="0.2">
      <c r="C578" s="34"/>
      <c r="D578" s="34"/>
      <c r="E578" s="34"/>
    </row>
    <row r="579" spans="3:5" ht="15.75" customHeight="1" x14ac:dyDescent="0.2">
      <c r="C579" s="34"/>
      <c r="D579" s="34"/>
      <c r="E579" s="34"/>
    </row>
    <row r="580" spans="3:5" ht="15.75" customHeight="1" x14ac:dyDescent="0.2">
      <c r="C580" s="34"/>
      <c r="D580" s="34"/>
      <c r="E580" s="34"/>
    </row>
    <row r="581" spans="3:5" ht="15.75" customHeight="1" x14ac:dyDescent="0.2">
      <c r="C581" s="34"/>
      <c r="D581" s="34"/>
      <c r="E581" s="34"/>
    </row>
    <row r="582" spans="3:5" ht="15.75" customHeight="1" x14ac:dyDescent="0.2">
      <c r="C582" s="34"/>
      <c r="D582" s="34"/>
      <c r="E582" s="34"/>
    </row>
    <row r="583" spans="3:5" ht="15.75" customHeight="1" x14ac:dyDescent="0.2">
      <c r="C583" s="34"/>
      <c r="D583" s="34"/>
      <c r="E583" s="34"/>
    </row>
    <row r="584" spans="3:5" ht="15.75" customHeight="1" x14ac:dyDescent="0.2">
      <c r="C584" s="34"/>
      <c r="D584" s="34"/>
      <c r="E584" s="34"/>
    </row>
    <row r="585" spans="3:5" ht="15.75" customHeight="1" x14ac:dyDescent="0.2">
      <c r="C585" s="34"/>
      <c r="D585" s="34"/>
      <c r="E585" s="34"/>
    </row>
    <row r="586" spans="3:5" ht="15.75" customHeight="1" x14ac:dyDescent="0.2">
      <c r="C586" s="34"/>
      <c r="D586" s="34"/>
      <c r="E586" s="34"/>
    </row>
    <row r="587" spans="3:5" ht="15.75" customHeight="1" x14ac:dyDescent="0.2">
      <c r="C587" s="34"/>
      <c r="D587" s="34"/>
      <c r="E587" s="34"/>
    </row>
    <row r="588" spans="3:5" ht="15.75" customHeight="1" x14ac:dyDescent="0.2">
      <c r="C588" s="34"/>
      <c r="D588" s="34"/>
      <c r="E588" s="34"/>
    </row>
    <row r="589" spans="3:5" ht="15.75" customHeight="1" x14ac:dyDescent="0.2">
      <c r="C589" s="34"/>
      <c r="D589" s="34"/>
      <c r="E589" s="34"/>
    </row>
    <row r="590" spans="3:5" ht="15.75" customHeight="1" x14ac:dyDescent="0.2">
      <c r="C590" s="34"/>
      <c r="D590" s="34"/>
      <c r="E590" s="34"/>
    </row>
    <row r="591" spans="3:5" ht="15.75" customHeight="1" x14ac:dyDescent="0.2">
      <c r="C591" s="34"/>
      <c r="D591" s="34"/>
      <c r="E591" s="34"/>
    </row>
    <row r="592" spans="3:5" ht="15.75" customHeight="1" x14ac:dyDescent="0.2">
      <c r="C592" s="34"/>
      <c r="D592" s="34"/>
      <c r="E592" s="34"/>
    </row>
    <row r="593" spans="3:5" ht="15.75" customHeight="1" x14ac:dyDescent="0.2">
      <c r="C593" s="34"/>
      <c r="D593" s="34"/>
      <c r="E593" s="34"/>
    </row>
    <row r="594" spans="3:5" ht="15.75" customHeight="1" x14ac:dyDescent="0.2">
      <c r="C594" s="34"/>
      <c r="D594" s="34"/>
      <c r="E594" s="34"/>
    </row>
    <row r="595" spans="3:5" ht="15.75" customHeight="1" x14ac:dyDescent="0.2">
      <c r="C595" s="34"/>
      <c r="D595" s="34"/>
      <c r="E595" s="34"/>
    </row>
    <row r="596" spans="3:5" ht="15.75" customHeight="1" x14ac:dyDescent="0.2">
      <c r="C596" s="34"/>
      <c r="D596" s="34"/>
      <c r="E596" s="34"/>
    </row>
    <row r="597" spans="3:5" ht="15.75" customHeight="1" x14ac:dyDescent="0.2">
      <c r="C597" s="34"/>
      <c r="D597" s="34"/>
      <c r="E597" s="34"/>
    </row>
    <row r="598" spans="3:5" ht="15.75" customHeight="1" x14ac:dyDescent="0.2">
      <c r="C598" s="34"/>
      <c r="D598" s="34"/>
      <c r="E598" s="34"/>
    </row>
    <row r="599" spans="3:5" ht="15.75" customHeight="1" x14ac:dyDescent="0.2">
      <c r="C599" s="34"/>
      <c r="D599" s="34"/>
      <c r="E599" s="34"/>
    </row>
    <row r="600" spans="3:5" ht="15.75" customHeight="1" x14ac:dyDescent="0.2">
      <c r="C600" s="34"/>
      <c r="D600" s="34"/>
      <c r="E600" s="34"/>
    </row>
    <row r="601" spans="3:5" ht="15.75" customHeight="1" x14ac:dyDescent="0.2">
      <c r="C601" s="34"/>
      <c r="D601" s="34"/>
      <c r="E601" s="34"/>
    </row>
    <row r="602" spans="3:5" ht="15.75" customHeight="1" x14ac:dyDescent="0.2">
      <c r="C602" s="34"/>
      <c r="D602" s="34"/>
      <c r="E602" s="34"/>
    </row>
    <row r="603" spans="3:5" ht="15.75" customHeight="1" x14ac:dyDescent="0.2">
      <c r="C603" s="34"/>
      <c r="D603" s="34"/>
      <c r="E603" s="34"/>
    </row>
    <row r="604" spans="3:5" ht="15.75" customHeight="1" x14ac:dyDescent="0.2">
      <c r="C604" s="34"/>
      <c r="D604" s="34"/>
      <c r="E604" s="34"/>
    </row>
    <row r="605" spans="3:5" ht="15.75" customHeight="1" x14ac:dyDescent="0.2">
      <c r="C605" s="34"/>
      <c r="D605" s="34"/>
      <c r="E605" s="34"/>
    </row>
    <row r="606" spans="3:5" ht="15.75" customHeight="1" x14ac:dyDescent="0.2">
      <c r="C606" s="34"/>
      <c r="D606" s="34"/>
      <c r="E606" s="34"/>
    </row>
    <row r="607" spans="3:5" ht="15.75" customHeight="1" x14ac:dyDescent="0.2">
      <c r="C607" s="34"/>
      <c r="D607" s="34"/>
      <c r="E607" s="34"/>
    </row>
    <row r="608" spans="3:5" ht="15.75" customHeight="1" x14ac:dyDescent="0.2">
      <c r="C608" s="34"/>
      <c r="D608" s="34"/>
      <c r="E608" s="34"/>
    </row>
    <row r="609" spans="3:5" ht="15.75" customHeight="1" x14ac:dyDescent="0.2">
      <c r="C609" s="34"/>
      <c r="D609" s="34"/>
      <c r="E609" s="34"/>
    </row>
    <row r="610" spans="3:5" ht="15.75" customHeight="1" x14ac:dyDescent="0.2">
      <c r="C610" s="34"/>
      <c r="D610" s="34"/>
      <c r="E610" s="34"/>
    </row>
    <row r="611" spans="3:5" ht="15.75" customHeight="1" x14ac:dyDescent="0.2">
      <c r="C611" s="34"/>
      <c r="D611" s="34"/>
      <c r="E611" s="34"/>
    </row>
    <row r="612" spans="3:5" ht="15.75" customHeight="1" x14ac:dyDescent="0.2">
      <c r="C612" s="34"/>
      <c r="D612" s="34"/>
      <c r="E612" s="34"/>
    </row>
    <row r="613" spans="3:5" ht="15.75" customHeight="1" x14ac:dyDescent="0.2">
      <c r="C613" s="34"/>
      <c r="D613" s="34"/>
      <c r="E613" s="34"/>
    </row>
    <row r="614" spans="3:5" ht="15.75" customHeight="1" x14ac:dyDescent="0.2">
      <c r="C614" s="34"/>
      <c r="D614" s="34"/>
      <c r="E614" s="34"/>
    </row>
    <row r="615" spans="3:5" ht="15.75" customHeight="1" x14ac:dyDescent="0.2">
      <c r="C615" s="34"/>
      <c r="D615" s="34"/>
      <c r="E615" s="34"/>
    </row>
    <row r="616" spans="3:5" ht="15.75" customHeight="1" x14ac:dyDescent="0.2">
      <c r="C616" s="34"/>
      <c r="D616" s="34"/>
      <c r="E616" s="34"/>
    </row>
    <row r="617" spans="3:5" ht="15.75" customHeight="1" x14ac:dyDescent="0.2">
      <c r="C617" s="34"/>
      <c r="D617" s="34"/>
      <c r="E617" s="34"/>
    </row>
    <row r="618" spans="3:5" ht="15.75" customHeight="1" x14ac:dyDescent="0.2">
      <c r="C618" s="34"/>
      <c r="D618" s="34"/>
      <c r="E618" s="34"/>
    </row>
    <row r="619" spans="3:5" ht="15.75" customHeight="1" x14ac:dyDescent="0.2">
      <c r="C619" s="34"/>
      <c r="D619" s="34"/>
      <c r="E619" s="34"/>
    </row>
    <row r="620" spans="3:5" ht="15.75" customHeight="1" x14ac:dyDescent="0.2">
      <c r="C620" s="34"/>
      <c r="D620" s="34"/>
      <c r="E620" s="34"/>
    </row>
    <row r="621" spans="3:5" ht="15.75" customHeight="1" x14ac:dyDescent="0.2">
      <c r="C621" s="34"/>
      <c r="D621" s="34"/>
      <c r="E621" s="34"/>
    </row>
    <row r="622" spans="3:5" ht="15.75" customHeight="1" x14ac:dyDescent="0.2">
      <c r="C622" s="34"/>
      <c r="D622" s="34"/>
      <c r="E622" s="34"/>
    </row>
    <row r="623" spans="3:5" ht="15.75" customHeight="1" x14ac:dyDescent="0.2">
      <c r="C623" s="34"/>
      <c r="D623" s="34"/>
      <c r="E623" s="34"/>
    </row>
    <row r="624" spans="3:5" ht="15.75" customHeight="1" x14ac:dyDescent="0.2">
      <c r="C624" s="34"/>
      <c r="D624" s="34"/>
      <c r="E624" s="34"/>
    </row>
    <row r="625" spans="3:5" ht="15.75" customHeight="1" x14ac:dyDescent="0.2">
      <c r="C625" s="34"/>
      <c r="D625" s="34"/>
      <c r="E625" s="34"/>
    </row>
    <row r="626" spans="3:5" ht="15.75" customHeight="1" x14ac:dyDescent="0.2">
      <c r="C626" s="34"/>
      <c r="D626" s="34"/>
      <c r="E626" s="34"/>
    </row>
    <row r="627" spans="3:5" ht="15.75" customHeight="1" x14ac:dyDescent="0.2">
      <c r="C627" s="34"/>
      <c r="D627" s="34"/>
      <c r="E627" s="34"/>
    </row>
    <row r="628" spans="3:5" ht="15.75" customHeight="1" x14ac:dyDescent="0.2">
      <c r="C628" s="34"/>
      <c r="D628" s="34"/>
      <c r="E628" s="34"/>
    </row>
    <row r="629" spans="3:5" ht="15.75" customHeight="1" x14ac:dyDescent="0.2">
      <c r="C629" s="34"/>
      <c r="D629" s="34"/>
      <c r="E629" s="34"/>
    </row>
    <row r="630" spans="3:5" ht="15.75" customHeight="1" x14ac:dyDescent="0.2">
      <c r="C630" s="34"/>
      <c r="D630" s="34"/>
      <c r="E630" s="34"/>
    </row>
    <row r="631" spans="3:5" ht="15.75" customHeight="1" x14ac:dyDescent="0.2">
      <c r="C631" s="34"/>
      <c r="D631" s="34"/>
      <c r="E631" s="34"/>
    </row>
    <row r="632" spans="3:5" ht="15.75" customHeight="1" x14ac:dyDescent="0.2">
      <c r="C632" s="34"/>
      <c r="D632" s="34"/>
      <c r="E632" s="34"/>
    </row>
    <row r="633" spans="3:5" ht="15.75" customHeight="1" x14ac:dyDescent="0.2">
      <c r="C633" s="34"/>
      <c r="D633" s="34"/>
      <c r="E633" s="34"/>
    </row>
    <row r="634" spans="3:5" ht="15.75" customHeight="1" x14ac:dyDescent="0.2">
      <c r="C634" s="34"/>
      <c r="D634" s="34"/>
      <c r="E634" s="34"/>
    </row>
    <row r="635" spans="3:5" ht="15.75" customHeight="1" x14ac:dyDescent="0.2">
      <c r="C635" s="34"/>
      <c r="D635" s="34"/>
      <c r="E635" s="34"/>
    </row>
    <row r="636" spans="3:5" ht="15.75" customHeight="1" x14ac:dyDescent="0.2">
      <c r="C636" s="34"/>
      <c r="D636" s="34"/>
      <c r="E636" s="34"/>
    </row>
    <row r="637" spans="3:5" ht="15.75" customHeight="1" x14ac:dyDescent="0.2">
      <c r="C637" s="34"/>
      <c r="D637" s="34"/>
      <c r="E637" s="34"/>
    </row>
    <row r="638" spans="3:5" ht="15.75" customHeight="1" x14ac:dyDescent="0.2">
      <c r="C638" s="34"/>
      <c r="D638" s="34"/>
      <c r="E638" s="34"/>
    </row>
    <row r="639" spans="3:5" ht="15.75" customHeight="1" x14ac:dyDescent="0.2">
      <c r="C639" s="34"/>
      <c r="D639" s="34"/>
      <c r="E639" s="34"/>
    </row>
    <row r="640" spans="3:5" ht="15.75" customHeight="1" x14ac:dyDescent="0.2">
      <c r="C640" s="34"/>
      <c r="D640" s="34"/>
      <c r="E640" s="34"/>
    </row>
    <row r="641" spans="3:5" ht="15.75" customHeight="1" x14ac:dyDescent="0.2">
      <c r="C641" s="34"/>
      <c r="D641" s="34"/>
      <c r="E641" s="34"/>
    </row>
    <row r="642" spans="3:5" ht="15.75" customHeight="1" x14ac:dyDescent="0.2">
      <c r="C642" s="34"/>
      <c r="D642" s="34"/>
      <c r="E642" s="34"/>
    </row>
    <row r="643" spans="3:5" ht="15.75" customHeight="1" x14ac:dyDescent="0.2">
      <c r="C643" s="34"/>
      <c r="D643" s="34"/>
      <c r="E643" s="34"/>
    </row>
    <row r="644" spans="3:5" ht="15.75" customHeight="1" x14ac:dyDescent="0.2">
      <c r="C644" s="34"/>
      <c r="D644" s="34"/>
      <c r="E644" s="34"/>
    </row>
    <row r="645" spans="3:5" ht="15.75" customHeight="1" x14ac:dyDescent="0.2">
      <c r="C645" s="34"/>
      <c r="D645" s="34"/>
      <c r="E645" s="34"/>
    </row>
    <row r="646" spans="3:5" ht="15.75" customHeight="1" x14ac:dyDescent="0.2">
      <c r="C646" s="34"/>
      <c r="D646" s="34"/>
      <c r="E646" s="34"/>
    </row>
    <row r="647" spans="3:5" ht="15.75" customHeight="1" x14ac:dyDescent="0.2">
      <c r="C647" s="34"/>
      <c r="D647" s="34"/>
      <c r="E647" s="34"/>
    </row>
    <row r="648" spans="3:5" ht="15.75" customHeight="1" x14ac:dyDescent="0.2">
      <c r="C648" s="34"/>
      <c r="D648" s="34"/>
      <c r="E648" s="34"/>
    </row>
    <row r="649" spans="3:5" ht="15.75" customHeight="1" x14ac:dyDescent="0.2">
      <c r="C649" s="34"/>
      <c r="D649" s="34"/>
      <c r="E649" s="34"/>
    </row>
    <row r="650" spans="3:5" ht="15.75" customHeight="1" x14ac:dyDescent="0.2">
      <c r="C650" s="34"/>
      <c r="D650" s="34"/>
      <c r="E650" s="34"/>
    </row>
    <row r="651" spans="3:5" ht="15.75" customHeight="1" x14ac:dyDescent="0.2">
      <c r="C651" s="34"/>
      <c r="D651" s="34"/>
      <c r="E651" s="34"/>
    </row>
    <row r="652" spans="3:5" ht="15.75" customHeight="1" x14ac:dyDescent="0.2">
      <c r="C652" s="34"/>
      <c r="D652" s="34"/>
      <c r="E652" s="34"/>
    </row>
    <row r="653" spans="3:5" ht="15.75" customHeight="1" x14ac:dyDescent="0.2">
      <c r="C653" s="34"/>
      <c r="D653" s="34"/>
      <c r="E653" s="34"/>
    </row>
    <row r="654" spans="3:5" ht="15.75" customHeight="1" x14ac:dyDescent="0.2">
      <c r="C654" s="34"/>
      <c r="D654" s="34"/>
      <c r="E654" s="34"/>
    </row>
    <row r="655" spans="3:5" ht="15.75" customHeight="1" x14ac:dyDescent="0.2">
      <c r="C655" s="34"/>
      <c r="D655" s="34"/>
      <c r="E655" s="34"/>
    </row>
    <row r="656" spans="3:5" ht="15.75" customHeight="1" x14ac:dyDescent="0.2">
      <c r="C656" s="34"/>
      <c r="D656" s="34"/>
      <c r="E656" s="34"/>
    </row>
    <row r="657" spans="3:5" ht="15.75" customHeight="1" x14ac:dyDescent="0.2">
      <c r="C657" s="34"/>
      <c r="D657" s="34"/>
      <c r="E657" s="34"/>
    </row>
    <row r="658" spans="3:5" ht="15.75" customHeight="1" x14ac:dyDescent="0.2">
      <c r="C658" s="34"/>
      <c r="D658" s="34"/>
      <c r="E658" s="34"/>
    </row>
    <row r="659" spans="3:5" ht="15.75" customHeight="1" x14ac:dyDescent="0.2">
      <c r="C659" s="34"/>
      <c r="D659" s="34"/>
      <c r="E659" s="34"/>
    </row>
    <row r="660" spans="3:5" ht="15.75" customHeight="1" x14ac:dyDescent="0.2">
      <c r="C660" s="34"/>
      <c r="D660" s="34"/>
      <c r="E660" s="34"/>
    </row>
    <row r="661" spans="3:5" ht="15.75" customHeight="1" x14ac:dyDescent="0.2">
      <c r="C661" s="34"/>
      <c r="D661" s="34"/>
      <c r="E661" s="34"/>
    </row>
    <row r="662" spans="3:5" ht="15.75" customHeight="1" x14ac:dyDescent="0.2">
      <c r="C662" s="34"/>
      <c r="D662" s="34"/>
      <c r="E662" s="34"/>
    </row>
    <row r="663" spans="3:5" ht="15.75" customHeight="1" x14ac:dyDescent="0.2">
      <c r="C663" s="34"/>
      <c r="D663" s="34"/>
      <c r="E663" s="34"/>
    </row>
    <row r="664" spans="3:5" ht="15.75" customHeight="1" x14ac:dyDescent="0.2">
      <c r="C664" s="34"/>
      <c r="D664" s="34"/>
      <c r="E664" s="34"/>
    </row>
    <row r="665" spans="3:5" ht="15.75" customHeight="1" x14ac:dyDescent="0.2">
      <c r="C665" s="34"/>
      <c r="D665" s="34"/>
      <c r="E665" s="34"/>
    </row>
    <row r="666" spans="3:5" ht="15.75" customHeight="1" x14ac:dyDescent="0.2">
      <c r="C666" s="34"/>
      <c r="D666" s="34"/>
      <c r="E666" s="34"/>
    </row>
    <row r="667" spans="3:5" ht="15.75" customHeight="1" x14ac:dyDescent="0.2">
      <c r="C667" s="34"/>
      <c r="D667" s="34"/>
      <c r="E667" s="34"/>
    </row>
    <row r="668" spans="3:5" ht="15.75" customHeight="1" x14ac:dyDescent="0.2">
      <c r="C668" s="34"/>
      <c r="D668" s="34"/>
      <c r="E668" s="34"/>
    </row>
    <row r="669" spans="3:5" ht="15.75" customHeight="1" x14ac:dyDescent="0.2">
      <c r="C669" s="34"/>
      <c r="D669" s="34"/>
      <c r="E669" s="34"/>
    </row>
    <row r="670" spans="3:5" ht="15.75" customHeight="1" x14ac:dyDescent="0.2">
      <c r="C670" s="34"/>
      <c r="D670" s="34"/>
      <c r="E670" s="34"/>
    </row>
    <row r="671" spans="3:5" ht="15.75" customHeight="1" x14ac:dyDescent="0.2">
      <c r="C671" s="34"/>
      <c r="D671" s="34"/>
      <c r="E671" s="34"/>
    </row>
    <row r="672" spans="3:5" ht="15.75" customHeight="1" x14ac:dyDescent="0.2">
      <c r="C672" s="34"/>
      <c r="D672" s="34"/>
      <c r="E672" s="34"/>
    </row>
    <row r="673" spans="3:5" ht="15.75" customHeight="1" x14ac:dyDescent="0.2">
      <c r="C673" s="34"/>
      <c r="D673" s="34"/>
      <c r="E673" s="34"/>
    </row>
    <row r="674" spans="3:5" ht="15.75" customHeight="1" x14ac:dyDescent="0.2">
      <c r="C674" s="34"/>
      <c r="D674" s="34"/>
      <c r="E674" s="34"/>
    </row>
    <row r="675" spans="3:5" ht="15.75" customHeight="1" x14ac:dyDescent="0.2">
      <c r="C675" s="34"/>
      <c r="D675" s="34"/>
      <c r="E675" s="34"/>
    </row>
    <row r="676" spans="3:5" ht="15.75" customHeight="1" x14ac:dyDescent="0.2">
      <c r="C676" s="34"/>
      <c r="D676" s="34"/>
      <c r="E676" s="34"/>
    </row>
    <row r="677" spans="3:5" ht="15.75" customHeight="1" x14ac:dyDescent="0.2">
      <c r="C677" s="34"/>
      <c r="D677" s="34"/>
      <c r="E677" s="34"/>
    </row>
    <row r="678" spans="3:5" ht="15.75" customHeight="1" x14ac:dyDescent="0.2">
      <c r="C678" s="34"/>
      <c r="D678" s="34"/>
      <c r="E678" s="34"/>
    </row>
    <row r="679" spans="3:5" ht="15.75" customHeight="1" x14ac:dyDescent="0.2">
      <c r="C679" s="34"/>
      <c r="D679" s="34"/>
      <c r="E679" s="34"/>
    </row>
    <row r="680" spans="3:5" ht="15.75" customHeight="1" x14ac:dyDescent="0.2">
      <c r="C680" s="34"/>
      <c r="D680" s="34"/>
      <c r="E680" s="34"/>
    </row>
    <row r="681" spans="3:5" ht="15.75" customHeight="1" x14ac:dyDescent="0.2">
      <c r="C681" s="34"/>
      <c r="D681" s="34"/>
      <c r="E681" s="34"/>
    </row>
    <row r="682" spans="3:5" ht="15.75" customHeight="1" x14ac:dyDescent="0.2">
      <c r="C682" s="34"/>
      <c r="D682" s="34"/>
      <c r="E682" s="34"/>
    </row>
    <row r="683" spans="3:5" ht="15.75" customHeight="1" x14ac:dyDescent="0.2">
      <c r="C683" s="34"/>
      <c r="D683" s="34"/>
      <c r="E683" s="34"/>
    </row>
    <row r="684" spans="3:5" ht="15.75" customHeight="1" x14ac:dyDescent="0.2">
      <c r="C684" s="34"/>
      <c r="D684" s="34"/>
      <c r="E684" s="34"/>
    </row>
    <row r="685" spans="3:5" ht="15.75" customHeight="1" x14ac:dyDescent="0.2">
      <c r="C685" s="34"/>
      <c r="D685" s="34"/>
      <c r="E685" s="34"/>
    </row>
    <row r="686" spans="3:5" ht="15.75" customHeight="1" x14ac:dyDescent="0.2">
      <c r="C686" s="34"/>
      <c r="D686" s="34"/>
      <c r="E686" s="34"/>
    </row>
    <row r="687" spans="3:5" ht="15.75" customHeight="1" x14ac:dyDescent="0.2">
      <c r="C687" s="34"/>
      <c r="D687" s="34"/>
      <c r="E687" s="34"/>
    </row>
    <row r="688" spans="3:5" ht="15.75" customHeight="1" x14ac:dyDescent="0.2">
      <c r="C688" s="34"/>
      <c r="D688" s="34"/>
      <c r="E688" s="34"/>
    </row>
    <row r="689" spans="3:5" ht="15.75" customHeight="1" x14ac:dyDescent="0.2">
      <c r="C689" s="34"/>
      <c r="D689" s="34"/>
      <c r="E689" s="34"/>
    </row>
    <row r="690" spans="3:5" ht="15.75" customHeight="1" x14ac:dyDescent="0.2">
      <c r="C690" s="34"/>
      <c r="D690" s="34"/>
      <c r="E690" s="34"/>
    </row>
    <row r="691" spans="3:5" ht="15.75" customHeight="1" x14ac:dyDescent="0.2">
      <c r="C691" s="34"/>
      <c r="D691" s="34"/>
      <c r="E691" s="34"/>
    </row>
    <row r="692" spans="3:5" ht="15.75" customHeight="1" x14ac:dyDescent="0.2">
      <c r="C692" s="34"/>
      <c r="D692" s="34"/>
      <c r="E692" s="34"/>
    </row>
    <row r="693" spans="3:5" ht="15.75" customHeight="1" x14ac:dyDescent="0.2">
      <c r="C693" s="34"/>
      <c r="D693" s="34"/>
      <c r="E693" s="34"/>
    </row>
    <row r="694" spans="3:5" ht="15.75" customHeight="1" x14ac:dyDescent="0.2">
      <c r="C694" s="34"/>
      <c r="D694" s="34"/>
      <c r="E694" s="34"/>
    </row>
    <row r="695" spans="3:5" ht="15.75" customHeight="1" x14ac:dyDescent="0.2">
      <c r="C695" s="34"/>
      <c r="D695" s="34"/>
      <c r="E695" s="34"/>
    </row>
    <row r="696" spans="3:5" ht="15.75" customHeight="1" x14ac:dyDescent="0.2">
      <c r="C696" s="34"/>
      <c r="D696" s="34"/>
      <c r="E696" s="34"/>
    </row>
    <row r="697" spans="3:5" ht="15.75" customHeight="1" x14ac:dyDescent="0.2">
      <c r="C697" s="34"/>
      <c r="D697" s="34"/>
      <c r="E697" s="34"/>
    </row>
    <row r="698" spans="3:5" ht="15.75" customHeight="1" x14ac:dyDescent="0.2">
      <c r="C698" s="34"/>
      <c r="D698" s="34"/>
      <c r="E698" s="34"/>
    </row>
    <row r="699" spans="3:5" ht="15.75" customHeight="1" x14ac:dyDescent="0.2">
      <c r="C699" s="34"/>
      <c r="D699" s="34"/>
      <c r="E699" s="34"/>
    </row>
    <row r="700" spans="3:5" ht="15.75" customHeight="1" x14ac:dyDescent="0.2">
      <c r="C700" s="34"/>
      <c r="D700" s="34"/>
      <c r="E700" s="34"/>
    </row>
    <row r="701" spans="3:5" ht="15.75" customHeight="1" x14ac:dyDescent="0.2">
      <c r="C701" s="34"/>
      <c r="D701" s="34"/>
      <c r="E701" s="34"/>
    </row>
    <row r="702" spans="3:5" ht="15.75" customHeight="1" x14ac:dyDescent="0.2">
      <c r="C702" s="34"/>
      <c r="D702" s="34"/>
      <c r="E702" s="34"/>
    </row>
    <row r="703" spans="3:5" ht="15.75" customHeight="1" x14ac:dyDescent="0.2">
      <c r="C703" s="34"/>
      <c r="D703" s="34"/>
      <c r="E703" s="34"/>
    </row>
    <row r="704" spans="3:5" ht="15.75" customHeight="1" x14ac:dyDescent="0.2">
      <c r="C704" s="34"/>
      <c r="D704" s="34"/>
      <c r="E704" s="34"/>
    </row>
    <row r="705" spans="3:5" ht="15.75" customHeight="1" x14ac:dyDescent="0.2">
      <c r="C705" s="34"/>
      <c r="D705" s="34"/>
      <c r="E705" s="34"/>
    </row>
    <row r="706" spans="3:5" ht="15.75" customHeight="1" x14ac:dyDescent="0.2">
      <c r="C706" s="34"/>
      <c r="D706" s="34"/>
      <c r="E706" s="34"/>
    </row>
    <row r="707" spans="3:5" ht="15.75" customHeight="1" x14ac:dyDescent="0.2">
      <c r="C707" s="34"/>
      <c r="D707" s="34"/>
      <c r="E707" s="34"/>
    </row>
    <row r="708" spans="3:5" ht="15.75" customHeight="1" x14ac:dyDescent="0.2">
      <c r="C708" s="34"/>
      <c r="D708" s="34"/>
      <c r="E708" s="34"/>
    </row>
    <row r="709" spans="3:5" ht="15.75" customHeight="1" x14ac:dyDescent="0.2">
      <c r="C709" s="34"/>
      <c r="D709" s="34"/>
      <c r="E709" s="34"/>
    </row>
    <row r="710" spans="3:5" ht="15.75" customHeight="1" x14ac:dyDescent="0.2">
      <c r="C710" s="34"/>
      <c r="D710" s="34"/>
      <c r="E710" s="34"/>
    </row>
    <row r="711" spans="3:5" ht="15.75" customHeight="1" x14ac:dyDescent="0.2">
      <c r="C711" s="34"/>
      <c r="D711" s="34"/>
      <c r="E711" s="34"/>
    </row>
    <row r="712" spans="3:5" ht="15.75" customHeight="1" x14ac:dyDescent="0.2">
      <c r="C712" s="34"/>
      <c r="D712" s="34"/>
      <c r="E712" s="34"/>
    </row>
    <row r="713" spans="3:5" ht="15.75" customHeight="1" x14ac:dyDescent="0.2">
      <c r="C713" s="34"/>
      <c r="D713" s="34"/>
      <c r="E713" s="34"/>
    </row>
    <row r="714" spans="3:5" ht="15.75" customHeight="1" x14ac:dyDescent="0.2">
      <c r="C714" s="34"/>
      <c r="D714" s="34"/>
      <c r="E714" s="34"/>
    </row>
    <row r="715" spans="3:5" ht="15.75" customHeight="1" x14ac:dyDescent="0.2">
      <c r="C715" s="34"/>
      <c r="D715" s="34"/>
      <c r="E715" s="34"/>
    </row>
    <row r="716" spans="3:5" ht="15.75" customHeight="1" x14ac:dyDescent="0.2">
      <c r="C716" s="34"/>
      <c r="D716" s="34"/>
      <c r="E716" s="34"/>
    </row>
    <row r="717" spans="3:5" ht="15.75" customHeight="1" x14ac:dyDescent="0.2">
      <c r="C717" s="34"/>
      <c r="D717" s="34"/>
      <c r="E717" s="34"/>
    </row>
    <row r="718" spans="3:5" ht="15.75" customHeight="1" x14ac:dyDescent="0.2">
      <c r="C718" s="34"/>
      <c r="D718" s="34"/>
      <c r="E718" s="34"/>
    </row>
    <row r="719" spans="3:5" ht="15.75" customHeight="1" x14ac:dyDescent="0.2">
      <c r="C719" s="34"/>
      <c r="D719" s="34"/>
      <c r="E719" s="34"/>
    </row>
    <row r="720" spans="3:5" ht="15.75" customHeight="1" x14ac:dyDescent="0.2">
      <c r="C720" s="34"/>
      <c r="D720" s="34"/>
      <c r="E720" s="34"/>
    </row>
    <row r="721" spans="3:5" ht="15.75" customHeight="1" x14ac:dyDescent="0.2">
      <c r="C721" s="34"/>
      <c r="D721" s="34"/>
      <c r="E721" s="34"/>
    </row>
    <row r="722" spans="3:5" ht="15.75" customHeight="1" x14ac:dyDescent="0.2">
      <c r="C722" s="34"/>
      <c r="D722" s="34"/>
      <c r="E722" s="34"/>
    </row>
    <row r="723" spans="3:5" ht="15.75" customHeight="1" x14ac:dyDescent="0.2">
      <c r="C723" s="34"/>
      <c r="D723" s="34"/>
      <c r="E723" s="34"/>
    </row>
    <row r="724" spans="3:5" ht="15.75" customHeight="1" x14ac:dyDescent="0.2">
      <c r="C724" s="34"/>
      <c r="D724" s="34"/>
      <c r="E724" s="34"/>
    </row>
    <row r="725" spans="3:5" ht="15.75" customHeight="1" x14ac:dyDescent="0.2">
      <c r="C725" s="34"/>
      <c r="D725" s="34"/>
      <c r="E725" s="34"/>
    </row>
    <row r="726" spans="3:5" ht="15.75" customHeight="1" x14ac:dyDescent="0.2">
      <c r="C726" s="34"/>
      <c r="D726" s="34"/>
      <c r="E726" s="34"/>
    </row>
    <row r="727" spans="3:5" ht="15.75" customHeight="1" x14ac:dyDescent="0.2">
      <c r="C727" s="34"/>
      <c r="D727" s="34"/>
      <c r="E727" s="34"/>
    </row>
    <row r="728" spans="3:5" ht="15.75" customHeight="1" x14ac:dyDescent="0.2">
      <c r="C728" s="34"/>
      <c r="D728" s="34"/>
      <c r="E728" s="34"/>
    </row>
    <row r="729" spans="3:5" ht="15.75" customHeight="1" x14ac:dyDescent="0.2">
      <c r="C729" s="34"/>
      <c r="D729" s="34"/>
      <c r="E729" s="34"/>
    </row>
    <row r="730" spans="3:5" ht="15.75" customHeight="1" x14ac:dyDescent="0.2">
      <c r="C730" s="34"/>
      <c r="D730" s="34"/>
      <c r="E730" s="34"/>
    </row>
    <row r="731" spans="3:5" ht="15.75" customHeight="1" x14ac:dyDescent="0.2">
      <c r="C731" s="34"/>
      <c r="D731" s="34"/>
      <c r="E731" s="34"/>
    </row>
    <row r="732" spans="3:5" ht="15.75" customHeight="1" x14ac:dyDescent="0.2">
      <c r="C732" s="34"/>
      <c r="D732" s="34"/>
      <c r="E732" s="34"/>
    </row>
    <row r="733" spans="3:5" ht="15.75" customHeight="1" x14ac:dyDescent="0.2">
      <c r="C733" s="34"/>
      <c r="D733" s="34"/>
      <c r="E733" s="34"/>
    </row>
    <row r="734" spans="3:5" ht="15.75" customHeight="1" x14ac:dyDescent="0.2">
      <c r="C734" s="34"/>
      <c r="D734" s="34"/>
      <c r="E734" s="34"/>
    </row>
    <row r="735" spans="3:5" ht="15.75" customHeight="1" x14ac:dyDescent="0.2">
      <c r="C735" s="34"/>
      <c r="D735" s="34"/>
      <c r="E735" s="34"/>
    </row>
    <row r="736" spans="3:5" ht="15.75" customHeight="1" x14ac:dyDescent="0.2">
      <c r="C736" s="34"/>
      <c r="D736" s="34"/>
      <c r="E736" s="34"/>
    </row>
    <row r="737" spans="3:5" ht="15.75" customHeight="1" x14ac:dyDescent="0.2">
      <c r="C737" s="34"/>
      <c r="D737" s="34"/>
      <c r="E737" s="34"/>
    </row>
    <row r="738" spans="3:5" ht="15.75" customHeight="1" x14ac:dyDescent="0.2">
      <c r="C738" s="34"/>
      <c r="D738" s="34"/>
      <c r="E738" s="34"/>
    </row>
    <row r="739" spans="3:5" ht="15.75" customHeight="1" x14ac:dyDescent="0.2">
      <c r="C739" s="34"/>
      <c r="D739" s="34"/>
      <c r="E739" s="34"/>
    </row>
    <row r="740" spans="3:5" ht="15.75" customHeight="1" x14ac:dyDescent="0.2">
      <c r="C740" s="34"/>
      <c r="D740" s="34"/>
      <c r="E740" s="34"/>
    </row>
    <row r="741" spans="3:5" ht="15.75" customHeight="1" x14ac:dyDescent="0.2">
      <c r="C741" s="34"/>
      <c r="D741" s="34"/>
      <c r="E741" s="34"/>
    </row>
    <row r="742" spans="3:5" ht="15.75" customHeight="1" x14ac:dyDescent="0.2">
      <c r="C742" s="34"/>
      <c r="D742" s="34"/>
      <c r="E742" s="34"/>
    </row>
    <row r="743" spans="3:5" ht="15.75" customHeight="1" x14ac:dyDescent="0.2">
      <c r="C743" s="34"/>
      <c r="D743" s="34"/>
      <c r="E743" s="34"/>
    </row>
    <row r="744" spans="3:5" ht="15.75" customHeight="1" x14ac:dyDescent="0.2">
      <c r="C744" s="34"/>
      <c r="D744" s="34"/>
      <c r="E744" s="34"/>
    </row>
    <row r="745" spans="3:5" ht="15.75" customHeight="1" x14ac:dyDescent="0.2">
      <c r="C745" s="34"/>
      <c r="D745" s="34"/>
      <c r="E745" s="34"/>
    </row>
    <row r="746" spans="3:5" ht="15.75" customHeight="1" x14ac:dyDescent="0.2">
      <c r="C746" s="34"/>
      <c r="D746" s="34"/>
      <c r="E746" s="34"/>
    </row>
    <row r="747" spans="3:5" ht="15.75" customHeight="1" x14ac:dyDescent="0.2">
      <c r="C747" s="34"/>
      <c r="D747" s="34"/>
      <c r="E747" s="34"/>
    </row>
    <row r="748" spans="3:5" ht="15.75" customHeight="1" x14ac:dyDescent="0.2">
      <c r="C748" s="34"/>
      <c r="D748" s="34"/>
      <c r="E748" s="34"/>
    </row>
    <row r="749" spans="3:5" ht="15.75" customHeight="1" x14ac:dyDescent="0.2">
      <c r="C749" s="34"/>
      <c r="D749" s="34"/>
      <c r="E749" s="34"/>
    </row>
    <row r="750" spans="3:5" ht="15.75" customHeight="1" x14ac:dyDescent="0.2">
      <c r="C750" s="34"/>
      <c r="D750" s="34"/>
      <c r="E750" s="34"/>
    </row>
    <row r="751" spans="3:5" ht="15.75" customHeight="1" x14ac:dyDescent="0.2">
      <c r="C751" s="34"/>
      <c r="D751" s="34"/>
      <c r="E751" s="34"/>
    </row>
    <row r="752" spans="3:5" ht="15.75" customHeight="1" x14ac:dyDescent="0.2">
      <c r="C752" s="34"/>
      <c r="D752" s="34"/>
      <c r="E752" s="34"/>
    </row>
    <row r="753" spans="3:5" ht="15.75" customHeight="1" x14ac:dyDescent="0.2">
      <c r="C753" s="34"/>
      <c r="D753" s="34"/>
      <c r="E753" s="34"/>
    </row>
    <row r="754" spans="3:5" ht="15.75" customHeight="1" x14ac:dyDescent="0.2">
      <c r="C754" s="34"/>
      <c r="D754" s="34"/>
      <c r="E754" s="34"/>
    </row>
    <row r="755" spans="3:5" ht="15.75" customHeight="1" x14ac:dyDescent="0.2">
      <c r="C755" s="34"/>
      <c r="D755" s="34"/>
      <c r="E755" s="34"/>
    </row>
    <row r="756" spans="3:5" ht="15.75" customHeight="1" x14ac:dyDescent="0.2">
      <c r="C756" s="34"/>
      <c r="D756" s="34"/>
      <c r="E756" s="34"/>
    </row>
    <row r="757" spans="3:5" ht="15.75" customHeight="1" x14ac:dyDescent="0.2">
      <c r="C757" s="34"/>
      <c r="D757" s="34"/>
      <c r="E757" s="34"/>
    </row>
    <row r="758" spans="3:5" ht="15.75" customHeight="1" x14ac:dyDescent="0.2">
      <c r="C758" s="34"/>
      <c r="D758" s="34"/>
      <c r="E758" s="34"/>
    </row>
    <row r="759" spans="3:5" ht="15.75" customHeight="1" x14ac:dyDescent="0.2">
      <c r="C759" s="34"/>
      <c r="D759" s="34"/>
      <c r="E759" s="34"/>
    </row>
    <row r="760" spans="3:5" ht="15.75" customHeight="1" x14ac:dyDescent="0.2">
      <c r="C760" s="34"/>
      <c r="D760" s="34"/>
      <c r="E760" s="34"/>
    </row>
    <row r="761" spans="3:5" ht="15.75" customHeight="1" x14ac:dyDescent="0.2">
      <c r="C761" s="34"/>
      <c r="D761" s="34"/>
      <c r="E761" s="34"/>
    </row>
    <row r="762" spans="3:5" ht="15.75" customHeight="1" x14ac:dyDescent="0.2">
      <c r="C762" s="34"/>
      <c r="D762" s="34"/>
      <c r="E762" s="34"/>
    </row>
    <row r="763" spans="3:5" ht="15.75" customHeight="1" x14ac:dyDescent="0.2">
      <c r="C763" s="34"/>
      <c r="D763" s="34"/>
      <c r="E763" s="34"/>
    </row>
    <row r="764" spans="3:5" ht="15.75" customHeight="1" x14ac:dyDescent="0.2">
      <c r="C764" s="34"/>
      <c r="D764" s="34"/>
      <c r="E764" s="34"/>
    </row>
    <row r="765" spans="3:5" ht="15.75" customHeight="1" x14ac:dyDescent="0.2">
      <c r="C765" s="34"/>
      <c r="D765" s="34"/>
      <c r="E765" s="34"/>
    </row>
    <row r="766" spans="3:5" ht="15.75" customHeight="1" x14ac:dyDescent="0.2">
      <c r="C766" s="34"/>
      <c r="D766" s="34"/>
      <c r="E766" s="34"/>
    </row>
    <row r="767" spans="3:5" ht="15.75" customHeight="1" x14ac:dyDescent="0.2">
      <c r="C767" s="34"/>
      <c r="D767" s="34"/>
      <c r="E767" s="34"/>
    </row>
    <row r="768" spans="3:5" ht="15.75" customHeight="1" x14ac:dyDescent="0.2">
      <c r="C768" s="34"/>
      <c r="D768" s="34"/>
      <c r="E768" s="34"/>
    </row>
    <row r="769" spans="3:5" ht="15.75" customHeight="1" x14ac:dyDescent="0.2">
      <c r="C769" s="34"/>
      <c r="D769" s="34"/>
      <c r="E769" s="34"/>
    </row>
    <row r="770" spans="3:5" ht="15.75" customHeight="1" x14ac:dyDescent="0.2">
      <c r="C770" s="34"/>
      <c r="D770" s="34"/>
      <c r="E770" s="34"/>
    </row>
    <row r="771" spans="3:5" ht="15.75" customHeight="1" x14ac:dyDescent="0.2">
      <c r="C771" s="34"/>
      <c r="D771" s="34"/>
      <c r="E771" s="34"/>
    </row>
    <row r="772" spans="3:5" ht="15.75" customHeight="1" x14ac:dyDescent="0.2">
      <c r="C772" s="34"/>
      <c r="D772" s="34"/>
      <c r="E772" s="34"/>
    </row>
    <row r="773" spans="3:5" ht="15.75" customHeight="1" x14ac:dyDescent="0.2">
      <c r="C773" s="34"/>
      <c r="D773" s="34"/>
      <c r="E773" s="34"/>
    </row>
    <row r="774" spans="3:5" ht="15.75" customHeight="1" x14ac:dyDescent="0.2">
      <c r="C774" s="34"/>
      <c r="D774" s="34"/>
      <c r="E774" s="34"/>
    </row>
    <row r="775" spans="3:5" ht="15.75" customHeight="1" x14ac:dyDescent="0.2">
      <c r="C775" s="34"/>
      <c r="D775" s="34"/>
      <c r="E775" s="34"/>
    </row>
    <row r="776" spans="3:5" ht="15.75" customHeight="1" x14ac:dyDescent="0.2">
      <c r="C776" s="34"/>
      <c r="D776" s="34"/>
      <c r="E776" s="34"/>
    </row>
    <row r="777" spans="3:5" ht="15.75" customHeight="1" x14ac:dyDescent="0.2">
      <c r="C777" s="34"/>
      <c r="D777" s="34"/>
      <c r="E777" s="34"/>
    </row>
    <row r="778" spans="3:5" ht="15.75" customHeight="1" x14ac:dyDescent="0.2">
      <c r="C778" s="34"/>
      <c r="D778" s="34"/>
      <c r="E778" s="34"/>
    </row>
    <row r="779" spans="3:5" ht="15.75" customHeight="1" x14ac:dyDescent="0.2">
      <c r="C779" s="34"/>
      <c r="D779" s="34"/>
      <c r="E779" s="34"/>
    </row>
    <row r="780" spans="3:5" ht="15.75" customHeight="1" x14ac:dyDescent="0.2">
      <c r="C780" s="34"/>
      <c r="D780" s="34"/>
      <c r="E780" s="34"/>
    </row>
    <row r="781" spans="3:5" ht="15.75" customHeight="1" x14ac:dyDescent="0.2">
      <c r="C781" s="34"/>
      <c r="D781" s="34"/>
      <c r="E781" s="34"/>
    </row>
    <row r="782" spans="3:5" ht="15.75" customHeight="1" x14ac:dyDescent="0.2">
      <c r="C782" s="34"/>
      <c r="D782" s="34"/>
      <c r="E782" s="34"/>
    </row>
    <row r="783" spans="3:5" ht="15.75" customHeight="1" x14ac:dyDescent="0.2">
      <c r="C783" s="34"/>
      <c r="D783" s="34"/>
      <c r="E783" s="34"/>
    </row>
    <row r="784" spans="3:5" ht="15.75" customHeight="1" x14ac:dyDescent="0.2">
      <c r="C784" s="34"/>
      <c r="D784" s="34"/>
      <c r="E784" s="34"/>
    </row>
    <row r="785" spans="3:5" ht="15.75" customHeight="1" x14ac:dyDescent="0.2">
      <c r="C785" s="34"/>
      <c r="D785" s="34"/>
      <c r="E785" s="34"/>
    </row>
    <row r="786" spans="3:5" ht="15.75" customHeight="1" x14ac:dyDescent="0.2">
      <c r="C786" s="34"/>
      <c r="D786" s="34"/>
      <c r="E786" s="34"/>
    </row>
    <row r="787" spans="3:5" ht="15.75" customHeight="1" x14ac:dyDescent="0.2">
      <c r="C787" s="34"/>
      <c r="D787" s="34"/>
      <c r="E787" s="34"/>
    </row>
    <row r="788" spans="3:5" ht="15.75" customHeight="1" x14ac:dyDescent="0.2">
      <c r="C788" s="34"/>
      <c r="D788" s="34"/>
      <c r="E788" s="34"/>
    </row>
    <row r="789" spans="3:5" ht="15.75" customHeight="1" x14ac:dyDescent="0.2">
      <c r="C789" s="34"/>
      <c r="D789" s="34"/>
      <c r="E789" s="34"/>
    </row>
    <row r="790" spans="3:5" ht="15.75" customHeight="1" x14ac:dyDescent="0.2">
      <c r="C790" s="34"/>
      <c r="D790" s="34"/>
      <c r="E790" s="34"/>
    </row>
    <row r="791" spans="3:5" ht="15.75" customHeight="1" x14ac:dyDescent="0.2">
      <c r="C791" s="34"/>
      <c r="D791" s="34"/>
      <c r="E791" s="34"/>
    </row>
    <row r="792" spans="3:5" ht="15.75" customHeight="1" x14ac:dyDescent="0.2">
      <c r="C792" s="34"/>
      <c r="D792" s="34"/>
      <c r="E792" s="34"/>
    </row>
    <row r="793" spans="3:5" ht="15.75" customHeight="1" x14ac:dyDescent="0.2">
      <c r="C793" s="34"/>
      <c r="D793" s="34"/>
      <c r="E793" s="34"/>
    </row>
    <row r="794" spans="3:5" ht="15.75" customHeight="1" x14ac:dyDescent="0.2">
      <c r="C794" s="34"/>
      <c r="D794" s="34"/>
      <c r="E794" s="34"/>
    </row>
    <row r="795" spans="3:5" ht="15.75" customHeight="1" x14ac:dyDescent="0.2">
      <c r="C795" s="34"/>
      <c r="D795" s="34"/>
      <c r="E795" s="34"/>
    </row>
    <row r="796" spans="3:5" ht="15.75" customHeight="1" x14ac:dyDescent="0.2">
      <c r="C796" s="34"/>
      <c r="D796" s="34"/>
      <c r="E796" s="34"/>
    </row>
    <row r="797" spans="3:5" ht="15.75" customHeight="1" x14ac:dyDescent="0.2">
      <c r="C797" s="34"/>
      <c r="D797" s="34"/>
      <c r="E797" s="34"/>
    </row>
    <row r="798" spans="3:5" ht="15.75" customHeight="1" x14ac:dyDescent="0.2">
      <c r="C798" s="34"/>
      <c r="D798" s="34"/>
      <c r="E798" s="34"/>
    </row>
    <row r="799" spans="3:5" ht="15.75" customHeight="1" x14ac:dyDescent="0.2">
      <c r="C799" s="34"/>
      <c r="D799" s="34"/>
      <c r="E799" s="34"/>
    </row>
    <row r="800" spans="3:5" ht="15.75" customHeight="1" x14ac:dyDescent="0.2">
      <c r="C800" s="34"/>
      <c r="D800" s="34"/>
      <c r="E800" s="34"/>
    </row>
    <row r="801" spans="3:5" ht="15.75" customHeight="1" x14ac:dyDescent="0.2">
      <c r="C801" s="34"/>
      <c r="D801" s="34"/>
      <c r="E801" s="34"/>
    </row>
    <row r="802" spans="3:5" ht="15.75" customHeight="1" x14ac:dyDescent="0.2">
      <c r="C802" s="34"/>
      <c r="D802" s="34"/>
      <c r="E802" s="34"/>
    </row>
    <row r="803" spans="3:5" ht="15.75" customHeight="1" x14ac:dyDescent="0.2">
      <c r="C803" s="34"/>
      <c r="D803" s="34"/>
      <c r="E803" s="34"/>
    </row>
    <row r="804" spans="3:5" ht="15.75" customHeight="1" x14ac:dyDescent="0.2">
      <c r="C804" s="34"/>
      <c r="D804" s="34"/>
      <c r="E804" s="34"/>
    </row>
    <row r="805" spans="3:5" ht="15.75" customHeight="1" x14ac:dyDescent="0.2">
      <c r="C805" s="34"/>
      <c r="D805" s="34"/>
      <c r="E805" s="34"/>
    </row>
    <row r="806" spans="3:5" ht="15.75" customHeight="1" x14ac:dyDescent="0.2">
      <c r="C806" s="34"/>
      <c r="D806" s="34"/>
      <c r="E806" s="34"/>
    </row>
    <row r="807" spans="3:5" ht="15.75" customHeight="1" x14ac:dyDescent="0.2">
      <c r="C807" s="34"/>
      <c r="D807" s="34"/>
      <c r="E807" s="34"/>
    </row>
    <row r="808" spans="3:5" ht="15.75" customHeight="1" x14ac:dyDescent="0.2">
      <c r="C808" s="34"/>
      <c r="D808" s="34"/>
      <c r="E808" s="34"/>
    </row>
    <row r="809" spans="3:5" ht="15.75" customHeight="1" x14ac:dyDescent="0.2">
      <c r="C809" s="34"/>
      <c r="D809" s="34"/>
      <c r="E809" s="34"/>
    </row>
    <row r="810" spans="3:5" ht="15.75" customHeight="1" x14ac:dyDescent="0.2">
      <c r="C810" s="34"/>
      <c r="D810" s="34"/>
      <c r="E810" s="34"/>
    </row>
    <row r="811" spans="3:5" ht="15.75" customHeight="1" x14ac:dyDescent="0.2">
      <c r="C811" s="34"/>
      <c r="D811" s="34"/>
      <c r="E811" s="34"/>
    </row>
    <row r="812" spans="3:5" ht="15.75" customHeight="1" x14ac:dyDescent="0.2">
      <c r="C812" s="34"/>
      <c r="D812" s="34"/>
      <c r="E812" s="34"/>
    </row>
    <row r="813" spans="3:5" ht="15.75" customHeight="1" x14ac:dyDescent="0.2">
      <c r="C813" s="34"/>
      <c r="D813" s="34"/>
      <c r="E813" s="34"/>
    </row>
    <row r="814" spans="3:5" ht="15.75" customHeight="1" x14ac:dyDescent="0.2">
      <c r="C814" s="34"/>
      <c r="D814" s="34"/>
      <c r="E814" s="34"/>
    </row>
    <row r="815" spans="3:5" ht="15.75" customHeight="1" x14ac:dyDescent="0.2">
      <c r="C815" s="34"/>
      <c r="D815" s="34"/>
      <c r="E815" s="34"/>
    </row>
    <row r="816" spans="3:5" ht="15.75" customHeight="1" x14ac:dyDescent="0.2">
      <c r="C816" s="34"/>
      <c r="D816" s="34"/>
      <c r="E816" s="34"/>
    </row>
    <row r="817" spans="3:5" ht="15.75" customHeight="1" x14ac:dyDescent="0.2">
      <c r="C817" s="34"/>
      <c r="D817" s="34"/>
      <c r="E817" s="34"/>
    </row>
    <row r="818" spans="3:5" ht="15.75" customHeight="1" x14ac:dyDescent="0.2">
      <c r="C818" s="34"/>
      <c r="D818" s="34"/>
      <c r="E818" s="34"/>
    </row>
    <row r="819" spans="3:5" ht="15.75" customHeight="1" x14ac:dyDescent="0.2">
      <c r="C819" s="34"/>
      <c r="D819" s="34"/>
      <c r="E819" s="34"/>
    </row>
    <row r="820" spans="3:5" ht="15.75" customHeight="1" x14ac:dyDescent="0.2">
      <c r="C820" s="34"/>
      <c r="D820" s="34"/>
      <c r="E820" s="34"/>
    </row>
    <row r="821" spans="3:5" ht="15.75" customHeight="1" x14ac:dyDescent="0.2">
      <c r="C821" s="34"/>
      <c r="D821" s="34"/>
      <c r="E821" s="34"/>
    </row>
    <row r="822" spans="3:5" ht="15.75" customHeight="1" x14ac:dyDescent="0.2">
      <c r="C822" s="34"/>
      <c r="D822" s="34"/>
      <c r="E822" s="34"/>
    </row>
    <row r="823" spans="3:5" ht="15.75" customHeight="1" x14ac:dyDescent="0.2">
      <c r="C823" s="34"/>
      <c r="D823" s="34"/>
      <c r="E823" s="34"/>
    </row>
    <row r="824" spans="3:5" ht="15.75" customHeight="1" x14ac:dyDescent="0.2">
      <c r="C824" s="34"/>
      <c r="D824" s="34"/>
      <c r="E824" s="34"/>
    </row>
    <row r="825" spans="3:5" ht="15.75" customHeight="1" x14ac:dyDescent="0.2">
      <c r="C825" s="34"/>
      <c r="D825" s="34"/>
      <c r="E825" s="34"/>
    </row>
    <row r="826" spans="3:5" ht="15.75" customHeight="1" x14ac:dyDescent="0.2">
      <c r="C826" s="34"/>
      <c r="D826" s="34"/>
      <c r="E826" s="34"/>
    </row>
    <row r="827" spans="3:5" ht="15.75" customHeight="1" x14ac:dyDescent="0.2">
      <c r="C827" s="34"/>
      <c r="D827" s="34"/>
      <c r="E827" s="34"/>
    </row>
    <row r="828" spans="3:5" ht="15.75" customHeight="1" x14ac:dyDescent="0.2">
      <c r="C828" s="34"/>
      <c r="D828" s="34"/>
      <c r="E828" s="34"/>
    </row>
    <row r="829" spans="3:5" ht="15.75" customHeight="1" x14ac:dyDescent="0.2">
      <c r="C829" s="34"/>
      <c r="D829" s="34"/>
      <c r="E829" s="34"/>
    </row>
    <row r="830" spans="3:5" ht="15.75" customHeight="1" x14ac:dyDescent="0.2">
      <c r="C830" s="34"/>
      <c r="D830" s="34"/>
      <c r="E830" s="34"/>
    </row>
    <row r="831" spans="3:5" ht="15.75" customHeight="1" x14ac:dyDescent="0.2">
      <c r="C831" s="34"/>
      <c r="D831" s="34"/>
      <c r="E831" s="34"/>
    </row>
    <row r="832" spans="3:5" ht="15.75" customHeight="1" x14ac:dyDescent="0.2">
      <c r="C832" s="34"/>
      <c r="D832" s="34"/>
      <c r="E832" s="34"/>
    </row>
    <row r="833" spans="3:5" ht="15.75" customHeight="1" x14ac:dyDescent="0.2">
      <c r="C833" s="34"/>
      <c r="D833" s="34"/>
      <c r="E833" s="34"/>
    </row>
    <row r="834" spans="3:5" ht="15.75" customHeight="1" x14ac:dyDescent="0.2">
      <c r="C834" s="34"/>
      <c r="D834" s="34"/>
      <c r="E834" s="34"/>
    </row>
    <row r="835" spans="3:5" ht="15.75" customHeight="1" x14ac:dyDescent="0.2">
      <c r="C835" s="34"/>
      <c r="D835" s="34"/>
      <c r="E835" s="34"/>
    </row>
    <row r="836" spans="3:5" ht="15.75" customHeight="1" x14ac:dyDescent="0.2">
      <c r="C836" s="34"/>
      <c r="D836" s="34"/>
      <c r="E836" s="34"/>
    </row>
    <row r="837" spans="3:5" ht="15.75" customHeight="1" x14ac:dyDescent="0.2">
      <c r="C837" s="34"/>
      <c r="D837" s="34"/>
      <c r="E837" s="34"/>
    </row>
    <row r="838" spans="3:5" ht="15.75" customHeight="1" x14ac:dyDescent="0.2">
      <c r="C838" s="34"/>
      <c r="D838" s="34"/>
      <c r="E838" s="34"/>
    </row>
    <row r="839" spans="3:5" ht="15.75" customHeight="1" x14ac:dyDescent="0.2">
      <c r="C839" s="34"/>
      <c r="D839" s="34"/>
      <c r="E839" s="34"/>
    </row>
    <row r="840" spans="3:5" ht="15.75" customHeight="1" x14ac:dyDescent="0.2">
      <c r="C840" s="34"/>
      <c r="D840" s="34"/>
      <c r="E840" s="34"/>
    </row>
    <row r="841" spans="3:5" ht="15.75" customHeight="1" x14ac:dyDescent="0.2">
      <c r="C841" s="34"/>
      <c r="D841" s="34"/>
      <c r="E841" s="34"/>
    </row>
    <row r="842" spans="3:5" ht="15.75" customHeight="1" x14ac:dyDescent="0.2">
      <c r="C842" s="34"/>
      <c r="D842" s="34"/>
      <c r="E842" s="34"/>
    </row>
    <row r="843" spans="3:5" ht="15.75" customHeight="1" x14ac:dyDescent="0.2">
      <c r="C843" s="34"/>
      <c r="D843" s="34"/>
      <c r="E843" s="34"/>
    </row>
    <row r="844" spans="3:5" ht="15.75" customHeight="1" x14ac:dyDescent="0.2">
      <c r="C844" s="34"/>
      <c r="D844" s="34"/>
      <c r="E844" s="34"/>
    </row>
    <row r="845" spans="3:5" ht="15.75" customHeight="1" x14ac:dyDescent="0.2">
      <c r="C845" s="34"/>
      <c r="D845" s="34"/>
      <c r="E845" s="34"/>
    </row>
    <row r="846" spans="3:5" ht="15.75" customHeight="1" x14ac:dyDescent="0.2">
      <c r="C846" s="34"/>
      <c r="D846" s="34"/>
      <c r="E846" s="34"/>
    </row>
    <row r="847" spans="3:5" ht="15.75" customHeight="1" x14ac:dyDescent="0.2">
      <c r="C847" s="34"/>
      <c r="D847" s="34"/>
      <c r="E847" s="34"/>
    </row>
    <row r="848" spans="3:5" ht="15.75" customHeight="1" x14ac:dyDescent="0.2">
      <c r="C848" s="34"/>
      <c r="D848" s="34"/>
      <c r="E848" s="34"/>
    </row>
    <row r="849" spans="3:5" ht="15.75" customHeight="1" x14ac:dyDescent="0.2">
      <c r="C849" s="34"/>
      <c r="D849" s="34"/>
      <c r="E849" s="34"/>
    </row>
    <row r="850" spans="3:5" ht="15.75" customHeight="1" x14ac:dyDescent="0.2">
      <c r="C850" s="34"/>
      <c r="D850" s="34"/>
      <c r="E850" s="34"/>
    </row>
    <row r="851" spans="3:5" ht="15.75" customHeight="1" x14ac:dyDescent="0.2">
      <c r="C851" s="34"/>
      <c r="D851" s="34"/>
      <c r="E851" s="34"/>
    </row>
    <row r="852" spans="3:5" ht="15.75" customHeight="1" x14ac:dyDescent="0.2">
      <c r="C852" s="34"/>
      <c r="D852" s="34"/>
      <c r="E852" s="34"/>
    </row>
    <row r="853" spans="3:5" ht="15.75" customHeight="1" x14ac:dyDescent="0.2">
      <c r="C853" s="34"/>
      <c r="D853" s="34"/>
      <c r="E853" s="34"/>
    </row>
    <row r="854" spans="3:5" ht="15.75" customHeight="1" x14ac:dyDescent="0.2">
      <c r="C854" s="34"/>
      <c r="D854" s="34"/>
      <c r="E854" s="34"/>
    </row>
    <row r="855" spans="3:5" ht="15.75" customHeight="1" x14ac:dyDescent="0.2">
      <c r="C855" s="34"/>
      <c r="D855" s="34"/>
      <c r="E855" s="34"/>
    </row>
    <row r="856" spans="3:5" ht="15.75" customHeight="1" x14ac:dyDescent="0.2">
      <c r="C856" s="34"/>
      <c r="D856" s="34"/>
      <c r="E856" s="34"/>
    </row>
    <row r="857" spans="3:5" ht="15.75" customHeight="1" x14ac:dyDescent="0.2">
      <c r="C857" s="34"/>
      <c r="D857" s="34"/>
      <c r="E857" s="34"/>
    </row>
    <row r="858" spans="3:5" ht="15.75" customHeight="1" x14ac:dyDescent="0.2">
      <c r="C858" s="34"/>
      <c r="D858" s="34"/>
      <c r="E858" s="34"/>
    </row>
    <row r="859" spans="3:5" ht="15.75" customHeight="1" x14ac:dyDescent="0.2">
      <c r="C859" s="34"/>
      <c r="D859" s="34"/>
      <c r="E859" s="34"/>
    </row>
    <row r="860" spans="3:5" ht="15.75" customHeight="1" x14ac:dyDescent="0.2">
      <c r="C860" s="34"/>
      <c r="D860" s="34"/>
      <c r="E860" s="34"/>
    </row>
    <row r="861" spans="3:5" ht="15.75" customHeight="1" x14ac:dyDescent="0.2">
      <c r="C861" s="34"/>
      <c r="D861" s="34"/>
      <c r="E861" s="34"/>
    </row>
    <row r="862" spans="3:5" ht="15.75" customHeight="1" x14ac:dyDescent="0.2">
      <c r="C862" s="34"/>
      <c r="D862" s="34"/>
      <c r="E862" s="34"/>
    </row>
    <row r="863" spans="3:5" ht="15.75" customHeight="1" x14ac:dyDescent="0.2">
      <c r="C863" s="34"/>
      <c r="D863" s="34"/>
      <c r="E863" s="34"/>
    </row>
    <row r="864" spans="3:5" ht="15.75" customHeight="1" x14ac:dyDescent="0.2">
      <c r="C864" s="34"/>
      <c r="D864" s="34"/>
      <c r="E864" s="34"/>
    </row>
    <row r="865" spans="3:5" ht="15.75" customHeight="1" x14ac:dyDescent="0.2">
      <c r="C865" s="34"/>
      <c r="D865" s="34"/>
      <c r="E865" s="34"/>
    </row>
    <row r="866" spans="3:5" ht="15.75" customHeight="1" x14ac:dyDescent="0.2">
      <c r="C866" s="34"/>
      <c r="D866" s="34"/>
      <c r="E866" s="34"/>
    </row>
    <row r="867" spans="3:5" ht="15.75" customHeight="1" x14ac:dyDescent="0.2">
      <c r="C867" s="34"/>
      <c r="D867" s="34"/>
      <c r="E867" s="34"/>
    </row>
    <row r="868" spans="3:5" ht="15.75" customHeight="1" x14ac:dyDescent="0.2">
      <c r="C868" s="34"/>
      <c r="D868" s="34"/>
      <c r="E868" s="34"/>
    </row>
    <row r="869" spans="3:5" ht="15.75" customHeight="1" x14ac:dyDescent="0.2">
      <c r="C869" s="34"/>
      <c r="D869" s="34"/>
      <c r="E869" s="34"/>
    </row>
    <row r="870" spans="3:5" ht="15.75" customHeight="1" x14ac:dyDescent="0.2">
      <c r="C870" s="34"/>
      <c r="D870" s="34"/>
      <c r="E870" s="34"/>
    </row>
    <row r="871" spans="3:5" ht="15.75" customHeight="1" x14ac:dyDescent="0.2">
      <c r="C871" s="34"/>
      <c r="D871" s="34"/>
      <c r="E871" s="34"/>
    </row>
    <row r="872" spans="3:5" ht="15.75" customHeight="1" x14ac:dyDescent="0.2">
      <c r="C872" s="34"/>
      <c r="D872" s="34"/>
      <c r="E872" s="34"/>
    </row>
    <row r="873" spans="3:5" ht="15.75" customHeight="1" x14ac:dyDescent="0.2">
      <c r="C873" s="34"/>
      <c r="D873" s="34"/>
      <c r="E873" s="34"/>
    </row>
    <row r="874" spans="3:5" ht="15.75" customHeight="1" x14ac:dyDescent="0.2">
      <c r="C874" s="34"/>
      <c r="D874" s="34"/>
      <c r="E874" s="34"/>
    </row>
    <row r="875" spans="3:5" ht="15.75" customHeight="1" x14ac:dyDescent="0.2">
      <c r="C875" s="34"/>
      <c r="D875" s="34"/>
      <c r="E875" s="34"/>
    </row>
    <row r="876" spans="3:5" ht="15.75" customHeight="1" x14ac:dyDescent="0.2">
      <c r="C876" s="34"/>
      <c r="D876" s="34"/>
      <c r="E876" s="34"/>
    </row>
    <row r="877" spans="3:5" ht="15.75" customHeight="1" x14ac:dyDescent="0.2">
      <c r="C877" s="34"/>
      <c r="D877" s="34"/>
      <c r="E877" s="34"/>
    </row>
    <row r="878" spans="3:5" ht="15.75" customHeight="1" x14ac:dyDescent="0.2">
      <c r="C878" s="34"/>
      <c r="D878" s="34"/>
      <c r="E878" s="34"/>
    </row>
    <row r="879" spans="3:5" ht="15.75" customHeight="1" x14ac:dyDescent="0.2">
      <c r="C879" s="34"/>
      <c r="D879" s="34"/>
      <c r="E879" s="34"/>
    </row>
    <row r="880" spans="3:5" ht="15.75" customHeight="1" x14ac:dyDescent="0.2">
      <c r="C880" s="34"/>
      <c r="D880" s="34"/>
      <c r="E880" s="34"/>
    </row>
    <row r="881" spans="3:5" ht="15.75" customHeight="1" x14ac:dyDescent="0.2">
      <c r="C881" s="34"/>
      <c r="D881" s="34"/>
      <c r="E881" s="34"/>
    </row>
    <row r="882" spans="3:5" ht="15.75" customHeight="1" x14ac:dyDescent="0.2">
      <c r="C882" s="34"/>
      <c r="D882" s="34"/>
      <c r="E882" s="34"/>
    </row>
    <row r="883" spans="3:5" ht="15.75" customHeight="1" x14ac:dyDescent="0.2">
      <c r="C883" s="34"/>
      <c r="D883" s="34"/>
      <c r="E883" s="34"/>
    </row>
    <row r="884" spans="3:5" ht="15.75" customHeight="1" x14ac:dyDescent="0.2">
      <c r="C884" s="34"/>
      <c r="D884" s="34"/>
      <c r="E884" s="34"/>
    </row>
    <row r="885" spans="3:5" ht="15.75" customHeight="1" x14ac:dyDescent="0.2">
      <c r="C885" s="34"/>
      <c r="D885" s="34"/>
      <c r="E885" s="34"/>
    </row>
    <row r="886" spans="3:5" ht="15.75" customHeight="1" x14ac:dyDescent="0.2">
      <c r="C886" s="34"/>
      <c r="D886" s="34"/>
      <c r="E886" s="34"/>
    </row>
    <row r="887" spans="3:5" ht="15.75" customHeight="1" x14ac:dyDescent="0.2">
      <c r="C887" s="34"/>
      <c r="D887" s="34"/>
      <c r="E887" s="34"/>
    </row>
    <row r="888" spans="3:5" ht="15.75" customHeight="1" x14ac:dyDescent="0.2">
      <c r="C888" s="34"/>
      <c r="D888" s="34"/>
      <c r="E888" s="34"/>
    </row>
    <row r="889" spans="3:5" ht="15.75" customHeight="1" x14ac:dyDescent="0.2">
      <c r="C889" s="34"/>
      <c r="D889" s="34"/>
      <c r="E889" s="34"/>
    </row>
    <row r="890" spans="3:5" ht="15.75" customHeight="1" x14ac:dyDescent="0.2">
      <c r="C890" s="34"/>
      <c r="D890" s="34"/>
      <c r="E890" s="34"/>
    </row>
    <row r="891" spans="3:5" ht="15.75" customHeight="1" x14ac:dyDescent="0.2">
      <c r="C891" s="34"/>
      <c r="D891" s="34"/>
      <c r="E891" s="34"/>
    </row>
    <row r="892" spans="3:5" ht="15.75" customHeight="1" x14ac:dyDescent="0.2">
      <c r="C892" s="34"/>
      <c r="D892" s="34"/>
      <c r="E892" s="34"/>
    </row>
    <row r="893" spans="3:5" ht="15.75" customHeight="1" x14ac:dyDescent="0.2">
      <c r="C893" s="34"/>
      <c r="D893" s="34"/>
      <c r="E893" s="34"/>
    </row>
    <row r="894" spans="3:5" ht="15.75" customHeight="1" x14ac:dyDescent="0.2">
      <c r="C894" s="34"/>
      <c r="D894" s="34"/>
      <c r="E894" s="34"/>
    </row>
    <row r="895" spans="3:5" ht="15.75" customHeight="1" x14ac:dyDescent="0.2">
      <c r="C895" s="34"/>
      <c r="D895" s="34"/>
      <c r="E895" s="34"/>
    </row>
    <row r="896" spans="3:5" ht="15.75" customHeight="1" x14ac:dyDescent="0.2">
      <c r="C896" s="34"/>
      <c r="D896" s="34"/>
      <c r="E896" s="34"/>
    </row>
    <row r="897" spans="3:5" ht="15.75" customHeight="1" x14ac:dyDescent="0.2">
      <c r="C897" s="34"/>
      <c r="D897" s="34"/>
      <c r="E897" s="34"/>
    </row>
    <row r="898" spans="3:5" ht="15.75" customHeight="1" x14ac:dyDescent="0.2">
      <c r="C898" s="34"/>
      <c r="D898" s="34"/>
      <c r="E898" s="34"/>
    </row>
    <row r="899" spans="3:5" ht="15.75" customHeight="1" x14ac:dyDescent="0.2">
      <c r="C899" s="34"/>
      <c r="D899" s="34"/>
      <c r="E899" s="34"/>
    </row>
    <row r="900" spans="3:5" ht="15.75" customHeight="1" x14ac:dyDescent="0.2">
      <c r="C900" s="34"/>
      <c r="D900" s="34"/>
      <c r="E900" s="34"/>
    </row>
    <row r="901" spans="3:5" ht="15.75" customHeight="1" x14ac:dyDescent="0.2">
      <c r="C901" s="34"/>
      <c r="D901" s="34"/>
      <c r="E901" s="34"/>
    </row>
    <row r="902" spans="3:5" ht="15.75" customHeight="1" x14ac:dyDescent="0.2">
      <c r="C902" s="34"/>
      <c r="D902" s="34"/>
      <c r="E902" s="34"/>
    </row>
    <row r="903" spans="3:5" ht="15.75" customHeight="1" x14ac:dyDescent="0.2">
      <c r="C903" s="34"/>
      <c r="D903" s="34"/>
      <c r="E903" s="34"/>
    </row>
    <row r="904" spans="3:5" ht="15.75" customHeight="1" x14ac:dyDescent="0.2">
      <c r="C904" s="34"/>
      <c r="D904" s="34"/>
      <c r="E904" s="34"/>
    </row>
    <row r="905" spans="3:5" ht="15.75" customHeight="1" x14ac:dyDescent="0.2">
      <c r="C905" s="34"/>
      <c r="D905" s="34"/>
      <c r="E905" s="34"/>
    </row>
    <row r="906" spans="3:5" ht="15.75" customHeight="1" x14ac:dyDescent="0.2">
      <c r="C906" s="34"/>
      <c r="D906" s="34"/>
      <c r="E906" s="34"/>
    </row>
    <row r="907" spans="3:5" ht="15.75" customHeight="1" x14ac:dyDescent="0.2">
      <c r="C907" s="34"/>
      <c r="D907" s="34"/>
      <c r="E907" s="34"/>
    </row>
    <row r="908" spans="3:5" ht="15.75" customHeight="1" x14ac:dyDescent="0.2">
      <c r="C908" s="34"/>
      <c r="D908" s="34"/>
      <c r="E908" s="34"/>
    </row>
    <row r="909" spans="3:5" ht="15.75" customHeight="1" x14ac:dyDescent="0.2">
      <c r="C909" s="34"/>
      <c r="D909" s="34"/>
      <c r="E909" s="34"/>
    </row>
    <row r="910" spans="3:5" ht="15.75" customHeight="1" x14ac:dyDescent="0.2">
      <c r="C910" s="34"/>
      <c r="D910" s="34"/>
      <c r="E910" s="34"/>
    </row>
    <row r="911" spans="3:5" ht="15.75" customHeight="1" x14ac:dyDescent="0.2">
      <c r="C911" s="34"/>
      <c r="D911" s="34"/>
      <c r="E911" s="34"/>
    </row>
    <row r="912" spans="3:5" ht="15.75" customHeight="1" x14ac:dyDescent="0.2">
      <c r="C912" s="34"/>
      <c r="D912" s="34"/>
      <c r="E912" s="34"/>
    </row>
    <row r="913" spans="3:5" ht="15.75" customHeight="1" x14ac:dyDescent="0.2">
      <c r="C913" s="34"/>
      <c r="D913" s="34"/>
      <c r="E913" s="34"/>
    </row>
    <row r="914" spans="3:5" ht="15.75" customHeight="1" x14ac:dyDescent="0.2">
      <c r="C914" s="34"/>
      <c r="D914" s="34"/>
      <c r="E914" s="34"/>
    </row>
    <row r="915" spans="3:5" ht="15.75" customHeight="1" x14ac:dyDescent="0.2">
      <c r="C915" s="34"/>
      <c r="D915" s="34"/>
      <c r="E915" s="34"/>
    </row>
    <row r="916" spans="3:5" ht="15.75" customHeight="1" x14ac:dyDescent="0.2">
      <c r="C916" s="34"/>
      <c r="D916" s="34"/>
      <c r="E916" s="34"/>
    </row>
    <row r="917" spans="3:5" ht="15.75" customHeight="1" x14ac:dyDescent="0.2">
      <c r="C917" s="34"/>
      <c r="D917" s="34"/>
      <c r="E917" s="34"/>
    </row>
    <row r="918" spans="3:5" ht="15.75" customHeight="1" x14ac:dyDescent="0.2">
      <c r="C918" s="34"/>
      <c r="D918" s="34"/>
      <c r="E918" s="34"/>
    </row>
    <row r="919" spans="3:5" ht="15.75" customHeight="1" x14ac:dyDescent="0.2">
      <c r="C919" s="34"/>
      <c r="D919" s="34"/>
      <c r="E919" s="34"/>
    </row>
    <row r="920" spans="3:5" ht="15.75" customHeight="1" x14ac:dyDescent="0.2">
      <c r="C920" s="34"/>
      <c r="D920" s="34"/>
      <c r="E920" s="34"/>
    </row>
    <row r="921" spans="3:5" ht="15.75" customHeight="1" x14ac:dyDescent="0.2">
      <c r="C921" s="34"/>
      <c r="D921" s="34"/>
      <c r="E921" s="34"/>
    </row>
    <row r="922" spans="3:5" ht="15.75" customHeight="1" x14ac:dyDescent="0.2">
      <c r="C922" s="34"/>
      <c r="D922" s="34"/>
      <c r="E922" s="34"/>
    </row>
    <row r="923" spans="3:5" ht="15.75" customHeight="1" x14ac:dyDescent="0.2">
      <c r="C923" s="34"/>
      <c r="D923" s="34"/>
      <c r="E923" s="34"/>
    </row>
    <row r="924" spans="3:5" ht="15.75" customHeight="1" x14ac:dyDescent="0.2">
      <c r="C924" s="34"/>
      <c r="D924" s="34"/>
      <c r="E924" s="34"/>
    </row>
    <row r="925" spans="3:5" ht="15.75" customHeight="1" x14ac:dyDescent="0.2">
      <c r="C925" s="34"/>
      <c r="D925" s="34"/>
      <c r="E925" s="34"/>
    </row>
    <row r="926" spans="3:5" ht="15.75" customHeight="1" x14ac:dyDescent="0.2">
      <c r="C926" s="34"/>
      <c r="D926" s="34"/>
      <c r="E926" s="34"/>
    </row>
    <row r="927" spans="3:5" ht="15.75" customHeight="1" x14ac:dyDescent="0.2">
      <c r="C927" s="34"/>
      <c r="D927" s="34"/>
      <c r="E927" s="34"/>
    </row>
    <row r="928" spans="3:5" ht="15.75" customHeight="1" x14ac:dyDescent="0.2">
      <c r="C928" s="34"/>
      <c r="D928" s="34"/>
      <c r="E928" s="34"/>
    </row>
    <row r="929" spans="3:5" ht="15.75" customHeight="1" x14ac:dyDescent="0.2">
      <c r="C929" s="34"/>
      <c r="D929" s="34"/>
      <c r="E929" s="34"/>
    </row>
    <row r="930" spans="3:5" ht="15.75" customHeight="1" x14ac:dyDescent="0.2">
      <c r="C930" s="34"/>
      <c r="D930" s="34"/>
      <c r="E930" s="34"/>
    </row>
    <row r="931" spans="3:5" ht="15.75" customHeight="1" x14ac:dyDescent="0.2">
      <c r="C931" s="34"/>
      <c r="D931" s="34"/>
      <c r="E931" s="34"/>
    </row>
    <row r="932" spans="3:5" ht="15.75" customHeight="1" x14ac:dyDescent="0.2">
      <c r="C932" s="34"/>
      <c r="D932" s="34"/>
      <c r="E932" s="34"/>
    </row>
    <row r="933" spans="3:5" ht="15.75" customHeight="1" x14ac:dyDescent="0.2">
      <c r="C933" s="34"/>
      <c r="D933" s="34"/>
      <c r="E933" s="34"/>
    </row>
    <row r="934" spans="3:5" ht="15.75" customHeight="1" x14ac:dyDescent="0.2">
      <c r="C934" s="34"/>
      <c r="D934" s="34"/>
      <c r="E934" s="34"/>
    </row>
    <row r="935" spans="3:5" ht="15.75" customHeight="1" x14ac:dyDescent="0.2">
      <c r="C935" s="34"/>
      <c r="D935" s="34"/>
      <c r="E935" s="34"/>
    </row>
    <row r="936" spans="3:5" ht="15.75" customHeight="1" x14ac:dyDescent="0.2">
      <c r="C936" s="34"/>
      <c r="D936" s="34"/>
      <c r="E936" s="34"/>
    </row>
    <row r="937" spans="3:5" ht="15.75" customHeight="1" x14ac:dyDescent="0.2">
      <c r="C937" s="34"/>
      <c r="D937" s="34"/>
      <c r="E937" s="34"/>
    </row>
    <row r="938" spans="3:5" ht="15.75" customHeight="1" x14ac:dyDescent="0.2">
      <c r="C938" s="34"/>
      <c r="D938" s="34"/>
      <c r="E938" s="34"/>
    </row>
    <row r="939" spans="3:5" ht="15.75" customHeight="1" x14ac:dyDescent="0.2">
      <c r="C939" s="34"/>
      <c r="D939" s="34"/>
      <c r="E939" s="34"/>
    </row>
    <row r="940" spans="3:5" ht="15.75" customHeight="1" x14ac:dyDescent="0.2">
      <c r="C940" s="34"/>
      <c r="D940" s="34"/>
      <c r="E940" s="34"/>
    </row>
    <row r="941" spans="3:5" ht="15.75" customHeight="1" x14ac:dyDescent="0.2">
      <c r="C941" s="34"/>
      <c r="D941" s="34"/>
      <c r="E941" s="34"/>
    </row>
    <row r="942" spans="3:5" ht="15.75" customHeight="1" x14ac:dyDescent="0.2">
      <c r="C942" s="34"/>
      <c r="D942" s="34"/>
      <c r="E942" s="34"/>
    </row>
    <row r="943" spans="3:5" ht="15.75" customHeight="1" x14ac:dyDescent="0.2">
      <c r="C943" s="34"/>
      <c r="D943" s="34"/>
      <c r="E943" s="34"/>
    </row>
    <row r="944" spans="3:5" ht="15.75" customHeight="1" x14ac:dyDescent="0.2">
      <c r="C944" s="34"/>
      <c r="D944" s="34"/>
      <c r="E944" s="34"/>
    </row>
    <row r="945" spans="3:5" ht="15.75" customHeight="1" x14ac:dyDescent="0.2">
      <c r="C945" s="34"/>
      <c r="D945" s="34"/>
      <c r="E945" s="34"/>
    </row>
    <row r="946" spans="3:5" ht="15.75" customHeight="1" x14ac:dyDescent="0.2">
      <c r="C946" s="34"/>
      <c r="D946" s="34"/>
      <c r="E946" s="34"/>
    </row>
    <row r="947" spans="3:5" ht="15.75" customHeight="1" x14ac:dyDescent="0.2">
      <c r="C947" s="34"/>
      <c r="D947" s="34"/>
      <c r="E947" s="34"/>
    </row>
    <row r="948" spans="3:5" ht="15.75" customHeight="1" x14ac:dyDescent="0.2">
      <c r="C948" s="34"/>
      <c r="D948" s="34"/>
      <c r="E948" s="34"/>
    </row>
    <row r="949" spans="3:5" ht="15.75" customHeight="1" x14ac:dyDescent="0.2">
      <c r="C949" s="34"/>
      <c r="D949" s="34"/>
      <c r="E949" s="34"/>
    </row>
    <row r="950" spans="3:5" ht="15.75" customHeight="1" x14ac:dyDescent="0.2">
      <c r="C950" s="34"/>
      <c r="D950" s="34"/>
      <c r="E950" s="34"/>
    </row>
    <row r="951" spans="3:5" ht="15.75" customHeight="1" x14ac:dyDescent="0.2">
      <c r="C951" s="34"/>
      <c r="D951" s="34"/>
      <c r="E951" s="34"/>
    </row>
    <row r="952" spans="3:5" ht="15.75" customHeight="1" x14ac:dyDescent="0.2">
      <c r="C952" s="34"/>
      <c r="D952" s="34"/>
      <c r="E952" s="34"/>
    </row>
    <row r="953" spans="3:5" ht="15.75" customHeight="1" x14ac:dyDescent="0.2">
      <c r="C953" s="34"/>
      <c r="D953" s="34"/>
      <c r="E953" s="34"/>
    </row>
    <row r="954" spans="3:5" ht="15.75" customHeight="1" x14ac:dyDescent="0.2">
      <c r="C954" s="34"/>
      <c r="D954" s="34"/>
      <c r="E954" s="34"/>
    </row>
    <row r="955" spans="3:5" ht="15.75" customHeight="1" x14ac:dyDescent="0.2">
      <c r="C955" s="34"/>
      <c r="D955" s="34"/>
      <c r="E955" s="34"/>
    </row>
    <row r="956" spans="3:5" ht="15.75" customHeight="1" x14ac:dyDescent="0.2">
      <c r="C956" s="34"/>
      <c r="D956" s="34"/>
      <c r="E956" s="34"/>
    </row>
    <row r="957" spans="3:5" ht="15.75" customHeight="1" x14ac:dyDescent="0.2">
      <c r="C957" s="34"/>
      <c r="D957" s="34"/>
      <c r="E957" s="34"/>
    </row>
    <row r="958" spans="3:5" ht="15.75" customHeight="1" x14ac:dyDescent="0.2">
      <c r="C958" s="34"/>
      <c r="D958" s="34"/>
      <c r="E958" s="34"/>
    </row>
    <row r="959" spans="3:5" ht="15.75" customHeight="1" x14ac:dyDescent="0.2">
      <c r="C959" s="34"/>
      <c r="D959" s="34"/>
      <c r="E959" s="34"/>
    </row>
    <row r="960" spans="3:5" ht="15.75" customHeight="1" x14ac:dyDescent="0.2">
      <c r="C960" s="34"/>
      <c r="D960" s="34"/>
      <c r="E960" s="34"/>
    </row>
    <row r="961" spans="3:5" ht="15.75" customHeight="1" x14ac:dyDescent="0.2">
      <c r="C961" s="34"/>
      <c r="D961" s="34"/>
      <c r="E961" s="34"/>
    </row>
    <row r="962" spans="3:5" ht="15.75" customHeight="1" x14ac:dyDescent="0.2">
      <c r="C962" s="34"/>
      <c r="D962" s="34"/>
      <c r="E962" s="34"/>
    </row>
    <row r="963" spans="3:5" ht="15.75" customHeight="1" x14ac:dyDescent="0.2">
      <c r="C963" s="34"/>
      <c r="D963" s="34"/>
      <c r="E963" s="34"/>
    </row>
    <row r="964" spans="3:5" ht="15.75" customHeight="1" x14ac:dyDescent="0.2">
      <c r="C964" s="34"/>
      <c r="D964" s="34"/>
      <c r="E964" s="34"/>
    </row>
    <row r="965" spans="3:5" ht="15.75" customHeight="1" x14ac:dyDescent="0.2">
      <c r="C965" s="34"/>
      <c r="D965" s="34"/>
      <c r="E965" s="34"/>
    </row>
    <row r="966" spans="3:5" ht="15.75" customHeight="1" x14ac:dyDescent="0.2">
      <c r="C966" s="34"/>
      <c r="D966" s="34"/>
      <c r="E966" s="34"/>
    </row>
    <row r="967" spans="3:5" ht="15.75" customHeight="1" x14ac:dyDescent="0.2">
      <c r="C967" s="34"/>
      <c r="D967" s="34"/>
      <c r="E967" s="34"/>
    </row>
    <row r="968" spans="3:5" ht="15.75" customHeight="1" x14ac:dyDescent="0.2">
      <c r="C968" s="34"/>
      <c r="D968" s="34"/>
      <c r="E968" s="34"/>
    </row>
    <row r="969" spans="3:5" ht="15.75" customHeight="1" x14ac:dyDescent="0.2">
      <c r="C969" s="34"/>
      <c r="D969" s="34"/>
      <c r="E969" s="34"/>
    </row>
    <row r="970" spans="3:5" ht="15.75" customHeight="1" x14ac:dyDescent="0.2">
      <c r="C970" s="34"/>
      <c r="D970" s="34"/>
      <c r="E970" s="34"/>
    </row>
    <row r="971" spans="3:5" ht="15.75" customHeight="1" x14ac:dyDescent="0.2">
      <c r="C971" s="34"/>
      <c r="D971" s="34"/>
      <c r="E971" s="34"/>
    </row>
    <row r="972" spans="3:5" ht="15.75" customHeight="1" x14ac:dyDescent="0.2">
      <c r="C972" s="34"/>
      <c r="D972" s="34"/>
      <c r="E972" s="34"/>
    </row>
    <row r="973" spans="3:5" ht="15.75" customHeight="1" x14ac:dyDescent="0.2">
      <c r="C973" s="34"/>
      <c r="D973" s="34"/>
      <c r="E973" s="34"/>
    </row>
    <row r="974" spans="3:5" ht="15.75" customHeight="1" x14ac:dyDescent="0.2">
      <c r="C974" s="34"/>
      <c r="D974" s="34"/>
      <c r="E974" s="34"/>
    </row>
    <row r="975" spans="3:5" ht="15.75" customHeight="1" x14ac:dyDescent="0.2">
      <c r="C975" s="34"/>
      <c r="D975" s="34"/>
      <c r="E975" s="34"/>
    </row>
    <row r="976" spans="3:5" ht="15.75" customHeight="1" x14ac:dyDescent="0.2">
      <c r="C976" s="34"/>
      <c r="D976" s="34"/>
      <c r="E976" s="34"/>
    </row>
    <row r="977" spans="3:5" ht="15.75" customHeight="1" x14ac:dyDescent="0.2">
      <c r="C977" s="34"/>
      <c r="D977" s="34"/>
      <c r="E977" s="34"/>
    </row>
    <row r="978" spans="3:5" ht="15.75" customHeight="1" x14ac:dyDescent="0.2">
      <c r="C978" s="34"/>
      <c r="D978" s="34"/>
      <c r="E978" s="34"/>
    </row>
    <row r="979" spans="3:5" ht="15.75" customHeight="1" x14ac:dyDescent="0.2">
      <c r="C979" s="34"/>
      <c r="D979" s="34"/>
      <c r="E979" s="34"/>
    </row>
    <row r="980" spans="3:5" ht="15.75" customHeight="1" x14ac:dyDescent="0.2">
      <c r="C980" s="34"/>
      <c r="D980" s="34"/>
      <c r="E980" s="34"/>
    </row>
    <row r="981" spans="3:5" ht="15.75" customHeight="1" x14ac:dyDescent="0.2">
      <c r="C981" s="34"/>
      <c r="D981" s="34"/>
      <c r="E981" s="34"/>
    </row>
    <row r="982" spans="3:5" ht="15.75" customHeight="1" x14ac:dyDescent="0.2">
      <c r="C982" s="34"/>
      <c r="D982" s="34"/>
      <c r="E982" s="34"/>
    </row>
    <row r="983" spans="3:5" ht="15.75" customHeight="1" x14ac:dyDescent="0.2">
      <c r="C983" s="34"/>
      <c r="D983" s="34"/>
      <c r="E983" s="34"/>
    </row>
    <row r="984" spans="3:5" ht="15.75" customHeight="1" x14ac:dyDescent="0.2">
      <c r="C984" s="34"/>
      <c r="D984" s="34"/>
      <c r="E984" s="34"/>
    </row>
    <row r="985" spans="3:5" ht="15.75" customHeight="1" x14ac:dyDescent="0.2">
      <c r="C985" s="34"/>
      <c r="D985" s="34"/>
      <c r="E985" s="34"/>
    </row>
    <row r="986" spans="3:5" ht="15.75" customHeight="1" x14ac:dyDescent="0.2">
      <c r="C986" s="34"/>
      <c r="D986" s="34"/>
      <c r="E986" s="34"/>
    </row>
    <row r="987" spans="3:5" ht="15.75" customHeight="1" x14ac:dyDescent="0.2">
      <c r="C987" s="34"/>
      <c r="D987" s="34"/>
      <c r="E987" s="34"/>
    </row>
    <row r="988" spans="3:5" ht="15.75" customHeight="1" x14ac:dyDescent="0.2">
      <c r="C988" s="34"/>
      <c r="D988" s="34"/>
      <c r="E988" s="34"/>
    </row>
    <row r="989" spans="3:5" ht="15.75" customHeight="1" x14ac:dyDescent="0.2">
      <c r="C989" s="34"/>
      <c r="D989" s="34"/>
      <c r="E989" s="34"/>
    </row>
    <row r="990" spans="3:5" ht="15.75" customHeight="1" x14ac:dyDescent="0.2">
      <c r="C990" s="34"/>
      <c r="D990" s="34"/>
      <c r="E990" s="34"/>
    </row>
    <row r="991" spans="3:5" ht="15.75" customHeight="1" x14ac:dyDescent="0.2">
      <c r="C991" s="34"/>
      <c r="D991" s="34"/>
      <c r="E991" s="34"/>
    </row>
    <row r="992" spans="3:5" ht="15.75" customHeight="1" x14ac:dyDescent="0.2">
      <c r="C992" s="34"/>
      <c r="D992" s="34"/>
      <c r="E992" s="34"/>
    </row>
    <row r="993" spans="3:5" ht="15.75" customHeight="1" x14ac:dyDescent="0.2">
      <c r="C993" s="34"/>
      <c r="D993" s="34"/>
      <c r="E993" s="34"/>
    </row>
    <row r="994" spans="3:5" ht="15.75" customHeight="1" x14ac:dyDescent="0.2">
      <c r="C994" s="34"/>
      <c r="D994" s="34"/>
      <c r="E994" s="34"/>
    </row>
    <row r="995" spans="3:5" ht="15.75" customHeight="1" x14ac:dyDescent="0.2">
      <c r="C995" s="34"/>
      <c r="D995" s="34"/>
      <c r="E995" s="34"/>
    </row>
    <row r="996" spans="3:5" ht="15.75" customHeight="1" x14ac:dyDescent="0.2">
      <c r="C996" s="34"/>
      <c r="D996" s="34"/>
      <c r="E996" s="34"/>
    </row>
    <row r="997" spans="3:5" ht="15.75" customHeight="1" x14ac:dyDescent="0.2">
      <c r="C997" s="34"/>
      <c r="D997" s="34"/>
      <c r="E997" s="34"/>
    </row>
    <row r="998" spans="3:5" ht="15.75" customHeight="1" x14ac:dyDescent="0.2">
      <c r="C998" s="34"/>
      <c r="D998" s="34"/>
      <c r="E998" s="34"/>
    </row>
    <row r="999" spans="3:5" ht="15.75" customHeight="1" x14ac:dyDescent="0.2">
      <c r="C999" s="34"/>
      <c r="D999" s="34"/>
      <c r="E999" s="34"/>
    </row>
    <row r="1000" spans="3:5" ht="15.75" customHeight="1" x14ac:dyDescent="0.2">
      <c r="C1000" s="34"/>
      <c r="D1000" s="34"/>
      <c r="E1000" s="3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67"/>
  <sheetViews>
    <sheetView topLeftCell="A303" workbookViewId="0">
      <selection activeCell="F319" sqref="F319"/>
    </sheetView>
  </sheetViews>
  <sheetFormatPr baseColWidth="10" defaultColWidth="8.83203125" defaultRowHeight="16" x14ac:dyDescent="0.2"/>
  <cols>
    <col min="4" max="4" width="20.33203125" customWidth="1"/>
    <col min="5" max="5" width="18.33203125" customWidth="1"/>
    <col min="6" max="6" width="10.83203125" customWidth="1"/>
    <col min="7" max="7" width="12.83203125" bestFit="1" customWidth="1"/>
    <col min="8" max="9" width="14.1640625" bestFit="1" customWidth="1"/>
    <col min="10" max="10" width="13.83203125" bestFit="1" customWidth="1"/>
  </cols>
  <sheetData>
    <row r="1" spans="1:14" x14ac:dyDescent="0.2">
      <c r="B1" s="54" t="s">
        <v>22</v>
      </c>
      <c r="C1" s="54" t="s">
        <v>592</v>
      </c>
      <c r="D1" s="54" t="s">
        <v>6183</v>
      </c>
      <c r="E1" s="54" t="s">
        <v>6184</v>
      </c>
      <c r="F1" s="54" t="s">
        <v>6185</v>
      </c>
      <c r="G1" s="54" t="s">
        <v>6186</v>
      </c>
      <c r="H1" s="69" t="s">
        <v>6187</v>
      </c>
      <c r="I1" s="54" t="s">
        <v>7049</v>
      </c>
      <c r="J1" s="54" t="s">
        <v>7050</v>
      </c>
      <c r="K1" s="54" t="s">
        <v>7051</v>
      </c>
      <c r="L1" s="54" t="s">
        <v>7052</v>
      </c>
      <c r="M1" s="54" t="s">
        <v>7053</v>
      </c>
      <c r="N1" s="54" t="s">
        <v>6878</v>
      </c>
    </row>
    <row r="2" spans="1:14" x14ac:dyDescent="0.2">
      <c r="A2" s="54">
        <v>0</v>
      </c>
      <c r="B2">
        <v>17311</v>
      </c>
      <c r="C2">
        <v>1</v>
      </c>
      <c r="D2" t="s">
        <v>596</v>
      </c>
      <c r="E2" t="s">
        <v>6194</v>
      </c>
      <c r="F2" t="s">
        <v>7054</v>
      </c>
      <c r="G2">
        <v>1</v>
      </c>
      <c r="H2" t="b">
        <v>1</v>
      </c>
      <c r="I2">
        <v>1</v>
      </c>
      <c r="J2">
        <v>1</v>
      </c>
      <c r="N2">
        <v>1</v>
      </c>
    </row>
    <row r="3" spans="1:14" x14ac:dyDescent="0.2">
      <c r="A3" s="54">
        <v>1</v>
      </c>
      <c r="B3">
        <v>17312</v>
      </c>
      <c r="C3">
        <v>2</v>
      </c>
      <c r="D3" t="s">
        <v>598</v>
      </c>
      <c r="E3" t="s">
        <v>6196</v>
      </c>
      <c r="F3" t="s">
        <v>7055</v>
      </c>
      <c r="G3">
        <v>1</v>
      </c>
      <c r="H3" t="b">
        <v>1</v>
      </c>
      <c r="I3">
        <v>1</v>
      </c>
      <c r="J3">
        <v>1</v>
      </c>
    </row>
    <row r="4" spans="1:14" x14ac:dyDescent="0.2">
      <c r="A4" s="54">
        <v>2</v>
      </c>
      <c r="B4">
        <v>17312</v>
      </c>
      <c r="C4">
        <v>3</v>
      </c>
      <c r="D4" t="s">
        <v>600</v>
      </c>
      <c r="E4" t="s">
        <v>6198</v>
      </c>
      <c r="F4" t="s">
        <v>7056</v>
      </c>
      <c r="G4">
        <v>1</v>
      </c>
      <c r="H4" t="b">
        <v>1</v>
      </c>
      <c r="I4">
        <v>3</v>
      </c>
      <c r="J4">
        <v>3</v>
      </c>
    </row>
    <row r="5" spans="1:14" x14ac:dyDescent="0.2">
      <c r="A5" s="54">
        <v>3</v>
      </c>
      <c r="B5">
        <v>17312</v>
      </c>
      <c r="C5">
        <v>4</v>
      </c>
      <c r="D5" t="s">
        <v>601</v>
      </c>
      <c r="E5" t="s">
        <v>6200</v>
      </c>
      <c r="F5" t="s">
        <v>7057</v>
      </c>
      <c r="G5">
        <v>1</v>
      </c>
      <c r="H5" t="b">
        <v>1</v>
      </c>
      <c r="I5">
        <v>2</v>
      </c>
      <c r="J5">
        <v>2</v>
      </c>
    </row>
    <row r="6" spans="1:14" x14ac:dyDescent="0.2">
      <c r="A6" s="54">
        <v>4</v>
      </c>
      <c r="B6">
        <v>17312</v>
      </c>
      <c r="C6">
        <v>5</v>
      </c>
      <c r="D6" t="s">
        <v>604</v>
      </c>
      <c r="E6" t="s">
        <v>6202</v>
      </c>
      <c r="F6" t="s">
        <v>7058</v>
      </c>
      <c r="G6">
        <v>1</v>
      </c>
      <c r="H6" t="b">
        <v>1</v>
      </c>
      <c r="I6">
        <v>1</v>
      </c>
      <c r="J6">
        <v>1</v>
      </c>
    </row>
    <row r="7" spans="1:14" x14ac:dyDescent="0.2">
      <c r="A7" s="54">
        <v>5</v>
      </c>
      <c r="B7">
        <v>17312</v>
      </c>
      <c r="C7">
        <v>6</v>
      </c>
      <c r="D7" t="s">
        <v>605</v>
      </c>
      <c r="E7" t="s">
        <v>6204</v>
      </c>
      <c r="F7" t="s">
        <v>7059</v>
      </c>
      <c r="G7">
        <v>1</v>
      </c>
      <c r="H7" t="b">
        <v>1</v>
      </c>
      <c r="I7">
        <v>1</v>
      </c>
      <c r="J7">
        <v>1</v>
      </c>
    </row>
    <row r="8" spans="1:14" x14ac:dyDescent="0.2">
      <c r="A8" s="54">
        <v>6</v>
      </c>
      <c r="B8">
        <v>17312</v>
      </c>
      <c r="C8">
        <v>7</v>
      </c>
      <c r="D8" t="s">
        <v>606</v>
      </c>
      <c r="E8" t="s">
        <v>6206</v>
      </c>
      <c r="F8" t="s">
        <v>7060</v>
      </c>
      <c r="G8">
        <v>1</v>
      </c>
      <c r="H8" t="b">
        <v>1</v>
      </c>
      <c r="I8">
        <v>2</v>
      </c>
      <c r="J8">
        <v>2</v>
      </c>
    </row>
    <row r="9" spans="1:14" x14ac:dyDescent="0.2">
      <c r="A9" s="54">
        <v>7</v>
      </c>
      <c r="B9">
        <v>17312</v>
      </c>
      <c r="C9">
        <v>8</v>
      </c>
      <c r="D9" t="s">
        <v>607</v>
      </c>
      <c r="E9" t="s">
        <v>6879</v>
      </c>
      <c r="F9" t="s">
        <v>7061</v>
      </c>
      <c r="G9">
        <v>2</v>
      </c>
      <c r="H9" t="b">
        <v>1</v>
      </c>
      <c r="I9">
        <v>2</v>
      </c>
      <c r="K9">
        <v>2</v>
      </c>
    </row>
    <row r="10" spans="1:14" x14ac:dyDescent="0.2">
      <c r="A10" s="54">
        <v>8</v>
      </c>
      <c r="B10">
        <v>17313</v>
      </c>
      <c r="C10">
        <v>9</v>
      </c>
      <c r="D10" t="s">
        <v>608</v>
      </c>
      <c r="E10" t="s">
        <v>6210</v>
      </c>
      <c r="F10" t="s">
        <v>7062</v>
      </c>
      <c r="G10">
        <v>1</v>
      </c>
      <c r="H10" t="b">
        <v>1</v>
      </c>
      <c r="I10">
        <v>4</v>
      </c>
      <c r="J10">
        <v>4</v>
      </c>
      <c r="N10">
        <v>1</v>
      </c>
    </row>
    <row r="11" spans="1:14" x14ac:dyDescent="0.2">
      <c r="A11" s="54">
        <v>9</v>
      </c>
      <c r="B11">
        <v>17314</v>
      </c>
      <c r="C11">
        <v>10</v>
      </c>
      <c r="D11" t="s">
        <v>611</v>
      </c>
      <c r="E11" t="s">
        <v>6881</v>
      </c>
      <c r="F11" t="s">
        <v>7063</v>
      </c>
      <c r="G11">
        <v>3</v>
      </c>
      <c r="H11" t="b">
        <v>1</v>
      </c>
      <c r="I11">
        <v>1</v>
      </c>
      <c r="J11">
        <v>1</v>
      </c>
    </row>
    <row r="12" spans="1:14" x14ac:dyDescent="0.2">
      <c r="A12" s="54">
        <v>10</v>
      </c>
      <c r="B12">
        <v>17314</v>
      </c>
      <c r="C12">
        <v>11</v>
      </c>
      <c r="D12" t="s">
        <v>614</v>
      </c>
      <c r="E12" t="s">
        <v>6883</v>
      </c>
      <c r="F12" t="s">
        <v>7064</v>
      </c>
      <c r="G12">
        <v>2</v>
      </c>
      <c r="H12" t="b">
        <v>1</v>
      </c>
      <c r="I12">
        <v>1</v>
      </c>
      <c r="J12">
        <v>1</v>
      </c>
    </row>
    <row r="13" spans="1:14" x14ac:dyDescent="0.2">
      <c r="A13" s="54">
        <v>11</v>
      </c>
      <c r="B13">
        <v>17314</v>
      </c>
      <c r="C13">
        <v>12</v>
      </c>
      <c r="D13" t="s">
        <v>617</v>
      </c>
      <c r="E13" t="s">
        <v>6216</v>
      </c>
      <c r="F13" t="s">
        <v>7065</v>
      </c>
      <c r="G13">
        <v>1</v>
      </c>
      <c r="H13" t="b">
        <v>1</v>
      </c>
      <c r="I13">
        <v>7</v>
      </c>
      <c r="J13">
        <v>2</v>
      </c>
      <c r="K13">
        <v>4</v>
      </c>
      <c r="L13">
        <v>1</v>
      </c>
    </row>
    <row r="14" spans="1:14" x14ac:dyDescent="0.2">
      <c r="A14" s="54">
        <v>12</v>
      </c>
      <c r="B14">
        <v>17314</v>
      </c>
      <c r="C14">
        <v>13</v>
      </c>
      <c r="D14" t="s">
        <v>620</v>
      </c>
      <c r="E14" t="s">
        <v>6218</v>
      </c>
      <c r="F14" t="s">
        <v>7066</v>
      </c>
      <c r="G14">
        <v>1</v>
      </c>
      <c r="H14" t="b">
        <v>1</v>
      </c>
      <c r="I14">
        <v>5</v>
      </c>
      <c r="J14">
        <v>5</v>
      </c>
    </row>
    <row r="15" spans="1:14" x14ac:dyDescent="0.2">
      <c r="A15" s="54">
        <v>13</v>
      </c>
      <c r="B15">
        <v>17314</v>
      </c>
      <c r="C15">
        <v>14</v>
      </c>
      <c r="D15" t="s">
        <v>623</v>
      </c>
      <c r="E15" t="s">
        <v>6220</v>
      </c>
      <c r="F15" t="s">
        <v>7067</v>
      </c>
      <c r="G15">
        <v>1</v>
      </c>
      <c r="H15" t="b">
        <v>1</v>
      </c>
      <c r="I15">
        <v>4</v>
      </c>
      <c r="J15">
        <v>3</v>
      </c>
      <c r="M15">
        <v>1</v>
      </c>
    </row>
    <row r="16" spans="1:14" x14ac:dyDescent="0.2">
      <c r="A16" s="54">
        <v>14</v>
      </c>
      <c r="B16">
        <v>17314</v>
      </c>
      <c r="C16">
        <v>15</v>
      </c>
      <c r="D16" t="s">
        <v>625</v>
      </c>
      <c r="E16" t="s">
        <v>6886</v>
      </c>
      <c r="F16" t="s">
        <v>7068</v>
      </c>
      <c r="G16">
        <v>2</v>
      </c>
      <c r="H16" t="b">
        <v>1</v>
      </c>
      <c r="I16">
        <v>1</v>
      </c>
      <c r="J16">
        <v>1</v>
      </c>
    </row>
    <row r="17" spans="1:14" x14ac:dyDescent="0.2">
      <c r="A17" s="54">
        <v>15</v>
      </c>
      <c r="B17">
        <v>17314</v>
      </c>
      <c r="C17">
        <v>16</v>
      </c>
      <c r="D17" t="s">
        <v>626</v>
      </c>
      <c r="E17" t="s">
        <v>6888</v>
      </c>
      <c r="F17" t="s">
        <v>7069</v>
      </c>
      <c r="G17">
        <v>3</v>
      </c>
      <c r="H17" t="b">
        <v>1</v>
      </c>
      <c r="I17">
        <v>5</v>
      </c>
      <c r="J17">
        <v>3</v>
      </c>
      <c r="L17">
        <v>1</v>
      </c>
      <c r="M17">
        <v>1</v>
      </c>
    </row>
    <row r="18" spans="1:14" x14ac:dyDescent="0.2">
      <c r="A18" s="54">
        <v>16</v>
      </c>
      <c r="B18">
        <v>17315</v>
      </c>
      <c r="C18">
        <v>17</v>
      </c>
      <c r="D18" t="s">
        <v>627</v>
      </c>
      <c r="E18" t="s">
        <v>6226</v>
      </c>
      <c r="F18" t="s">
        <v>7070</v>
      </c>
      <c r="G18">
        <v>1</v>
      </c>
      <c r="H18" t="b">
        <v>1</v>
      </c>
      <c r="I18">
        <v>3</v>
      </c>
      <c r="J18">
        <v>3</v>
      </c>
      <c r="N18">
        <v>1</v>
      </c>
    </row>
    <row r="19" spans="1:14" x14ac:dyDescent="0.2">
      <c r="A19" s="54">
        <v>17</v>
      </c>
      <c r="B19">
        <v>17315</v>
      </c>
      <c r="C19">
        <v>18</v>
      </c>
      <c r="D19" t="s">
        <v>629</v>
      </c>
      <c r="E19" t="s">
        <v>6228</v>
      </c>
      <c r="F19" t="s">
        <v>7071</v>
      </c>
      <c r="G19">
        <v>1</v>
      </c>
      <c r="H19" t="b">
        <v>1</v>
      </c>
      <c r="I19">
        <v>2</v>
      </c>
      <c r="J19">
        <v>2</v>
      </c>
    </row>
    <row r="20" spans="1:14" x14ac:dyDescent="0.2">
      <c r="A20" s="54">
        <v>18</v>
      </c>
      <c r="B20">
        <v>17315</v>
      </c>
      <c r="C20">
        <v>19</v>
      </c>
      <c r="D20" t="s">
        <v>632</v>
      </c>
      <c r="E20" t="s">
        <v>6230</v>
      </c>
      <c r="F20" t="s">
        <v>7072</v>
      </c>
      <c r="G20">
        <v>1</v>
      </c>
      <c r="H20" t="b">
        <v>1</v>
      </c>
      <c r="I20">
        <v>5</v>
      </c>
      <c r="J20">
        <v>5</v>
      </c>
    </row>
    <row r="21" spans="1:14" x14ac:dyDescent="0.2">
      <c r="A21" s="54">
        <v>19</v>
      </c>
      <c r="B21">
        <v>17315</v>
      </c>
      <c r="C21">
        <v>20</v>
      </c>
      <c r="D21" t="s">
        <v>633</v>
      </c>
      <c r="E21" t="s">
        <v>6232</v>
      </c>
      <c r="F21" t="s">
        <v>7073</v>
      </c>
      <c r="G21">
        <v>1</v>
      </c>
      <c r="H21" t="b">
        <v>1</v>
      </c>
      <c r="I21">
        <v>1</v>
      </c>
      <c r="J21">
        <v>1</v>
      </c>
    </row>
    <row r="22" spans="1:14" x14ac:dyDescent="0.2">
      <c r="A22" s="54">
        <v>20</v>
      </c>
      <c r="B22">
        <v>17315</v>
      </c>
      <c r="C22">
        <v>21</v>
      </c>
      <c r="D22" t="s">
        <v>634</v>
      </c>
      <c r="E22" t="s">
        <v>6234</v>
      </c>
      <c r="F22" t="s">
        <v>7074</v>
      </c>
      <c r="G22">
        <v>1</v>
      </c>
      <c r="H22" t="b">
        <v>1</v>
      </c>
      <c r="I22">
        <v>4</v>
      </c>
      <c r="J22">
        <v>3</v>
      </c>
      <c r="M22">
        <v>1</v>
      </c>
    </row>
    <row r="23" spans="1:14" x14ac:dyDescent="0.2">
      <c r="A23" s="54">
        <v>21</v>
      </c>
      <c r="B23">
        <v>17316</v>
      </c>
      <c r="C23">
        <v>22</v>
      </c>
      <c r="D23" t="s">
        <v>637</v>
      </c>
      <c r="E23" t="s">
        <v>6236</v>
      </c>
      <c r="F23" t="s">
        <v>7075</v>
      </c>
      <c r="G23">
        <v>1</v>
      </c>
      <c r="H23" t="b">
        <v>1</v>
      </c>
      <c r="I23">
        <v>3</v>
      </c>
      <c r="J23">
        <v>2</v>
      </c>
      <c r="K23">
        <v>1</v>
      </c>
    </row>
    <row r="24" spans="1:14" x14ac:dyDescent="0.2">
      <c r="A24" s="54">
        <v>22</v>
      </c>
      <c r="B24">
        <v>17316</v>
      </c>
      <c r="C24">
        <v>23</v>
      </c>
      <c r="D24" t="s">
        <v>640</v>
      </c>
      <c r="E24" t="s">
        <v>6238</v>
      </c>
      <c r="F24" t="s">
        <v>7076</v>
      </c>
      <c r="G24">
        <v>1</v>
      </c>
      <c r="H24" t="b">
        <v>1</v>
      </c>
      <c r="I24">
        <v>8</v>
      </c>
      <c r="J24">
        <v>8</v>
      </c>
    </row>
    <row r="25" spans="1:14" x14ac:dyDescent="0.2">
      <c r="A25" s="54">
        <v>23</v>
      </c>
      <c r="B25">
        <v>17316</v>
      </c>
      <c r="C25">
        <v>24</v>
      </c>
      <c r="D25" t="s">
        <v>642</v>
      </c>
      <c r="E25" t="s">
        <v>6240</v>
      </c>
      <c r="F25" t="s">
        <v>7077</v>
      </c>
      <c r="G25">
        <v>1</v>
      </c>
      <c r="H25" t="b">
        <v>1</v>
      </c>
      <c r="I25">
        <v>3</v>
      </c>
      <c r="J25">
        <v>2</v>
      </c>
      <c r="K25">
        <v>1</v>
      </c>
    </row>
    <row r="26" spans="1:14" x14ac:dyDescent="0.2">
      <c r="A26" s="54">
        <v>24</v>
      </c>
      <c r="B26">
        <v>17316</v>
      </c>
      <c r="C26">
        <v>25</v>
      </c>
      <c r="D26" t="s">
        <v>643</v>
      </c>
      <c r="E26" t="s">
        <v>6894</v>
      </c>
      <c r="F26" t="s">
        <v>7078</v>
      </c>
      <c r="G26">
        <v>5</v>
      </c>
      <c r="H26" t="b">
        <v>0</v>
      </c>
      <c r="I26">
        <v>4</v>
      </c>
      <c r="J26">
        <v>4</v>
      </c>
    </row>
    <row r="27" spans="1:14" x14ac:dyDescent="0.2">
      <c r="A27" s="54">
        <v>25</v>
      </c>
      <c r="B27">
        <v>17317</v>
      </c>
      <c r="C27">
        <v>26</v>
      </c>
      <c r="D27" t="s">
        <v>644</v>
      </c>
      <c r="E27" t="s">
        <v>6244</v>
      </c>
      <c r="F27" t="s">
        <v>7079</v>
      </c>
      <c r="G27">
        <v>1</v>
      </c>
      <c r="H27" t="b">
        <v>1</v>
      </c>
      <c r="I27">
        <v>1</v>
      </c>
      <c r="J27">
        <v>1</v>
      </c>
    </row>
    <row r="28" spans="1:14" x14ac:dyDescent="0.2">
      <c r="A28" s="54">
        <v>26</v>
      </c>
      <c r="B28">
        <v>17318</v>
      </c>
      <c r="C28">
        <v>27</v>
      </c>
      <c r="D28" t="s">
        <v>647</v>
      </c>
      <c r="E28" t="s">
        <v>1808</v>
      </c>
      <c r="F28" t="s">
        <v>7080</v>
      </c>
      <c r="G28">
        <v>1</v>
      </c>
      <c r="H28" t="b">
        <v>1</v>
      </c>
      <c r="I28">
        <v>2</v>
      </c>
      <c r="J28">
        <v>2</v>
      </c>
    </row>
    <row r="29" spans="1:14" x14ac:dyDescent="0.2">
      <c r="A29" s="54">
        <v>27</v>
      </c>
      <c r="B29">
        <v>17318</v>
      </c>
      <c r="C29">
        <v>28</v>
      </c>
      <c r="D29" t="s">
        <v>649</v>
      </c>
      <c r="E29" t="s">
        <v>6247</v>
      </c>
      <c r="F29" t="s">
        <v>7081</v>
      </c>
      <c r="G29">
        <v>1</v>
      </c>
      <c r="H29" t="b">
        <v>1</v>
      </c>
      <c r="I29">
        <v>2</v>
      </c>
      <c r="J29">
        <v>1</v>
      </c>
      <c r="K29">
        <v>1</v>
      </c>
    </row>
    <row r="30" spans="1:14" x14ac:dyDescent="0.2">
      <c r="A30" s="54">
        <v>28</v>
      </c>
      <c r="B30">
        <v>17318</v>
      </c>
      <c r="C30">
        <v>29</v>
      </c>
      <c r="D30" t="s">
        <v>650</v>
      </c>
      <c r="E30" t="s">
        <v>6249</v>
      </c>
      <c r="F30" t="s">
        <v>7082</v>
      </c>
      <c r="G30">
        <v>1</v>
      </c>
      <c r="H30" t="b">
        <v>1</v>
      </c>
      <c r="I30">
        <v>2</v>
      </c>
      <c r="J30">
        <v>2</v>
      </c>
      <c r="N30">
        <v>1</v>
      </c>
    </row>
    <row r="31" spans="1:14" x14ac:dyDescent="0.2">
      <c r="A31" s="54">
        <v>29</v>
      </c>
      <c r="B31">
        <v>17318</v>
      </c>
      <c r="C31">
        <v>30</v>
      </c>
      <c r="D31" t="s">
        <v>651</v>
      </c>
      <c r="E31" t="s">
        <v>1808</v>
      </c>
      <c r="F31" t="s">
        <v>7083</v>
      </c>
      <c r="G31">
        <v>1</v>
      </c>
      <c r="H31" t="b">
        <v>1</v>
      </c>
      <c r="I31">
        <v>1</v>
      </c>
      <c r="J31">
        <v>1</v>
      </c>
    </row>
    <row r="32" spans="1:14" x14ac:dyDescent="0.2">
      <c r="A32" s="54">
        <v>30</v>
      </c>
      <c r="B32">
        <v>17319</v>
      </c>
      <c r="C32">
        <v>31</v>
      </c>
      <c r="D32" t="s">
        <v>654</v>
      </c>
      <c r="E32" t="s">
        <v>6252</v>
      </c>
      <c r="F32" t="s">
        <v>7084</v>
      </c>
      <c r="G32">
        <v>1</v>
      </c>
      <c r="H32" t="b">
        <v>1</v>
      </c>
      <c r="I32">
        <v>5</v>
      </c>
      <c r="J32">
        <v>5</v>
      </c>
    </row>
    <row r="33" spans="1:14" x14ac:dyDescent="0.2">
      <c r="A33" s="54">
        <v>31</v>
      </c>
      <c r="B33">
        <v>17320</v>
      </c>
      <c r="C33">
        <v>32</v>
      </c>
      <c r="D33" t="s">
        <v>656</v>
      </c>
      <c r="E33" t="s">
        <v>6254</v>
      </c>
      <c r="F33" t="s">
        <v>7085</v>
      </c>
      <c r="G33">
        <v>1</v>
      </c>
      <c r="H33" t="b">
        <v>1</v>
      </c>
      <c r="I33">
        <v>1</v>
      </c>
      <c r="J33">
        <v>1</v>
      </c>
    </row>
    <row r="34" spans="1:14" x14ac:dyDescent="0.2">
      <c r="A34" s="54">
        <v>32</v>
      </c>
      <c r="B34">
        <v>17320</v>
      </c>
      <c r="C34">
        <v>33</v>
      </c>
      <c r="D34" t="s">
        <v>658</v>
      </c>
      <c r="E34" t="s">
        <v>6256</v>
      </c>
      <c r="F34" t="s">
        <v>7086</v>
      </c>
      <c r="G34">
        <v>1</v>
      </c>
      <c r="H34" t="b">
        <v>1</v>
      </c>
      <c r="I34">
        <v>1</v>
      </c>
      <c r="J34">
        <v>1</v>
      </c>
    </row>
    <row r="35" spans="1:14" x14ac:dyDescent="0.2">
      <c r="A35" s="54">
        <v>33</v>
      </c>
      <c r="B35">
        <v>17322</v>
      </c>
      <c r="C35">
        <v>34</v>
      </c>
      <c r="D35" t="s">
        <v>659</v>
      </c>
      <c r="E35" t="s">
        <v>6258</v>
      </c>
      <c r="F35" t="s">
        <v>7087</v>
      </c>
      <c r="G35">
        <v>1</v>
      </c>
      <c r="H35" t="b">
        <v>1</v>
      </c>
      <c r="I35">
        <v>4</v>
      </c>
      <c r="J35">
        <v>4</v>
      </c>
    </row>
    <row r="36" spans="1:14" x14ac:dyDescent="0.2">
      <c r="A36" s="54">
        <v>34</v>
      </c>
      <c r="B36">
        <v>17323</v>
      </c>
      <c r="C36">
        <v>35</v>
      </c>
      <c r="D36" t="s">
        <v>661</v>
      </c>
      <c r="E36" t="s">
        <v>2050</v>
      </c>
      <c r="F36" t="s">
        <v>7088</v>
      </c>
      <c r="G36">
        <v>1</v>
      </c>
      <c r="H36" t="b">
        <v>1</v>
      </c>
      <c r="I36">
        <v>1</v>
      </c>
      <c r="J36">
        <v>1</v>
      </c>
    </row>
    <row r="37" spans="1:14" x14ac:dyDescent="0.2">
      <c r="A37" s="54">
        <v>35</v>
      </c>
      <c r="B37">
        <v>17323</v>
      </c>
      <c r="C37">
        <v>36</v>
      </c>
      <c r="D37" t="s">
        <v>664</v>
      </c>
      <c r="E37" t="s">
        <v>6261</v>
      </c>
      <c r="F37" t="s">
        <v>7089</v>
      </c>
      <c r="G37">
        <v>1</v>
      </c>
      <c r="H37" t="b">
        <v>1</v>
      </c>
      <c r="I37">
        <v>3</v>
      </c>
      <c r="J37">
        <v>3</v>
      </c>
    </row>
    <row r="38" spans="1:14" x14ac:dyDescent="0.2">
      <c r="A38" s="54">
        <v>36</v>
      </c>
      <c r="B38">
        <v>17324</v>
      </c>
      <c r="C38">
        <v>37</v>
      </c>
      <c r="D38" t="s">
        <v>666</v>
      </c>
      <c r="E38" t="s">
        <v>6263</v>
      </c>
      <c r="F38" t="s">
        <v>7090</v>
      </c>
      <c r="G38">
        <v>1</v>
      </c>
      <c r="H38" t="b">
        <v>1</v>
      </c>
      <c r="I38">
        <v>1</v>
      </c>
      <c r="J38">
        <v>1</v>
      </c>
      <c r="N38">
        <v>1</v>
      </c>
    </row>
    <row r="39" spans="1:14" x14ac:dyDescent="0.2">
      <c r="A39" s="54">
        <v>37</v>
      </c>
      <c r="B39">
        <v>17324</v>
      </c>
      <c r="C39">
        <v>38</v>
      </c>
      <c r="D39" t="s">
        <v>669</v>
      </c>
      <c r="E39" t="s">
        <v>6265</v>
      </c>
      <c r="F39" t="s">
        <v>7091</v>
      </c>
      <c r="G39">
        <v>1</v>
      </c>
      <c r="H39" t="b">
        <v>1</v>
      </c>
      <c r="I39">
        <v>3</v>
      </c>
      <c r="J39">
        <v>3</v>
      </c>
    </row>
    <row r="40" spans="1:14" x14ac:dyDescent="0.2">
      <c r="A40" s="54">
        <v>38</v>
      </c>
      <c r="B40">
        <v>17325</v>
      </c>
      <c r="C40">
        <v>39</v>
      </c>
      <c r="D40" t="s">
        <v>671</v>
      </c>
      <c r="E40" t="s">
        <v>6267</v>
      </c>
      <c r="F40" t="s">
        <v>7092</v>
      </c>
      <c r="G40">
        <v>1</v>
      </c>
      <c r="H40" t="b">
        <v>1</v>
      </c>
      <c r="I40">
        <v>2</v>
      </c>
      <c r="J40">
        <v>2</v>
      </c>
    </row>
    <row r="41" spans="1:14" x14ac:dyDescent="0.2">
      <c r="A41" s="54">
        <v>39</v>
      </c>
      <c r="B41">
        <v>17326</v>
      </c>
      <c r="C41">
        <v>40</v>
      </c>
      <c r="D41" t="s">
        <v>674</v>
      </c>
      <c r="E41" t="s">
        <v>6269</v>
      </c>
      <c r="F41" t="s">
        <v>7093</v>
      </c>
      <c r="G41">
        <v>1</v>
      </c>
      <c r="H41" t="b">
        <v>1</v>
      </c>
      <c r="I41">
        <v>2</v>
      </c>
      <c r="J41">
        <v>2</v>
      </c>
      <c r="N41">
        <v>1</v>
      </c>
    </row>
    <row r="42" spans="1:14" x14ac:dyDescent="0.2">
      <c r="A42" s="54">
        <v>40</v>
      </c>
      <c r="B42">
        <v>17327</v>
      </c>
      <c r="C42">
        <v>41</v>
      </c>
      <c r="D42" t="s">
        <v>676</v>
      </c>
      <c r="E42" t="s">
        <v>6271</v>
      </c>
      <c r="F42" t="s">
        <v>7094</v>
      </c>
      <c r="G42">
        <v>1</v>
      </c>
      <c r="H42" t="b">
        <v>1</v>
      </c>
      <c r="I42">
        <v>2</v>
      </c>
      <c r="J42">
        <v>2</v>
      </c>
      <c r="N42">
        <v>1</v>
      </c>
    </row>
    <row r="43" spans="1:14" x14ac:dyDescent="0.2">
      <c r="A43" s="54">
        <v>41</v>
      </c>
      <c r="B43">
        <v>17329</v>
      </c>
      <c r="C43">
        <v>42</v>
      </c>
      <c r="D43" t="s">
        <v>678</v>
      </c>
      <c r="E43" t="s">
        <v>6273</v>
      </c>
      <c r="F43" t="s">
        <v>7095</v>
      </c>
      <c r="G43">
        <v>1</v>
      </c>
      <c r="H43" t="b">
        <v>1</v>
      </c>
      <c r="I43">
        <v>3</v>
      </c>
      <c r="J43">
        <v>1</v>
      </c>
      <c r="L43">
        <v>1</v>
      </c>
      <c r="M43">
        <v>1</v>
      </c>
    </row>
    <row r="44" spans="1:14" x14ac:dyDescent="0.2">
      <c r="A44" s="54">
        <v>42</v>
      </c>
      <c r="B44">
        <v>17329</v>
      </c>
      <c r="C44">
        <v>43</v>
      </c>
      <c r="D44" t="s">
        <v>680</v>
      </c>
      <c r="E44" t="s">
        <v>6896</v>
      </c>
      <c r="F44" t="s">
        <v>7096</v>
      </c>
      <c r="G44">
        <v>5</v>
      </c>
      <c r="H44" t="b">
        <v>0</v>
      </c>
      <c r="I44">
        <v>1</v>
      </c>
      <c r="J44">
        <v>1</v>
      </c>
    </row>
    <row r="45" spans="1:14" x14ac:dyDescent="0.2">
      <c r="A45" s="54">
        <v>43</v>
      </c>
      <c r="B45">
        <v>17329</v>
      </c>
      <c r="C45">
        <v>44</v>
      </c>
      <c r="D45" t="s">
        <v>683</v>
      </c>
      <c r="E45" t="s">
        <v>6277</v>
      </c>
      <c r="F45" t="s">
        <v>7097</v>
      </c>
      <c r="G45">
        <v>1</v>
      </c>
      <c r="H45" t="b">
        <v>1</v>
      </c>
      <c r="I45">
        <v>4</v>
      </c>
      <c r="J45">
        <v>3</v>
      </c>
      <c r="K45">
        <v>1</v>
      </c>
    </row>
    <row r="46" spans="1:14" x14ac:dyDescent="0.2">
      <c r="A46" s="54">
        <v>44</v>
      </c>
      <c r="B46">
        <v>17329</v>
      </c>
      <c r="C46">
        <v>45</v>
      </c>
      <c r="D46" t="s">
        <v>684</v>
      </c>
      <c r="E46" t="s">
        <v>6279</v>
      </c>
      <c r="F46" t="s">
        <v>7098</v>
      </c>
      <c r="G46">
        <v>1</v>
      </c>
      <c r="H46" t="b">
        <v>1</v>
      </c>
      <c r="I46">
        <v>6</v>
      </c>
      <c r="J46">
        <v>3</v>
      </c>
      <c r="K46">
        <v>2</v>
      </c>
      <c r="M46">
        <v>1</v>
      </c>
    </row>
    <row r="47" spans="1:14" x14ac:dyDescent="0.2">
      <c r="A47" s="54">
        <v>45</v>
      </c>
      <c r="B47">
        <v>17329</v>
      </c>
      <c r="C47">
        <v>46</v>
      </c>
      <c r="D47" t="s">
        <v>687</v>
      </c>
      <c r="E47" t="s">
        <v>6281</v>
      </c>
      <c r="F47" t="s">
        <v>7099</v>
      </c>
      <c r="G47">
        <v>1</v>
      </c>
      <c r="H47" t="b">
        <v>1</v>
      </c>
      <c r="I47">
        <v>1</v>
      </c>
      <c r="J47">
        <v>1</v>
      </c>
    </row>
    <row r="48" spans="1:14" x14ac:dyDescent="0.2">
      <c r="A48" s="54">
        <v>46</v>
      </c>
      <c r="B48">
        <v>17330</v>
      </c>
      <c r="C48">
        <v>47</v>
      </c>
      <c r="D48" t="s">
        <v>688</v>
      </c>
      <c r="E48" t="s">
        <v>6283</v>
      </c>
      <c r="F48" t="s">
        <v>7100</v>
      </c>
      <c r="G48">
        <v>1</v>
      </c>
      <c r="H48" t="b">
        <v>1</v>
      </c>
      <c r="I48">
        <v>3</v>
      </c>
      <c r="J48">
        <v>3</v>
      </c>
    </row>
    <row r="49" spans="1:14" x14ac:dyDescent="0.2">
      <c r="A49" s="54">
        <v>47</v>
      </c>
      <c r="B49">
        <v>17330</v>
      </c>
      <c r="C49">
        <v>48</v>
      </c>
      <c r="D49" t="s">
        <v>691</v>
      </c>
      <c r="E49" t="s">
        <v>6285</v>
      </c>
      <c r="F49" t="s">
        <v>7101</v>
      </c>
      <c r="G49">
        <v>1</v>
      </c>
      <c r="H49" t="b">
        <v>1</v>
      </c>
      <c r="I49">
        <v>3</v>
      </c>
      <c r="J49">
        <v>2</v>
      </c>
      <c r="M49">
        <v>1</v>
      </c>
    </row>
    <row r="50" spans="1:14" x14ac:dyDescent="0.2">
      <c r="A50" s="54">
        <v>48</v>
      </c>
      <c r="B50">
        <v>17330</v>
      </c>
      <c r="C50">
        <v>49</v>
      </c>
      <c r="D50" t="s">
        <v>693</v>
      </c>
      <c r="E50" t="s">
        <v>6287</v>
      </c>
      <c r="F50" t="s">
        <v>7102</v>
      </c>
      <c r="G50">
        <v>1</v>
      </c>
      <c r="H50" t="b">
        <v>1</v>
      </c>
      <c r="I50">
        <v>2</v>
      </c>
      <c r="J50">
        <v>2</v>
      </c>
    </row>
    <row r="51" spans="1:14" x14ac:dyDescent="0.2">
      <c r="A51" s="54">
        <v>49</v>
      </c>
      <c r="B51">
        <v>17330</v>
      </c>
      <c r="C51">
        <v>50</v>
      </c>
      <c r="D51" t="s">
        <v>696</v>
      </c>
      <c r="E51" t="s">
        <v>6289</v>
      </c>
      <c r="F51" t="s">
        <v>7103</v>
      </c>
      <c r="G51">
        <v>1</v>
      </c>
      <c r="H51" t="b">
        <v>1</v>
      </c>
      <c r="I51">
        <v>3</v>
      </c>
      <c r="J51">
        <v>2</v>
      </c>
      <c r="K51">
        <v>1</v>
      </c>
      <c r="N51">
        <v>1</v>
      </c>
    </row>
    <row r="52" spans="1:14" x14ac:dyDescent="0.2">
      <c r="A52" s="54">
        <v>50</v>
      </c>
      <c r="B52">
        <v>17330</v>
      </c>
      <c r="C52">
        <v>51</v>
      </c>
      <c r="D52" t="s">
        <v>699</v>
      </c>
      <c r="E52" t="s">
        <v>6899</v>
      </c>
      <c r="F52" t="s">
        <v>7104</v>
      </c>
      <c r="G52">
        <v>2</v>
      </c>
      <c r="H52" t="b">
        <v>1</v>
      </c>
      <c r="I52">
        <v>1</v>
      </c>
      <c r="M52">
        <v>1</v>
      </c>
    </row>
    <row r="53" spans="1:14" x14ac:dyDescent="0.2">
      <c r="A53" s="54">
        <v>51</v>
      </c>
      <c r="B53">
        <v>17330</v>
      </c>
      <c r="C53">
        <v>52</v>
      </c>
      <c r="D53" t="s">
        <v>700</v>
      </c>
      <c r="E53" t="s">
        <v>6293</v>
      </c>
      <c r="F53" t="s">
        <v>7105</v>
      </c>
      <c r="G53">
        <v>1</v>
      </c>
      <c r="H53" t="b">
        <v>1</v>
      </c>
      <c r="I53">
        <v>1</v>
      </c>
      <c r="J53">
        <v>1</v>
      </c>
    </row>
    <row r="54" spans="1:14" x14ac:dyDescent="0.2">
      <c r="A54" s="54">
        <v>52</v>
      </c>
      <c r="B54">
        <v>17330</v>
      </c>
      <c r="C54">
        <v>53</v>
      </c>
      <c r="D54" t="s">
        <v>703</v>
      </c>
      <c r="E54" t="s">
        <v>6295</v>
      </c>
      <c r="F54" t="s">
        <v>7106</v>
      </c>
      <c r="G54">
        <v>1</v>
      </c>
      <c r="H54" t="b">
        <v>1</v>
      </c>
      <c r="I54">
        <v>1</v>
      </c>
      <c r="J54">
        <v>1</v>
      </c>
    </row>
    <row r="55" spans="1:14" x14ac:dyDescent="0.2">
      <c r="A55" s="54">
        <v>53</v>
      </c>
      <c r="B55">
        <v>17330</v>
      </c>
      <c r="C55">
        <v>54</v>
      </c>
      <c r="D55" t="s">
        <v>704</v>
      </c>
      <c r="E55" t="s">
        <v>6901</v>
      </c>
      <c r="F55" t="s">
        <v>7107</v>
      </c>
      <c r="G55">
        <v>2</v>
      </c>
      <c r="H55" t="b">
        <v>1</v>
      </c>
      <c r="I55">
        <v>1</v>
      </c>
      <c r="J55">
        <v>1</v>
      </c>
      <c r="N55">
        <v>2</v>
      </c>
    </row>
    <row r="56" spans="1:14" x14ac:dyDescent="0.2">
      <c r="A56" s="54">
        <v>54</v>
      </c>
      <c r="B56">
        <v>17330</v>
      </c>
      <c r="C56">
        <v>55</v>
      </c>
      <c r="D56" t="s">
        <v>707</v>
      </c>
      <c r="E56" t="s">
        <v>6298</v>
      </c>
      <c r="F56" t="s">
        <v>7108</v>
      </c>
      <c r="G56">
        <v>1</v>
      </c>
      <c r="H56" t="b">
        <v>1</v>
      </c>
      <c r="I56">
        <v>4</v>
      </c>
      <c r="J56">
        <v>4</v>
      </c>
    </row>
    <row r="57" spans="1:14" x14ac:dyDescent="0.2">
      <c r="A57" s="54">
        <v>55</v>
      </c>
      <c r="B57">
        <v>17330</v>
      </c>
      <c r="C57">
        <v>56</v>
      </c>
      <c r="D57" t="s">
        <v>708</v>
      </c>
      <c r="E57" t="s">
        <v>6904</v>
      </c>
      <c r="F57" t="s">
        <v>7109</v>
      </c>
      <c r="G57">
        <v>2</v>
      </c>
      <c r="H57" t="b">
        <v>1</v>
      </c>
      <c r="I57">
        <v>3</v>
      </c>
      <c r="J57">
        <v>2</v>
      </c>
      <c r="K57">
        <v>1</v>
      </c>
    </row>
    <row r="58" spans="1:14" x14ac:dyDescent="0.2">
      <c r="A58" s="54">
        <v>56</v>
      </c>
      <c r="B58">
        <v>17330</v>
      </c>
      <c r="C58">
        <v>57</v>
      </c>
      <c r="D58" t="s">
        <v>709</v>
      </c>
      <c r="E58" t="s">
        <v>6302</v>
      </c>
      <c r="F58" t="s">
        <v>7110</v>
      </c>
      <c r="G58">
        <v>1</v>
      </c>
      <c r="H58" t="b">
        <v>1</v>
      </c>
      <c r="I58">
        <v>1</v>
      </c>
      <c r="J58">
        <v>1</v>
      </c>
      <c r="N58">
        <v>2</v>
      </c>
    </row>
    <row r="59" spans="1:14" x14ac:dyDescent="0.2">
      <c r="A59" s="54">
        <v>57</v>
      </c>
      <c r="B59">
        <v>17330</v>
      </c>
      <c r="C59">
        <v>58</v>
      </c>
      <c r="D59" t="s">
        <v>710</v>
      </c>
      <c r="E59" t="s">
        <v>6304</v>
      </c>
      <c r="F59" t="s">
        <v>7111</v>
      </c>
      <c r="G59">
        <v>1</v>
      </c>
      <c r="H59" t="b">
        <v>1</v>
      </c>
      <c r="I59">
        <v>3</v>
      </c>
      <c r="J59">
        <v>1</v>
      </c>
      <c r="K59">
        <v>2</v>
      </c>
      <c r="N59">
        <v>2</v>
      </c>
    </row>
    <row r="60" spans="1:14" x14ac:dyDescent="0.2">
      <c r="A60" s="54">
        <v>58</v>
      </c>
      <c r="B60">
        <v>17330</v>
      </c>
      <c r="C60">
        <v>59</v>
      </c>
      <c r="D60" t="s">
        <v>711</v>
      </c>
      <c r="E60" t="s">
        <v>6306</v>
      </c>
      <c r="F60" t="s">
        <v>7112</v>
      </c>
      <c r="G60">
        <v>1</v>
      </c>
      <c r="H60" t="b">
        <v>1</v>
      </c>
      <c r="I60">
        <v>1</v>
      </c>
      <c r="J60">
        <v>1</v>
      </c>
    </row>
    <row r="61" spans="1:14" x14ac:dyDescent="0.2">
      <c r="A61" s="54">
        <v>59</v>
      </c>
      <c r="B61">
        <v>17330</v>
      </c>
      <c r="C61">
        <v>60</v>
      </c>
      <c r="D61" t="s">
        <v>712</v>
      </c>
      <c r="E61" t="s">
        <v>6308</v>
      </c>
      <c r="F61" t="s">
        <v>7113</v>
      </c>
      <c r="G61">
        <v>1</v>
      </c>
      <c r="H61" t="b">
        <v>1</v>
      </c>
      <c r="I61">
        <v>3</v>
      </c>
      <c r="J61">
        <v>2</v>
      </c>
      <c r="M61">
        <v>1</v>
      </c>
      <c r="N61">
        <v>2</v>
      </c>
    </row>
    <row r="62" spans="1:14" x14ac:dyDescent="0.2">
      <c r="A62" s="54">
        <v>60</v>
      </c>
      <c r="B62">
        <v>17330</v>
      </c>
      <c r="C62">
        <v>61</v>
      </c>
      <c r="D62" t="s">
        <v>713</v>
      </c>
      <c r="E62" t="s">
        <v>6310</v>
      </c>
      <c r="F62" t="s">
        <v>7114</v>
      </c>
      <c r="G62">
        <v>1</v>
      </c>
      <c r="H62" t="b">
        <v>1</v>
      </c>
      <c r="I62">
        <v>3</v>
      </c>
      <c r="J62">
        <v>2</v>
      </c>
      <c r="L62">
        <v>1</v>
      </c>
      <c r="N62">
        <v>1</v>
      </c>
    </row>
    <row r="63" spans="1:14" x14ac:dyDescent="0.2">
      <c r="A63" s="54">
        <v>61</v>
      </c>
      <c r="B63">
        <v>17330</v>
      </c>
      <c r="C63">
        <v>62</v>
      </c>
      <c r="D63" t="s">
        <v>714</v>
      </c>
      <c r="E63" t="s">
        <v>6312</v>
      </c>
      <c r="F63" t="s">
        <v>7115</v>
      </c>
      <c r="G63">
        <v>1</v>
      </c>
      <c r="H63" t="b">
        <v>1</v>
      </c>
      <c r="I63">
        <v>1</v>
      </c>
      <c r="J63">
        <v>1</v>
      </c>
      <c r="N63">
        <v>2</v>
      </c>
    </row>
    <row r="64" spans="1:14" x14ac:dyDescent="0.2">
      <c r="A64" s="54">
        <v>62</v>
      </c>
      <c r="B64">
        <v>17331</v>
      </c>
      <c r="C64">
        <v>63</v>
      </c>
      <c r="D64" t="s">
        <v>715</v>
      </c>
      <c r="E64" t="s">
        <v>6314</v>
      </c>
      <c r="F64" t="s">
        <v>7116</v>
      </c>
      <c r="G64">
        <v>1</v>
      </c>
      <c r="H64" t="b">
        <v>1</v>
      </c>
      <c r="I64">
        <v>1</v>
      </c>
      <c r="J64">
        <v>1</v>
      </c>
    </row>
    <row r="65" spans="1:14" x14ac:dyDescent="0.2">
      <c r="A65" s="54">
        <v>63</v>
      </c>
      <c r="B65">
        <v>17331</v>
      </c>
      <c r="C65">
        <v>64</v>
      </c>
      <c r="D65" t="s">
        <v>717</v>
      </c>
      <c r="E65" t="s">
        <v>6316</v>
      </c>
      <c r="F65" t="s">
        <v>7117</v>
      </c>
      <c r="G65">
        <v>1</v>
      </c>
      <c r="H65" t="b">
        <v>1</v>
      </c>
      <c r="I65">
        <v>4</v>
      </c>
      <c r="J65">
        <v>4</v>
      </c>
    </row>
    <row r="66" spans="1:14" x14ac:dyDescent="0.2">
      <c r="A66" s="54">
        <v>64</v>
      </c>
      <c r="B66">
        <v>17331</v>
      </c>
      <c r="C66">
        <v>65</v>
      </c>
      <c r="D66" t="s">
        <v>718</v>
      </c>
      <c r="E66" t="s">
        <v>6318</v>
      </c>
      <c r="F66" t="s">
        <v>7118</v>
      </c>
      <c r="G66">
        <v>1</v>
      </c>
      <c r="H66" t="b">
        <v>1</v>
      </c>
      <c r="I66">
        <v>4</v>
      </c>
      <c r="J66">
        <v>4</v>
      </c>
    </row>
    <row r="67" spans="1:14" x14ac:dyDescent="0.2">
      <c r="A67" s="54">
        <v>65</v>
      </c>
      <c r="B67">
        <v>17331</v>
      </c>
      <c r="C67">
        <v>66</v>
      </c>
      <c r="D67" t="s">
        <v>719</v>
      </c>
      <c r="E67" t="s">
        <v>6907</v>
      </c>
      <c r="F67" t="s">
        <v>7119</v>
      </c>
      <c r="G67">
        <v>2</v>
      </c>
      <c r="H67" t="b">
        <v>1</v>
      </c>
      <c r="I67">
        <v>4</v>
      </c>
      <c r="J67">
        <v>4</v>
      </c>
    </row>
    <row r="68" spans="1:14" x14ac:dyDescent="0.2">
      <c r="A68" s="54">
        <v>66</v>
      </c>
      <c r="B68">
        <v>17331</v>
      </c>
      <c r="C68">
        <v>67</v>
      </c>
      <c r="D68" t="s">
        <v>722</v>
      </c>
      <c r="E68" t="s">
        <v>2672</v>
      </c>
      <c r="F68" t="s">
        <v>7120</v>
      </c>
      <c r="G68">
        <v>1</v>
      </c>
      <c r="H68" t="b">
        <v>1</v>
      </c>
      <c r="I68">
        <v>1</v>
      </c>
      <c r="J68">
        <v>1</v>
      </c>
      <c r="N68">
        <v>2</v>
      </c>
    </row>
    <row r="69" spans="1:14" x14ac:dyDescent="0.2">
      <c r="A69" s="54">
        <v>67</v>
      </c>
      <c r="B69">
        <v>17332</v>
      </c>
      <c r="C69">
        <v>68</v>
      </c>
      <c r="D69" t="s">
        <v>723</v>
      </c>
      <c r="E69" t="s">
        <v>2728</v>
      </c>
      <c r="F69" t="s">
        <v>7121</v>
      </c>
      <c r="G69">
        <v>1</v>
      </c>
      <c r="H69" t="b">
        <v>1</v>
      </c>
      <c r="I69">
        <v>1</v>
      </c>
      <c r="J69">
        <v>1</v>
      </c>
      <c r="N69">
        <v>1</v>
      </c>
    </row>
    <row r="70" spans="1:14" x14ac:dyDescent="0.2">
      <c r="A70" s="54">
        <v>68</v>
      </c>
      <c r="B70">
        <v>17332</v>
      </c>
      <c r="C70">
        <v>69</v>
      </c>
      <c r="D70" t="s">
        <v>725</v>
      </c>
      <c r="E70" t="s">
        <v>6324</v>
      </c>
      <c r="F70" t="s">
        <v>7122</v>
      </c>
      <c r="G70">
        <v>1</v>
      </c>
      <c r="H70" t="b">
        <v>1</v>
      </c>
      <c r="I70">
        <v>1</v>
      </c>
      <c r="J70">
        <v>1</v>
      </c>
      <c r="N70">
        <v>1</v>
      </c>
    </row>
    <row r="71" spans="1:14" x14ac:dyDescent="0.2">
      <c r="A71" s="54">
        <v>69</v>
      </c>
      <c r="B71">
        <v>17332</v>
      </c>
      <c r="C71">
        <v>70</v>
      </c>
      <c r="D71" t="s">
        <v>728</v>
      </c>
      <c r="E71" t="s">
        <v>6909</v>
      </c>
      <c r="F71" t="s">
        <v>7123</v>
      </c>
      <c r="G71">
        <v>4</v>
      </c>
      <c r="H71" t="b">
        <v>1</v>
      </c>
      <c r="I71">
        <v>5</v>
      </c>
      <c r="J71">
        <v>1</v>
      </c>
      <c r="K71">
        <v>1</v>
      </c>
      <c r="L71">
        <v>2</v>
      </c>
      <c r="M71">
        <v>1</v>
      </c>
      <c r="N71">
        <v>1</v>
      </c>
    </row>
    <row r="72" spans="1:14" x14ac:dyDescent="0.2">
      <c r="A72" s="54">
        <v>70</v>
      </c>
      <c r="B72">
        <v>17332</v>
      </c>
      <c r="C72">
        <v>71</v>
      </c>
      <c r="D72" t="s">
        <v>731</v>
      </c>
      <c r="E72" t="s">
        <v>6328</v>
      </c>
      <c r="F72" t="s">
        <v>7124</v>
      </c>
      <c r="G72">
        <v>1</v>
      </c>
      <c r="H72" t="b">
        <v>1</v>
      </c>
      <c r="I72">
        <v>2</v>
      </c>
      <c r="J72">
        <v>1</v>
      </c>
      <c r="K72">
        <v>1</v>
      </c>
      <c r="N72">
        <v>2</v>
      </c>
    </row>
    <row r="73" spans="1:14" x14ac:dyDescent="0.2">
      <c r="A73" s="54">
        <v>71</v>
      </c>
      <c r="B73">
        <v>17337</v>
      </c>
      <c r="C73">
        <v>72</v>
      </c>
      <c r="D73" t="s">
        <v>732</v>
      </c>
      <c r="E73" t="s">
        <v>6330</v>
      </c>
      <c r="F73" t="s">
        <v>7125</v>
      </c>
      <c r="G73">
        <v>1</v>
      </c>
      <c r="H73" t="b">
        <v>1</v>
      </c>
      <c r="I73">
        <v>2</v>
      </c>
      <c r="J73">
        <v>2</v>
      </c>
    </row>
    <row r="74" spans="1:14" x14ac:dyDescent="0.2">
      <c r="A74" s="54">
        <v>72</v>
      </c>
      <c r="B74">
        <v>17338</v>
      </c>
      <c r="C74">
        <v>73</v>
      </c>
      <c r="D74" t="s">
        <v>734</v>
      </c>
      <c r="E74" t="s">
        <v>6332</v>
      </c>
      <c r="F74" t="s">
        <v>7126</v>
      </c>
      <c r="G74">
        <v>5</v>
      </c>
      <c r="H74" t="b">
        <v>0</v>
      </c>
      <c r="I74">
        <v>3</v>
      </c>
      <c r="J74">
        <v>3</v>
      </c>
    </row>
    <row r="75" spans="1:14" x14ac:dyDescent="0.2">
      <c r="A75" s="54">
        <v>73</v>
      </c>
      <c r="B75">
        <v>17339</v>
      </c>
      <c r="C75">
        <v>74</v>
      </c>
      <c r="D75" t="s">
        <v>736</v>
      </c>
      <c r="E75" t="s">
        <v>6334</v>
      </c>
      <c r="F75" t="s">
        <v>7127</v>
      </c>
      <c r="G75">
        <v>1</v>
      </c>
      <c r="H75" t="b">
        <v>1</v>
      </c>
      <c r="I75">
        <v>1</v>
      </c>
      <c r="J75">
        <v>1</v>
      </c>
    </row>
    <row r="76" spans="1:14" x14ac:dyDescent="0.2">
      <c r="A76" s="54">
        <v>74</v>
      </c>
      <c r="B76">
        <v>17344</v>
      </c>
      <c r="C76">
        <v>75</v>
      </c>
      <c r="D76" t="s">
        <v>738</v>
      </c>
      <c r="E76" t="s">
        <v>6336</v>
      </c>
      <c r="F76" t="s">
        <v>7128</v>
      </c>
      <c r="G76">
        <v>1</v>
      </c>
      <c r="H76" t="b">
        <v>1</v>
      </c>
      <c r="I76">
        <v>1</v>
      </c>
      <c r="J76">
        <v>1</v>
      </c>
    </row>
    <row r="77" spans="1:14" x14ac:dyDescent="0.2">
      <c r="A77" s="54">
        <v>75</v>
      </c>
      <c r="B77">
        <v>17344</v>
      </c>
      <c r="C77">
        <v>76</v>
      </c>
      <c r="D77" t="s">
        <v>740</v>
      </c>
      <c r="E77" t="s">
        <v>6338</v>
      </c>
      <c r="F77" t="s">
        <v>7129</v>
      </c>
      <c r="G77">
        <v>1</v>
      </c>
      <c r="H77" t="b">
        <v>1</v>
      </c>
      <c r="I77">
        <v>3</v>
      </c>
      <c r="J77">
        <v>3</v>
      </c>
    </row>
    <row r="78" spans="1:14" x14ac:dyDescent="0.2">
      <c r="A78" s="54">
        <v>76</v>
      </c>
      <c r="B78">
        <v>17344</v>
      </c>
      <c r="C78">
        <v>77</v>
      </c>
      <c r="D78" t="s">
        <v>741</v>
      </c>
      <c r="E78" t="s">
        <v>6340</v>
      </c>
      <c r="F78" t="s">
        <v>7130</v>
      </c>
      <c r="G78">
        <v>1</v>
      </c>
      <c r="H78" t="b">
        <v>1</v>
      </c>
      <c r="I78">
        <v>2</v>
      </c>
      <c r="J78">
        <v>1</v>
      </c>
      <c r="K78">
        <v>1</v>
      </c>
    </row>
    <row r="79" spans="1:14" x14ac:dyDescent="0.2">
      <c r="A79" s="54">
        <v>77</v>
      </c>
      <c r="B79">
        <v>17345</v>
      </c>
      <c r="C79">
        <v>78</v>
      </c>
      <c r="D79" t="s">
        <v>742</v>
      </c>
      <c r="E79" t="s">
        <v>6912</v>
      </c>
      <c r="F79" t="s">
        <v>7131</v>
      </c>
      <c r="G79">
        <v>5</v>
      </c>
      <c r="H79" t="b">
        <v>0</v>
      </c>
      <c r="I79">
        <v>6</v>
      </c>
      <c r="J79">
        <v>3</v>
      </c>
      <c r="K79">
        <v>3</v>
      </c>
    </row>
    <row r="80" spans="1:14" x14ac:dyDescent="0.2">
      <c r="A80" s="54">
        <v>78</v>
      </c>
      <c r="B80">
        <v>17345</v>
      </c>
      <c r="C80">
        <v>79</v>
      </c>
      <c r="D80" t="s">
        <v>744</v>
      </c>
      <c r="E80" t="s">
        <v>6344</v>
      </c>
      <c r="F80" t="s">
        <v>7132</v>
      </c>
      <c r="G80">
        <v>1</v>
      </c>
      <c r="H80" t="b">
        <v>1</v>
      </c>
      <c r="I80">
        <v>4</v>
      </c>
      <c r="J80">
        <v>4</v>
      </c>
    </row>
    <row r="81" spans="1:14" x14ac:dyDescent="0.2">
      <c r="A81" s="54">
        <v>79</v>
      </c>
      <c r="B81">
        <v>17345</v>
      </c>
      <c r="C81">
        <v>80</v>
      </c>
      <c r="D81" t="s">
        <v>745</v>
      </c>
      <c r="E81" t="s">
        <v>6346</v>
      </c>
      <c r="F81" t="s">
        <v>7133</v>
      </c>
      <c r="G81">
        <v>1</v>
      </c>
      <c r="H81" t="b">
        <v>1</v>
      </c>
      <c r="I81">
        <v>1</v>
      </c>
      <c r="J81">
        <v>1</v>
      </c>
      <c r="N81">
        <v>1</v>
      </c>
    </row>
    <row r="82" spans="1:14" x14ac:dyDescent="0.2">
      <c r="A82" s="54">
        <v>80</v>
      </c>
      <c r="B82">
        <v>17345</v>
      </c>
      <c r="C82">
        <v>81</v>
      </c>
      <c r="D82" t="s">
        <v>746</v>
      </c>
      <c r="E82" t="s">
        <v>6914</v>
      </c>
      <c r="F82" t="s">
        <v>7134</v>
      </c>
      <c r="G82">
        <v>5</v>
      </c>
      <c r="H82" t="b">
        <v>0</v>
      </c>
      <c r="I82">
        <v>4</v>
      </c>
      <c r="J82">
        <v>3</v>
      </c>
      <c r="K82">
        <v>1</v>
      </c>
    </row>
    <row r="83" spans="1:14" x14ac:dyDescent="0.2">
      <c r="A83" s="54">
        <v>81</v>
      </c>
      <c r="B83">
        <v>17346</v>
      </c>
      <c r="C83">
        <v>82</v>
      </c>
      <c r="D83" t="s">
        <v>747</v>
      </c>
      <c r="E83" t="s">
        <v>6916</v>
      </c>
      <c r="F83" t="s">
        <v>7135</v>
      </c>
      <c r="G83">
        <v>5</v>
      </c>
      <c r="H83" t="b">
        <v>0</v>
      </c>
      <c r="I83">
        <v>1</v>
      </c>
      <c r="J83">
        <v>1</v>
      </c>
    </row>
    <row r="84" spans="1:14" x14ac:dyDescent="0.2">
      <c r="A84" s="54">
        <v>82</v>
      </c>
      <c r="B84">
        <v>17347</v>
      </c>
      <c r="C84">
        <v>83</v>
      </c>
      <c r="D84" t="s">
        <v>749</v>
      </c>
      <c r="E84" t="s">
        <v>6352</v>
      </c>
      <c r="F84" t="s">
        <v>7136</v>
      </c>
      <c r="G84">
        <v>1</v>
      </c>
      <c r="H84" t="b">
        <v>1</v>
      </c>
      <c r="I84">
        <v>2</v>
      </c>
      <c r="J84">
        <v>2</v>
      </c>
    </row>
    <row r="85" spans="1:14" x14ac:dyDescent="0.2">
      <c r="A85" s="54">
        <v>83</v>
      </c>
      <c r="B85">
        <v>17348</v>
      </c>
      <c r="C85">
        <v>84</v>
      </c>
      <c r="D85" t="s">
        <v>751</v>
      </c>
      <c r="E85" t="s">
        <v>6354</v>
      </c>
      <c r="F85" t="s">
        <v>7137</v>
      </c>
      <c r="G85">
        <v>1</v>
      </c>
      <c r="H85" t="b">
        <v>1</v>
      </c>
      <c r="I85">
        <v>2</v>
      </c>
      <c r="J85">
        <v>2</v>
      </c>
    </row>
    <row r="86" spans="1:14" x14ac:dyDescent="0.2">
      <c r="A86" s="54">
        <v>84</v>
      </c>
      <c r="B86">
        <v>17348</v>
      </c>
      <c r="C86">
        <v>85</v>
      </c>
      <c r="D86" t="s">
        <v>753</v>
      </c>
      <c r="E86" t="s">
        <v>6356</v>
      </c>
      <c r="F86" t="s">
        <v>7138</v>
      </c>
      <c r="G86">
        <v>1</v>
      </c>
      <c r="H86" t="b">
        <v>1</v>
      </c>
      <c r="I86">
        <v>2</v>
      </c>
      <c r="J86">
        <v>2</v>
      </c>
    </row>
    <row r="87" spans="1:14" x14ac:dyDescent="0.2">
      <c r="A87" s="54">
        <v>85</v>
      </c>
      <c r="B87">
        <v>17348</v>
      </c>
      <c r="C87">
        <v>86</v>
      </c>
      <c r="D87" t="s">
        <v>754</v>
      </c>
      <c r="E87" t="s">
        <v>6358</v>
      </c>
      <c r="F87" t="s">
        <v>7139</v>
      </c>
      <c r="G87">
        <v>1</v>
      </c>
      <c r="H87" t="b">
        <v>1</v>
      </c>
      <c r="I87">
        <v>6</v>
      </c>
      <c r="J87">
        <v>4</v>
      </c>
      <c r="M87">
        <v>2</v>
      </c>
    </row>
    <row r="88" spans="1:14" x14ac:dyDescent="0.2">
      <c r="A88" s="54">
        <v>86</v>
      </c>
      <c r="B88">
        <v>17349</v>
      </c>
      <c r="C88">
        <v>87</v>
      </c>
      <c r="D88" t="s">
        <v>755</v>
      </c>
      <c r="E88" t="s">
        <v>6360</v>
      </c>
      <c r="F88" t="s">
        <v>7140</v>
      </c>
      <c r="G88">
        <v>1</v>
      </c>
      <c r="H88" t="b">
        <v>1</v>
      </c>
      <c r="I88">
        <v>1</v>
      </c>
      <c r="J88">
        <v>1</v>
      </c>
    </row>
    <row r="89" spans="1:14" x14ac:dyDescent="0.2">
      <c r="A89" s="54">
        <v>87</v>
      </c>
      <c r="B89">
        <v>17349</v>
      </c>
      <c r="C89">
        <v>88</v>
      </c>
      <c r="D89" t="s">
        <v>757</v>
      </c>
      <c r="E89" t="s">
        <v>6362</v>
      </c>
      <c r="F89" t="s">
        <v>7141</v>
      </c>
      <c r="G89">
        <v>1</v>
      </c>
      <c r="H89" t="b">
        <v>1</v>
      </c>
      <c r="I89">
        <v>2</v>
      </c>
      <c r="J89">
        <v>2</v>
      </c>
    </row>
    <row r="90" spans="1:14" x14ac:dyDescent="0.2">
      <c r="A90" s="54">
        <v>88</v>
      </c>
      <c r="B90">
        <v>17349</v>
      </c>
      <c r="C90">
        <v>89</v>
      </c>
      <c r="D90" t="s">
        <v>758</v>
      </c>
      <c r="E90" t="s">
        <v>6364</v>
      </c>
      <c r="F90" t="s">
        <v>7142</v>
      </c>
      <c r="G90">
        <v>1</v>
      </c>
      <c r="H90" t="b">
        <v>1</v>
      </c>
      <c r="I90">
        <v>1</v>
      </c>
      <c r="J90">
        <v>1</v>
      </c>
    </row>
    <row r="91" spans="1:14" x14ac:dyDescent="0.2">
      <c r="A91" s="54">
        <v>89</v>
      </c>
      <c r="B91">
        <v>17350</v>
      </c>
      <c r="C91">
        <v>90</v>
      </c>
      <c r="D91" t="s">
        <v>759</v>
      </c>
      <c r="E91" t="s">
        <v>6366</v>
      </c>
      <c r="F91" t="s">
        <v>7143</v>
      </c>
      <c r="G91">
        <v>1</v>
      </c>
      <c r="H91" t="b">
        <v>1</v>
      </c>
      <c r="I91">
        <v>1</v>
      </c>
      <c r="J91">
        <v>1</v>
      </c>
    </row>
    <row r="92" spans="1:14" x14ac:dyDescent="0.2">
      <c r="A92" s="54">
        <v>90</v>
      </c>
      <c r="B92">
        <v>17351</v>
      </c>
      <c r="C92">
        <v>91</v>
      </c>
      <c r="D92" t="s">
        <v>761</v>
      </c>
      <c r="E92" t="s">
        <v>6368</v>
      </c>
      <c r="F92" t="s">
        <v>7144</v>
      </c>
      <c r="G92">
        <v>1</v>
      </c>
      <c r="H92" t="b">
        <v>1</v>
      </c>
      <c r="I92">
        <v>1</v>
      </c>
      <c r="J92">
        <v>1</v>
      </c>
    </row>
    <row r="93" spans="1:14" x14ac:dyDescent="0.2">
      <c r="A93" s="54">
        <v>91</v>
      </c>
      <c r="B93">
        <v>17351</v>
      </c>
      <c r="C93">
        <v>92</v>
      </c>
      <c r="D93" t="s">
        <v>763</v>
      </c>
      <c r="E93" t="s">
        <v>6370</v>
      </c>
      <c r="F93" t="s">
        <v>7145</v>
      </c>
      <c r="G93">
        <v>1</v>
      </c>
      <c r="H93" t="b">
        <v>1</v>
      </c>
      <c r="I93">
        <v>1</v>
      </c>
      <c r="J93">
        <v>1</v>
      </c>
    </row>
    <row r="94" spans="1:14" x14ac:dyDescent="0.2">
      <c r="A94" s="54">
        <v>92</v>
      </c>
      <c r="B94">
        <v>17351</v>
      </c>
      <c r="C94">
        <v>93</v>
      </c>
      <c r="D94" t="s">
        <v>764</v>
      </c>
      <c r="E94" t="s">
        <v>6372</v>
      </c>
      <c r="F94" t="s">
        <v>7146</v>
      </c>
      <c r="G94">
        <v>1</v>
      </c>
      <c r="H94" t="b">
        <v>1</v>
      </c>
      <c r="I94">
        <v>1</v>
      </c>
      <c r="J94">
        <v>1</v>
      </c>
    </row>
    <row r="95" spans="1:14" x14ac:dyDescent="0.2">
      <c r="A95" s="54">
        <v>93</v>
      </c>
      <c r="B95">
        <v>17352</v>
      </c>
      <c r="C95">
        <v>94</v>
      </c>
      <c r="D95" t="s">
        <v>765</v>
      </c>
      <c r="E95" t="s">
        <v>6381</v>
      </c>
      <c r="F95" t="s">
        <v>7147</v>
      </c>
      <c r="G95">
        <v>5</v>
      </c>
      <c r="H95" t="b">
        <v>1</v>
      </c>
      <c r="I95">
        <v>2</v>
      </c>
      <c r="J95">
        <v>1</v>
      </c>
      <c r="K95">
        <v>1</v>
      </c>
    </row>
    <row r="96" spans="1:14" x14ac:dyDescent="0.2">
      <c r="A96" s="54">
        <v>94</v>
      </c>
      <c r="B96">
        <v>17352</v>
      </c>
      <c r="C96">
        <v>95</v>
      </c>
      <c r="D96" t="s">
        <v>767</v>
      </c>
      <c r="E96" t="s">
        <v>6376</v>
      </c>
      <c r="F96" t="s">
        <v>7148</v>
      </c>
      <c r="G96">
        <v>5</v>
      </c>
      <c r="H96" t="b">
        <v>0</v>
      </c>
      <c r="I96">
        <v>1</v>
      </c>
      <c r="J96">
        <v>1</v>
      </c>
      <c r="N96">
        <v>1</v>
      </c>
    </row>
    <row r="97" spans="1:14" x14ac:dyDescent="0.2">
      <c r="A97" s="54">
        <v>95</v>
      </c>
      <c r="B97">
        <v>17352</v>
      </c>
      <c r="C97">
        <v>96</v>
      </c>
      <c r="D97" t="s">
        <v>768</v>
      </c>
      <c r="E97" t="s">
        <v>6376</v>
      </c>
      <c r="F97" t="s">
        <v>7149</v>
      </c>
      <c r="G97">
        <v>5</v>
      </c>
      <c r="H97" t="b">
        <v>0</v>
      </c>
      <c r="I97">
        <v>1</v>
      </c>
      <c r="J97">
        <v>1</v>
      </c>
      <c r="N97">
        <v>1</v>
      </c>
    </row>
    <row r="98" spans="1:14" x14ac:dyDescent="0.2">
      <c r="A98" s="54">
        <v>96</v>
      </c>
      <c r="B98">
        <v>17352</v>
      </c>
      <c r="C98">
        <v>97</v>
      </c>
      <c r="D98" t="s">
        <v>769</v>
      </c>
      <c r="E98" t="s">
        <v>6376</v>
      </c>
      <c r="F98" t="s">
        <v>7150</v>
      </c>
      <c r="G98">
        <v>5</v>
      </c>
      <c r="H98" t="b">
        <v>0</v>
      </c>
      <c r="I98">
        <v>8</v>
      </c>
      <c r="K98">
        <v>5</v>
      </c>
      <c r="L98">
        <v>3</v>
      </c>
    </row>
    <row r="99" spans="1:14" x14ac:dyDescent="0.2">
      <c r="A99" s="54">
        <v>97</v>
      </c>
      <c r="B99">
        <v>17352</v>
      </c>
      <c r="C99">
        <v>98</v>
      </c>
      <c r="D99" t="s">
        <v>770</v>
      </c>
      <c r="E99" t="s">
        <v>3874</v>
      </c>
      <c r="F99" t="s">
        <v>7151</v>
      </c>
      <c r="G99">
        <v>4</v>
      </c>
      <c r="H99" t="b">
        <v>1</v>
      </c>
      <c r="I99">
        <v>3</v>
      </c>
      <c r="K99">
        <v>2</v>
      </c>
      <c r="L99">
        <v>1</v>
      </c>
      <c r="N99">
        <v>1</v>
      </c>
    </row>
    <row r="100" spans="1:14" x14ac:dyDescent="0.2">
      <c r="A100" s="54">
        <v>98</v>
      </c>
      <c r="B100">
        <v>17352</v>
      </c>
      <c r="C100">
        <v>99</v>
      </c>
      <c r="D100" t="s">
        <v>771</v>
      </c>
      <c r="E100" t="s">
        <v>6381</v>
      </c>
      <c r="F100" t="s">
        <v>7152</v>
      </c>
      <c r="G100">
        <v>1</v>
      </c>
      <c r="H100" t="b">
        <v>1</v>
      </c>
      <c r="I100">
        <v>2</v>
      </c>
      <c r="J100">
        <v>1</v>
      </c>
      <c r="K100">
        <v>1</v>
      </c>
    </row>
    <row r="101" spans="1:14" x14ac:dyDescent="0.2">
      <c r="A101" s="54">
        <v>99</v>
      </c>
      <c r="B101">
        <v>17352</v>
      </c>
      <c r="C101">
        <v>100</v>
      </c>
      <c r="D101" t="s">
        <v>772</v>
      </c>
      <c r="E101" t="s">
        <v>6922</v>
      </c>
      <c r="F101" t="s">
        <v>7153</v>
      </c>
      <c r="G101">
        <v>5</v>
      </c>
      <c r="H101" t="b">
        <v>0</v>
      </c>
      <c r="I101">
        <v>1</v>
      </c>
      <c r="L101">
        <v>1</v>
      </c>
    </row>
    <row r="102" spans="1:14" x14ac:dyDescent="0.2">
      <c r="A102" s="54">
        <v>100</v>
      </c>
      <c r="B102">
        <v>17352</v>
      </c>
      <c r="C102">
        <v>101</v>
      </c>
      <c r="D102" t="s">
        <v>773</v>
      </c>
      <c r="E102" t="s">
        <v>6384</v>
      </c>
      <c r="F102" t="s">
        <v>7154</v>
      </c>
      <c r="G102">
        <v>5</v>
      </c>
      <c r="H102" t="b">
        <v>0</v>
      </c>
      <c r="I102">
        <v>1</v>
      </c>
      <c r="L102">
        <v>1</v>
      </c>
    </row>
    <row r="103" spans="1:14" x14ac:dyDescent="0.2">
      <c r="A103" s="54">
        <v>101</v>
      </c>
      <c r="B103">
        <v>17352</v>
      </c>
      <c r="C103">
        <v>102</v>
      </c>
      <c r="D103" t="s">
        <v>774</v>
      </c>
      <c r="E103" t="s">
        <v>6376</v>
      </c>
      <c r="F103" t="s">
        <v>7155</v>
      </c>
      <c r="G103">
        <v>5</v>
      </c>
      <c r="H103" t="b">
        <v>0</v>
      </c>
      <c r="I103">
        <v>1</v>
      </c>
      <c r="L103">
        <v>1</v>
      </c>
    </row>
    <row r="104" spans="1:14" x14ac:dyDescent="0.2">
      <c r="A104" s="54">
        <v>102</v>
      </c>
      <c r="B104">
        <v>17353</v>
      </c>
      <c r="C104">
        <v>103</v>
      </c>
      <c r="D104" t="s">
        <v>775</v>
      </c>
      <c r="E104" t="s">
        <v>6387</v>
      </c>
      <c r="F104" t="s">
        <v>7156</v>
      </c>
      <c r="G104">
        <v>1</v>
      </c>
      <c r="H104" t="b">
        <v>1</v>
      </c>
      <c r="I104">
        <v>1</v>
      </c>
      <c r="J104">
        <v>1</v>
      </c>
    </row>
    <row r="105" spans="1:14" x14ac:dyDescent="0.2">
      <c r="A105" s="54">
        <v>103</v>
      </c>
      <c r="B105">
        <v>17353</v>
      </c>
      <c r="C105">
        <v>104</v>
      </c>
      <c r="D105" t="s">
        <v>777</v>
      </c>
      <c r="E105" t="s">
        <v>3923</v>
      </c>
      <c r="F105" t="s">
        <v>7157</v>
      </c>
      <c r="G105">
        <v>1</v>
      </c>
      <c r="H105" t="b">
        <v>1</v>
      </c>
      <c r="I105">
        <v>1</v>
      </c>
      <c r="J105">
        <v>1</v>
      </c>
    </row>
    <row r="106" spans="1:14" x14ac:dyDescent="0.2">
      <c r="A106" s="54">
        <v>104</v>
      </c>
      <c r="B106">
        <v>17353</v>
      </c>
      <c r="C106">
        <v>105</v>
      </c>
      <c r="D106" t="s">
        <v>778</v>
      </c>
      <c r="E106" t="s">
        <v>6390</v>
      </c>
      <c r="F106" t="s">
        <v>7158</v>
      </c>
      <c r="G106">
        <v>1</v>
      </c>
      <c r="H106" t="b">
        <v>1</v>
      </c>
      <c r="I106">
        <v>1</v>
      </c>
      <c r="J106">
        <v>1</v>
      </c>
    </row>
    <row r="107" spans="1:14" x14ac:dyDescent="0.2">
      <c r="A107" s="54">
        <v>105</v>
      </c>
      <c r="B107">
        <v>17353</v>
      </c>
      <c r="C107">
        <v>106</v>
      </c>
      <c r="D107" t="s">
        <v>779</v>
      </c>
      <c r="E107" t="s">
        <v>3927</v>
      </c>
      <c r="F107" t="s">
        <v>7159</v>
      </c>
      <c r="G107">
        <v>1</v>
      </c>
      <c r="H107" t="b">
        <v>1</v>
      </c>
      <c r="I107">
        <v>1</v>
      </c>
      <c r="J107">
        <v>1</v>
      </c>
    </row>
    <row r="108" spans="1:14" x14ac:dyDescent="0.2">
      <c r="A108" s="54">
        <v>106</v>
      </c>
      <c r="B108">
        <v>17354</v>
      </c>
      <c r="C108">
        <v>107</v>
      </c>
      <c r="D108" t="s">
        <v>780</v>
      </c>
      <c r="E108" t="s">
        <v>6926</v>
      </c>
      <c r="F108" t="s">
        <v>7160</v>
      </c>
      <c r="G108">
        <v>5</v>
      </c>
      <c r="H108" t="b">
        <v>0</v>
      </c>
      <c r="I108">
        <v>2</v>
      </c>
      <c r="J108">
        <v>1</v>
      </c>
      <c r="L108">
        <v>1</v>
      </c>
    </row>
    <row r="109" spans="1:14" x14ac:dyDescent="0.2">
      <c r="A109" s="54">
        <v>107</v>
      </c>
      <c r="B109">
        <v>17354</v>
      </c>
      <c r="C109">
        <v>108</v>
      </c>
      <c r="D109" t="s">
        <v>783</v>
      </c>
      <c r="E109" t="s">
        <v>6928</v>
      </c>
      <c r="F109" t="s">
        <v>7161</v>
      </c>
      <c r="G109">
        <v>2</v>
      </c>
      <c r="H109" t="b">
        <v>1</v>
      </c>
      <c r="I109">
        <v>3</v>
      </c>
      <c r="J109">
        <v>3</v>
      </c>
    </row>
    <row r="110" spans="1:14" x14ac:dyDescent="0.2">
      <c r="A110" s="54">
        <v>108</v>
      </c>
      <c r="B110">
        <v>17354</v>
      </c>
      <c r="C110">
        <v>109</v>
      </c>
      <c r="D110" t="s">
        <v>784</v>
      </c>
      <c r="E110" t="s">
        <v>6930</v>
      </c>
      <c r="F110" t="s">
        <v>7162</v>
      </c>
      <c r="G110">
        <v>5</v>
      </c>
      <c r="H110" t="b">
        <v>0</v>
      </c>
      <c r="I110">
        <v>2</v>
      </c>
      <c r="J110">
        <v>2</v>
      </c>
    </row>
    <row r="111" spans="1:14" x14ac:dyDescent="0.2">
      <c r="A111" s="54">
        <v>109</v>
      </c>
      <c r="B111">
        <v>17354</v>
      </c>
      <c r="C111">
        <v>110</v>
      </c>
      <c r="D111" t="s">
        <v>785</v>
      </c>
      <c r="E111" t="s">
        <v>6932</v>
      </c>
      <c r="F111" t="s">
        <v>7163</v>
      </c>
      <c r="G111">
        <v>5</v>
      </c>
      <c r="H111" t="b">
        <v>0</v>
      </c>
      <c r="I111">
        <v>2</v>
      </c>
      <c r="J111">
        <v>2</v>
      </c>
    </row>
    <row r="112" spans="1:14" x14ac:dyDescent="0.2">
      <c r="A112" s="54">
        <v>110</v>
      </c>
      <c r="B112">
        <v>17354</v>
      </c>
      <c r="C112">
        <v>111</v>
      </c>
      <c r="D112" t="s">
        <v>786</v>
      </c>
      <c r="E112" t="s">
        <v>6934</v>
      </c>
      <c r="F112" t="s">
        <v>7164</v>
      </c>
      <c r="G112">
        <v>5</v>
      </c>
      <c r="H112" t="b">
        <v>0</v>
      </c>
      <c r="I112">
        <v>3</v>
      </c>
      <c r="L112">
        <v>2</v>
      </c>
      <c r="M112">
        <v>1</v>
      </c>
    </row>
    <row r="113" spans="1:14" x14ac:dyDescent="0.2">
      <c r="A113" s="54">
        <v>111</v>
      </c>
      <c r="B113">
        <v>17354</v>
      </c>
      <c r="C113">
        <v>112</v>
      </c>
      <c r="D113" t="s">
        <v>787</v>
      </c>
      <c r="E113" t="s">
        <v>6936</v>
      </c>
      <c r="F113" t="s">
        <v>7165</v>
      </c>
      <c r="G113">
        <v>4</v>
      </c>
      <c r="H113" t="b">
        <v>1</v>
      </c>
      <c r="I113">
        <v>3</v>
      </c>
      <c r="J113">
        <v>1</v>
      </c>
      <c r="M113">
        <v>2</v>
      </c>
    </row>
    <row r="114" spans="1:14" x14ac:dyDescent="0.2">
      <c r="A114" s="54">
        <v>112</v>
      </c>
      <c r="B114">
        <v>17355</v>
      </c>
      <c r="C114">
        <v>113</v>
      </c>
      <c r="D114" t="s">
        <v>788</v>
      </c>
      <c r="E114" t="s">
        <v>6404</v>
      </c>
      <c r="F114" t="s">
        <v>7166</v>
      </c>
      <c r="G114">
        <v>1</v>
      </c>
      <c r="H114" t="b">
        <v>1</v>
      </c>
      <c r="I114">
        <v>2</v>
      </c>
      <c r="J114">
        <v>2</v>
      </c>
    </row>
    <row r="115" spans="1:14" x14ac:dyDescent="0.2">
      <c r="A115" s="54">
        <v>113</v>
      </c>
      <c r="B115">
        <v>17355</v>
      </c>
      <c r="C115">
        <v>114</v>
      </c>
      <c r="D115" t="s">
        <v>790</v>
      </c>
      <c r="E115" t="s">
        <v>6406</v>
      </c>
      <c r="F115" t="s">
        <v>7167</v>
      </c>
      <c r="G115">
        <v>1</v>
      </c>
      <c r="H115" t="b">
        <v>1</v>
      </c>
      <c r="I115">
        <v>1</v>
      </c>
      <c r="J115">
        <v>1</v>
      </c>
    </row>
    <row r="116" spans="1:14" x14ac:dyDescent="0.2">
      <c r="A116" s="54">
        <v>114</v>
      </c>
      <c r="B116">
        <v>17355</v>
      </c>
      <c r="C116">
        <v>115</v>
      </c>
      <c r="D116" t="s">
        <v>791</v>
      </c>
      <c r="E116" t="s">
        <v>6408</v>
      </c>
      <c r="F116" t="s">
        <v>7168</v>
      </c>
      <c r="G116">
        <v>1</v>
      </c>
      <c r="H116" t="b">
        <v>1</v>
      </c>
      <c r="I116">
        <v>1</v>
      </c>
      <c r="J116">
        <v>1</v>
      </c>
    </row>
    <row r="117" spans="1:14" x14ac:dyDescent="0.2">
      <c r="A117" s="54">
        <v>115</v>
      </c>
      <c r="B117">
        <v>17355</v>
      </c>
      <c r="C117">
        <v>116</v>
      </c>
      <c r="D117" t="s">
        <v>792</v>
      </c>
      <c r="E117" t="s">
        <v>6410</v>
      </c>
      <c r="F117" t="s">
        <v>7169</v>
      </c>
      <c r="G117">
        <v>1</v>
      </c>
      <c r="H117" t="b">
        <v>1</v>
      </c>
      <c r="I117">
        <v>1</v>
      </c>
      <c r="J117">
        <v>1</v>
      </c>
    </row>
    <row r="118" spans="1:14" x14ac:dyDescent="0.2">
      <c r="A118" s="54">
        <v>116</v>
      </c>
      <c r="B118">
        <v>17355</v>
      </c>
      <c r="C118">
        <v>117</v>
      </c>
      <c r="D118" t="s">
        <v>793</v>
      </c>
      <c r="E118" t="s">
        <v>6412</v>
      </c>
      <c r="F118" t="s">
        <v>7170</v>
      </c>
      <c r="G118">
        <v>1</v>
      </c>
      <c r="H118" t="b">
        <v>1</v>
      </c>
      <c r="I118">
        <v>1</v>
      </c>
      <c r="J118">
        <v>1</v>
      </c>
      <c r="N118">
        <v>3</v>
      </c>
    </row>
    <row r="119" spans="1:14" x14ac:dyDescent="0.2">
      <c r="A119" s="54">
        <v>117</v>
      </c>
      <c r="B119">
        <v>17355</v>
      </c>
      <c r="C119">
        <v>118</v>
      </c>
      <c r="D119" t="s">
        <v>794</v>
      </c>
      <c r="E119" t="s">
        <v>6937</v>
      </c>
      <c r="F119" t="s">
        <v>7171</v>
      </c>
      <c r="G119">
        <v>5</v>
      </c>
      <c r="H119" t="b">
        <v>0</v>
      </c>
      <c r="I119">
        <v>4</v>
      </c>
      <c r="L119">
        <v>4</v>
      </c>
    </row>
    <row r="120" spans="1:14" x14ac:dyDescent="0.2">
      <c r="A120" s="54">
        <v>118</v>
      </c>
      <c r="B120">
        <v>17355</v>
      </c>
      <c r="C120">
        <v>119</v>
      </c>
      <c r="D120" t="s">
        <v>795</v>
      </c>
      <c r="E120" t="s">
        <v>6416</v>
      </c>
      <c r="F120" t="s">
        <v>7172</v>
      </c>
      <c r="G120">
        <v>1</v>
      </c>
      <c r="H120" t="b">
        <v>1</v>
      </c>
      <c r="I120">
        <v>3</v>
      </c>
      <c r="J120">
        <v>3</v>
      </c>
    </row>
    <row r="121" spans="1:14" x14ac:dyDescent="0.2">
      <c r="A121" s="54">
        <v>119</v>
      </c>
      <c r="B121">
        <v>17355</v>
      </c>
      <c r="C121">
        <v>120</v>
      </c>
      <c r="D121" t="s">
        <v>796</v>
      </c>
      <c r="E121" t="s">
        <v>6418</v>
      </c>
      <c r="F121" t="s">
        <v>7173</v>
      </c>
      <c r="G121">
        <v>1</v>
      </c>
      <c r="H121" t="b">
        <v>1</v>
      </c>
      <c r="I121">
        <v>2</v>
      </c>
      <c r="J121">
        <v>2</v>
      </c>
    </row>
    <row r="122" spans="1:14" x14ac:dyDescent="0.2">
      <c r="A122" s="54">
        <v>120</v>
      </c>
      <c r="B122">
        <v>17355</v>
      </c>
      <c r="C122">
        <v>121</v>
      </c>
      <c r="D122" t="s">
        <v>797</v>
      </c>
      <c r="E122" t="s">
        <v>6420</v>
      </c>
      <c r="F122" t="s">
        <v>7174</v>
      </c>
      <c r="G122">
        <v>1</v>
      </c>
      <c r="H122" t="b">
        <v>1</v>
      </c>
      <c r="I122">
        <v>3</v>
      </c>
      <c r="J122">
        <v>3</v>
      </c>
    </row>
    <row r="123" spans="1:14" x14ac:dyDescent="0.2">
      <c r="A123" s="54">
        <v>121</v>
      </c>
      <c r="B123">
        <v>17356</v>
      </c>
      <c r="C123">
        <v>122</v>
      </c>
      <c r="D123" t="s">
        <v>798</v>
      </c>
      <c r="E123" t="s">
        <v>6422</v>
      </c>
      <c r="F123" t="s">
        <v>7175</v>
      </c>
      <c r="G123">
        <v>1</v>
      </c>
      <c r="H123" t="b">
        <v>1</v>
      </c>
      <c r="I123">
        <v>1</v>
      </c>
      <c r="J123">
        <v>1</v>
      </c>
    </row>
    <row r="124" spans="1:14" x14ac:dyDescent="0.2">
      <c r="A124" s="54">
        <v>122</v>
      </c>
      <c r="B124">
        <v>17356</v>
      </c>
      <c r="C124">
        <v>123</v>
      </c>
      <c r="D124" t="s">
        <v>800</v>
      </c>
      <c r="E124" t="s">
        <v>6422</v>
      </c>
      <c r="F124" t="s">
        <v>7176</v>
      </c>
      <c r="G124">
        <v>1</v>
      </c>
      <c r="H124" t="b">
        <v>1</v>
      </c>
      <c r="I124">
        <v>1</v>
      </c>
      <c r="J124">
        <v>1</v>
      </c>
    </row>
    <row r="125" spans="1:14" x14ac:dyDescent="0.2">
      <c r="A125" s="54">
        <v>123</v>
      </c>
      <c r="B125">
        <v>17356</v>
      </c>
      <c r="C125">
        <v>124</v>
      </c>
      <c r="D125" t="s">
        <v>801</v>
      </c>
      <c r="E125" t="s">
        <v>6422</v>
      </c>
      <c r="F125" t="s">
        <v>7177</v>
      </c>
      <c r="G125">
        <v>1</v>
      </c>
      <c r="H125" t="b">
        <v>1</v>
      </c>
      <c r="I125">
        <v>1</v>
      </c>
      <c r="J125">
        <v>1</v>
      </c>
      <c r="N125">
        <v>2</v>
      </c>
    </row>
    <row r="126" spans="1:14" x14ac:dyDescent="0.2">
      <c r="A126" s="54">
        <v>124</v>
      </c>
      <c r="B126">
        <v>17356</v>
      </c>
      <c r="C126">
        <v>125</v>
      </c>
      <c r="D126" t="s">
        <v>801</v>
      </c>
      <c r="E126" t="s">
        <v>4056</v>
      </c>
      <c r="F126" t="s">
        <v>7178</v>
      </c>
      <c r="G126">
        <v>1</v>
      </c>
      <c r="H126" t="b">
        <v>1</v>
      </c>
      <c r="I126">
        <v>1</v>
      </c>
      <c r="J126">
        <v>1</v>
      </c>
      <c r="N126">
        <v>1</v>
      </c>
    </row>
    <row r="127" spans="1:14" x14ac:dyDescent="0.2">
      <c r="A127" s="54">
        <v>125</v>
      </c>
      <c r="B127">
        <v>17356</v>
      </c>
      <c r="C127">
        <v>126</v>
      </c>
      <c r="D127" t="s">
        <v>801</v>
      </c>
      <c r="E127" t="s">
        <v>4056</v>
      </c>
      <c r="F127" t="s">
        <v>7179</v>
      </c>
      <c r="G127">
        <v>1</v>
      </c>
      <c r="H127" t="b">
        <v>1</v>
      </c>
      <c r="I127">
        <v>1</v>
      </c>
      <c r="J127">
        <v>1</v>
      </c>
    </row>
    <row r="128" spans="1:14" x14ac:dyDescent="0.2">
      <c r="A128" s="54">
        <v>126</v>
      </c>
      <c r="B128">
        <v>17357</v>
      </c>
      <c r="C128">
        <v>127</v>
      </c>
      <c r="D128" t="s">
        <v>802</v>
      </c>
      <c r="E128" t="s">
        <v>6428</v>
      </c>
      <c r="F128" t="s">
        <v>7180</v>
      </c>
      <c r="G128">
        <v>1</v>
      </c>
      <c r="H128" t="b">
        <v>1</v>
      </c>
      <c r="I128">
        <v>1</v>
      </c>
      <c r="J128">
        <v>1</v>
      </c>
      <c r="N128">
        <v>1</v>
      </c>
    </row>
    <row r="129" spans="1:14" x14ac:dyDescent="0.2">
      <c r="A129" s="54">
        <v>127</v>
      </c>
      <c r="B129">
        <v>17357</v>
      </c>
      <c r="C129">
        <v>128</v>
      </c>
      <c r="D129" t="s">
        <v>804</v>
      </c>
      <c r="E129" t="s">
        <v>6430</v>
      </c>
      <c r="F129" t="s">
        <v>7181</v>
      </c>
      <c r="G129">
        <v>1</v>
      </c>
      <c r="H129" t="b">
        <v>1</v>
      </c>
      <c r="I129">
        <v>6</v>
      </c>
      <c r="J129">
        <v>3</v>
      </c>
      <c r="K129">
        <v>3</v>
      </c>
      <c r="N129">
        <v>2</v>
      </c>
    </row>
    <row r="130" spans="1:14" x14ac:dyDescent="0.2">
      <c r="A130" s="54">
        <v>128</v>
      </c>
      <c r="B130">
        <v>17357</v>
      </c>
      <c r="C130">
        <v>129</v>
      </c>
      <c r="D130" t="s">
        <v>805</v>
      </c>
      <c r="E130" t="s">
        <v>6432</v>
      </c>
      <c r="F130" t="s">
        <v>7182</v>
      </c>
      <c r="G130">
        <v>1</v>
      </c>
      <c r="H130" t="b">
        <v>1</v>
      </c>
      <c r="I130">
        <v>3</v>
      </c>
      <c r="J130">
        <v>3</v>
      </c>
    </row>
    <row r="131" spans="1:14" x14ac:dyDescent="0.2">
      <c r="A131" s="54">
        <v>129</v>
      </c>
      <c r="B131">
        <v>17357</v>
      </c>
      <c r="C131">
        <v>130</v>
      </c>
      <c r="D131" t="s">
        <v>806</v>
      </c>
      <c r="E131" t="s">
        <v>6434</v>
      </c>
      <c r="F131" t="s">
        <v>7183</v>
      </c>
      <c r="G131">
        <v>1</v>
      </c>
      <c r="H131" t="b">
        <v>1</v>
      </c>
      <c r="I131">
        <v>1</v>
      </c>
      <c r="J131">
        <v>1</v>
      </c>
    </row>
    <row r="132" spans="1:14" x14ac:dyDescent="0.2">
      <c r="A132" s="54">
        <v>130</v>
      </c>
      <c r="B132">
        <v>17357</v>
      </c>
      <c r="C132">
        <v>131</v>
      </c>
      <c r="D132" t="s">
        <v>809</v>
      </c>
      <c r="E132" t="s">
        <v>6436</v>
      </c>
      <c r="F132" t="s">
        <v>7184</v>
      </c>
      <c r="G132">
        <v>1</v>
      </c>
      <c r="H132" t="b">
        <v>1</v>
      </c>
      <c r="I132">
        <v>2</v>
      </c>
      <c r="J132">
        <v>2</v>
      </c>
    </row>
    <row r="133" spans="1:14" x14ac:dyDescent="0.2">
      <c r="A133" s="54">
        <v>131</v>
      </c>
      <c r="B133">
        <v>17357</v>
      </c>
      <c r="C133">
        <v>132</v>
      </c>
      <c r="D133" t="s">
        <v>812</v>
      </c>
      <c r="E133" t="s">
        <v>6438</v>
      </c>
      <c r="F133" t="s">
        <v>7185</v>
      </c>
      <c r="G133">
        <v>1</v>
      </c>
      <c r="H133" t="b">
        <v>1</v>
      </c>
      <c r="I133">
        <v>1</v>
      </c>
      <c r="J133">
        <v>1</v>
      </c>
    </row>
    <row r="134" spans="1:14" x14ac:dyDescent="0.2">
      <c r="A134" s="54">
        <v>132</v>
      </c>
      <c r="B134">
        <v>17358</v>
      </c>
      <c r="C134">
        <v>133</v>
      </c>
      <c r="D134" t="s">
        <v>813</v>
      </c>
      <c r="E134" t="s">
        <v>6440</v>
      </c>
      <c r="F134" t="s">
        <v>7186</v>
      </c>
      <c r="G134">
        <v>1</v>
      </c>
      <c r="H134" t="b">
        <v>1</v>
      </c>
      <c r="I134">
        <v>1</v>
      </c>
      <c r="J134">
        <v>1</v>
      </c>
    </row>
    <row r="135" spans="1:14" x14ac:dyDescent="0.2">
      <c r="A135" s="54">
        <v>133</v>
      </c>
      <c r="B135">
        <v>17358</v>
      </c>
      <c r="C135">
        <v>134</v>
      </c>
      <c r="D135" t="s">
        <v>815</v>
      </c>
      <c r="E135" t="s">
        <v>6442</v>
      </c>
      <c r="F135" t="s">
        <v>7187</v>
      </c>
      <c r="G135">
        <v>1</v>
      </c>
      <c r="H135" t="b">
        <v>1</v>
      </c>
      <c r="I135">
        <v>3</v>
      </c>
      <c r="J135">
        <v>2</v>
      </c>
      <c r="K135">
        <v>1</v>
      </c>
    </row>
    <row r="136" spans="1:14" x14ac:dyDescent="0.2">
      <c r="A136" s="54">
        <v>134</v>
      </c>
      <c r="B136">
        <v>17358</v>
      </c>
      <c r="C136">
        <v>135</v>
      </c>
      <c r="D136" t="s">
        <v>818</v>
      </c>
      <c r="E136" t="s">
        <v>6442</v>
      </c>
      <c r="F136" t="s">
        <v>7188</v>
      </c>
      <c r="G136">
        <v>1</v>
      </c>
      <c r="H136" t="b">
        <v>1</v>
      </c>
      <c r="I136">
        <v>4</v>
      </c>
      <c r="J136">
        <v>3</v>
      </c>
      <c r="K136">
        <v>1</v>
      </c>
      <c r="N136">
        <v>1</v>
      </c>
    </row>
    <row r="137" spans="1:14" x14ac:dyDescent="0.2">
      <c r="A137" s="54">
        <v>135</v>
      </c>
      <c r="B137">
        <v>17359</v>
      </c>
      <c r="C137">
        <v>136</v>
      </c>
      <c r="D137" t="s">
        <v>819</v>
      </c>
      <c r="E137" t="s">
        <v>6445</v>
      </c>
      <c r="F137" t="s">
        <v>7189</v>
      </c>
      <c r="G137">
        <v>1</v>
      </c>
      <c r="H137" t="b">
        <v>1</v>
      </c>
      <c r="I137">
        <v>4</v>
      </c>
      <c r="J137">
        <v>4</v>
      </c>
      <c r="N137">
        <v>2</v>
      </c>
    </row>
    <row r="138" spans="1:14" x14ac:dyDescent="0.2">
      <c r="A138" s="54">
        <v>136</v>
      </c>
      <c r="B138">
        <v>17365</v>
      </c>
      <c r="C138">
        <v>137</v>
      </c>
      <c r="D138" t="s">
        <v>821</v>
      </c>
      <c r="E138" t="s">
        <v>4316</v>
      </c>
      <c r="F138" t="s">
        <v>7190</v>
      </c>
      <c r="G138">
        <v>1</v>
      </c>
      <c r="H138" t="b">
        <v>1</v>
      </c>
      <c r="I138">
        <v>1</v>
      </c>
      <c r="J138">
        <v>1</v>
      </c>
    </row>
    <row r="139" spans="1:14" x14ac:dyDescent="0.2">
      <c r="A139" s="54">
        <v>137</v>
      </c>
      <c r="B139">
        <v>17365</v>
      </c>
      <c r="C139">
        <v>138</v>
      </c>
      <c r="D139" t="s">
        <v>823</v>
      </c>
      <c r="E139" t="s">
        <v>6448</v>
      </c>
      <c r="F139" t="s">
        <v>7191</v>
      </c>
      <c r="G139">
        <v>1</v>
      </c>
      <c r="H139" t="b">
        <v>1</v>
      </c>
      <c r="I139">
        <v>2</v>
      </c>
      <c r="J139">
        <v>2</v>
      </c>
    </row>
    <row r="140" spans="1:14" x14ac:dyDescent="0.2">
      <c r="A140" s="54">
        <v>138</v>
      </c>
      <c r="B140">
        <v>17365</v>
      </c>
      <c r="C140">
        <v>139</v>
      </c>
      <c r="D140" t="s">
        <v>824</v>
      </c>
      <c r="E140" t="s">
        <v>6450</v>
      </c>
      <c r="F140" t="s">
        <v>7192</v>
      </c>
      <c r="G140">
        <v>1</v>
      </c>
      <c r="H140" t="b">
        <v>1</v>
      </c>
      <c r="I140">
        <v>2</v>
      </c>
      <c r="J140">
        <v>2</v>
      </c>
    </row>
    <row r="141" spans="1:14" x14ac:dyDescent="0.2">
      <c r="A141" s="54">
        <v>139</v>
      </c>
      <c r="B141">
        <v>17365</v>
      </c>
      <c r="C141">
        <v>140</v>
      </c>
      <c r="D141" t="s">
        <v>825</v>
      </c>
      <c r="E141" t="s">
        <v>6452</v>
      </c>
      <c r="F141" t="s">
        <v>7193</v>
      </c>
      <c r="G141">
        <v>1</v>
      </c>
      <c r="H141" t="b">
        <v>1</v>
      </c>
      <c r="I141">
        <v>1</v>
      </c>
      <c r="J141">
        <v>1</v>
      </c>
      <c r="N141">
        <v>1</v>
      </c>
    </row>
    <row r="142" spans="1:14" x14ac:dyDescent="0.2">
      <c r="A142" s="54">
        <v>140</v>
      </c>
      <c r="B142">
        <v>17366</v>
      </c>
      <c r="C142">
        <v>141</v>
      </c>
      <c r="D142" t="s">
        <v>828</v>
      </c>
      <c r="E142" t="s">
        <v>6454</v>
      </c>
      <c r="F142" t="s">
        <v>7194</v>
      </c>
      <c r="G142">
        <v>1</v>
      </c>
      <c r="H142" t="b">
        <v>1</v>
      </c>
      <c r="I142">
        <v>1</v>
      </c>
      <c r="J142">
        <v>1</v>
      </c>
    </row>
    <row r="143" spans="1:14" x14ac:dyDescent="0.2">
      <c r="A143" s="54">
        <v>141</v>
      </c>
      <c r="B143">
        <v>17366</v>
      </c>
      <c r="C143">
        <v>142</v>
      </c>
      <c r="D143" t="s">
        <v>830</v>
      </c>
      <c r="E143" t="s">
        <v>6456</v>
      </c>
      <c r="F143" t="s">
        <v>7195</v>
      </c>
      <c r="G143">
        <v>1</v>
      </c>
      <c r="H143" t="b">
        <v>1</v>
      </c>
      <c r="I143">
        <v>1</v>
      </c>
      <c r="J143">
        <v>1</v>
      </c>
      <c r="N143">
        <v>1</v>
      </c>
    </row>
    <row r="144" spans="1:14" x14ac:dyDescent="0.2">
      <c r="A144" s="54">
        <v>142</v>
      </c>
      <c r="B144">
        <v>17384</v>
      </c>
      <c r="C144">
        <v>143</v>
      </c>
      <c r="D144" t="s">
        <v>831</v>
      </c>
      <c r="E144" t="s">
        <v>6458</v>
      </c>
      <c r="F144" t="s">
        <v>7196</v>
      </c>
      <c r="G144">
        <v>1</v>
      </c>
      <c r="H144" t="b">
        <v>1</v>
      </c>
      <c r="I144">
        <v>3</v>
      </c>
      <c r="L144">
        <v>1</v>
      </c>
      <c r="M144">
        <v>2</v>
      </c>
      <c r="N144">
        <v>1</v>
      </c>
    </row>
    <row r="145" spans="1:14" x14ac:dyDescent="0.2">
      <c r="A145" s="54">
        <v>143</v>
      </c>
      <c r="B145">
        <v>17384</v>
      </c>
      <c r="C145">
        <v>144</v>
      </c>
      <c r="D145" t="s">
        <v>833</v>
      </c>
      <c r="E145" t="s">
        <v>6460</v>
      </c>
      <c r="F145" t="s">
        <v>7197</v>
      </c>
      <c r="G145">
        <v>1</v>
      </c>
      <c r="H145" t="b">
        <v>1</v>
      </c>
      <c r="I145">
        <v>4</v>
      </c>
      <c r="J145">
        <v>2</v>
      </c>
      <c r="K145">
        <v>1</v>
      </c>
      <c r="L145">
        <v>1</v>
      </c>
      <c r="N145">
        <v>2</v>
      </c>
    </row>
    <row r="146" spans="1:14" x14ac:dyDescent="0.2">
      <c r="A146" s="54">
        <v>144</v>
      </c>
      <c r="B146">
        <v>17384</v>
      </c>
      <c r="C146">
        <v>145</v>
      </c>
      <c r="D146" t="s">
        <v>836</v>
      </c>
      <c r="E146" t="s">
        <v>6462</v>
      </c>
      <c r="F146" t="s">
        <v>7198</v>
      </c>
      <c r="G146">
        <v>1</v>
      </c>
      <c r="H146" t="b">
        <v>1</v>
      </c>
      <c r="I146">
        <v>5</v>
      </c>
      <c r="J146">
        <v>5</v>
      </c>
    </row>
    <row r="147" spans="1:14" x14ac:dyDescent="0.2">
      <c r="A147" s="54">
        <v>145</v>
      </c>
      <c r="B147">
        <v>17384</v>
      </c>
      <c r="C147">
        <v>146</v>
      </c>
      <c r="D147" t="s">
        <v>837</v>
      </c>
      <c r="E147" t="s">
        <v>6464</v>
      </c>
      <c r="F147" t="s">
        <v>7199</v>
      </c>
      <c r="G147">
        <v>1</v>
      </c>
      <c r="H147" t="b">
        <v>1</v>
      </c>
      <c r="I147">
        <v>4</v>
      </c>
      <c r="J147">
        <v>2</v>
      </c>
      <c r="K147">
        <v>2</v>
      </c>
    </row>
    <row r="148" spans="1:14" x14ac:dyDescent="0.2">
      <c r="A148" s="54">
        <v>146</v>
      </c>
      <c r="B148">
        <v>17384</v>
      </c>
      <c r="C148">
        <v>147</v>
      </c>
      <c r="D148" t="s">
        <v>840</v>
      </c>
      <c r="E148" t="s">
        <v>6460</v>
      </c>
      <c r="F148" t="s">
        <v>7200</v>
      </c>
      <c r="G148">
        <v>1</v>
      </c>
      <c r="H148" t="b">
        <v>1</v>
      </c>
      <c r="I148">
        <v>4</v>
      </c>
      <c r="J148">
        <v>2</v>
      </c>
      <c r="K148">
        <v>2</v>
      </c>
    </row>
    <row r="149" spans="1:14" x14ac:dyDescent="0.2">
      <c r="A149" s="54">
        <v>147</v>
      </c>
      <c r="B149">
        <v>17384</v>
      </c>
      <c r="C149">
        <v>148</v>
      </c>
      <c r="D149" t="s">
        <v>841</v>
      </c>
      <c r="E149" t="s">
        <v>6467</v>
      </c>
      <c r="F149" t="s">
        <v>7201</v>
      </c>
      <c r="G149">
        <v>1</v>
      </c>
      <c r="H149" t="b">
        <v>1</v>
      </c>
      <c r="I149">
        <v>3</v>
      </c>
      <c r="J149">
        <v>1</v>
      </c>
      <c r="K149">
        <v>2</v>
      </c>
    </row>
    <row r="150" spans="1:14" x14ac:dyDescent="0.2">
      <c r="A150" s="54">
        <v>148</v>
      </c>
      <c r="B150">
        <v>17384</v>
      </c>
      <c r="C150">
        <v>149</v>
      </c>
      <c r="D150" t="s">
        <v>842</v>
      </c>
      <c r="E150" t="s">
        <v>6469</v>
      </c>
      <c r="F150" t="s">
        <v>7202</v>
      </c>
      <c r="G150">
        <v>1</v>
      </c>
      <c r="H150" t="b">
        <v>1</v>
      </c>
      <c r="I150">
        <v>5</v>
      </c>
      <c r="J150">
        <v>2</v>
      </c>
      <c r="L150">
        <v>3</v>
      </c>
    </row>
    <row r="151" spans="1:14" x14ac:dyDescent="0.2">
      <c r="A151" s="54">
        <v>149</v>
      </c>
      <c r="B151">
        <v>17384</v>
      </c>
      <c r="C151">
        <v>150</v>
      </c>
      <c r="D151" t="s">
        <v>843</v>
      </c>
      <c r="E151" t="s">
        <v>6460</v>
      </c>
      <c r="F151" t="s">
        <v>7203</v>
      </c>
      <c r="G151">
        <v>1</v>
      </c>
      <c r="H151" t="b">
        <v>1</v>
      </c>
      <c r="I151">
        <v>4</v>
      </c>
      <c r="K151">
        <v>1</v>
      </c>
      <c r="L151">
        <v>3</v>
      </c>
    </row>
    <row r="152" spans="1:14" x14ac:dyDescent="0.2">
      <c r="A152" s="54">
        <v>150</v>
      </c>
      <c r="B152">
        <v>17384</v>
      </c>
      <c r="C152">
        <v>151</v>
      </c>
      <c r="D152" t="s">
        <v>846</v>
      </c>
      <c r="E152" t="s">
        <v>6472</v>
      </c>
      <c r="F152" t="s">
        <v>7204</v>
      </c>
      <c r="G152">
        <v>1</v>
      </c>
      <c r="H152" t="b">
        <v>1</v>
      </c>
      <c r="I152">
        <v>2</v>
      </c>
      <c r="J152">
        <v>1</v>
      </c>
      <c r="L152">
        <v>1</v>
      </c>
    </row>
    <row r="153" spans="1:14" x14ac:dyDescent="0.2">
      <c r="A153" s="54">
        <v>151</v>
      </c>
      <c r="B153">
        <v>17384</v>
      </c>
      <c r="C153">
        <v>152</v>
      </c>
      <c r="D153" t="s">
        <v>849</v>
      </c>
      <c r="E153" t="s">
        <v>6940</v>
      </c>
      <c r="F153" t="s">
        <v>7205</v>
      </c>
      <c r="G153">
        <v>4</v>
      </c>
      <c r="H153" t="b">
        <v>1</v>
      </c>
      <c r="I153">
        <v>3</v>
      </c>
      <c r="J153">
        <v>1</v>
      </c>
      <c r="K153">
        <v>1</v>
      </c>
      <c r="L153">
        <v>1</v>
      </c>
    </row>
    <row r="154" spans="1:14" x14ac:dyDescent="0.2">
      <c r="A154" s="54">
        <v>152</v>
      </c>
      <c r="B154">
        <v>17384</v>
      </c>
      <c r="C154">
        <v>153</v>
      </c>
      <c r="D154" t="s">
        <v>852</v>
      </c>
      <c r="E154" t="s">
        <v>6476</v>
      </c>
      <c r="F154" t="s">
        <v>7206</v>
      </c>
      <c r="G154">
        <v>1</v>
      </c>
      <c r="H154" t="b">
        <v>1</v>
      </c>
      <c r="I154">
        <v>2</v>
      </c>
      <c r="L154">
        <v>2</v>
      </c>
      <c r="N154">
        <v>3</v>
      </c>
    </row>
    <row r="155" spans="1:14" x14ac:dyDescent="0.2">
      <c r="A155" s="54">
        <v>153</v>
      </c>
      <c r="B155">
        <v>17384</v>
      </c>
      <c r="C155">
        <v>154</v>
      </c>
      <c r="D155" t="s">
        <v>853</v>
      </c>
      <c r="E155" t="s">
        <v>6478</v>
      </c>
      <c r="F155" t="s">
        <v>7207</v>
      </c>
      <c r="G155">
        <v>1</v>
      </c>
      <c r="H155" t="b">
        <v>1</v>
      </c>
      <c r="I155">
        <v>3</v>
      </c>
      <c r="J155">
        <v>2</v>
      </c>
      <c r="L155">
        <v>1</v>
      </c>
      <c r="N155">
        <v>1</v>
      </c>
    </row>
    <row r="156" spans="1:14" x14ac:dyDescent="0.2">
      <c r="A156" s="54">
        <v>154</v>
      </c>
      <c r="B156">
        <v>17384</v>
      </c>
      <c r="C156">
        <v>155</v>
      </c>
      <c r="D156" t="s">
        <v>856</v>
      </c>
      <c r="E156" t="s">
        <v>6942</v>
      </c>
      <c r="F156" t="s">
        <v>7208</v>
      </c>
      <c r="G156">
        <v>5</v>
      </c>
      <c r="H156" t="b">
        <v>1</v>
      </c>
      <c r="I156">
        <v>2</v>
      </c>
      <c r="J156">
        <v>1</v>
      </c>
      <c r="L156">
        <v>1</v>
      </c>
      <c r="N156">
        <v>1</v>
      </c>
    </row>
    <row r="157" spans="1:14" x14ac:dyDescent="0.2">
      <c r="A157" s="54">
        <v>155</v>
      </c>
      <c r="B157">
        <v>17384</v>
      </c>
      <c r="C157">
        <v>156</v>
      </c>
      <c r="D157" t="s">
        <v>857</v>
      </c>
      <c r="E157" t="s">
        <v>6460</v>
      </c>
      <c r="F157" t="s">
        <v>7209</v>
      </c>
      <c r="G157">
        <v>1</v>
      </c>
      <c r="H157" t="b">
        <v>1</v>
      </c>
      <c r="I157">
        <v>6</v>
      </c>
      <c r="J157">
        <v>3</v>
      </c>
      <c r="K157">
        <v>2</v>
      </c>
      <c r="L157">
        <v>1</v>
      </c>
    </row>
    <row r="158" spans="1:14" x14ac:dyDescent="0.2">
      <c r="A158" s="54">
        <v>156</v>
      </c>
      <c r="B158">
        <v>17384</v>
      </c>
      <c r="C158">
        <v>157</v>
      </c>
      <c r="D158" t="s">
        <v>858</v>
      </c>
      <c r="E158" t="s">
        <v>6483</v>
      </c>
      <c r="F158" t="s">
        <v>7210</v>
      </c>
      <c r="G158">
        <v>1</v>
      </c>
      <c r="H158" t="b">
        <v>1</v>
      </c>
      <c r="I158">
        <v>3</v>
      </c>
      <c r="J158">
        <v>2</v>
      </c>
      <c r="M158">
        <v>1</v>
      </c>
      <c r="N158">
        <v>1</v>
      </c>
    </row>
    <row r="159" spans="1:14" x14ac:dyDescent="0.2">
      <c r="A159" s="54">
        <v>157</v>
      </c>
      <c r="B159">
        <v>17384</v>
      </c>
      <c r="C159">
        <v>158</v>
      </c>
      <c r="D159" t="s">
        <v>859</v>
      </c>
      <c r="F159" t="s">
        <v>7211</v>
      </c>
      <c r="G159">
        <v>5</v>
      </c>
      <c r="H159" t="b">
        <v>0</v>
      </c>
      <c r="I159">
        <v>0</v>
      </c>
    </row>
    <row r="160" spans="1:14" x14ac:dyDescent="0.2">
      <c r="A160" s="54">
        <v>158</v>
      </c>
      <c r="B160">
        <v>17384</v>
      </c>
      <c r="C160">
        <v>159</v>
      </c>
      <c r="D160" t="s">
        <v>860</v>
      </c>
      <c r="E160" t="s">
        <v>6460</v>
      </c>
      <c r="F160" t="s">
        <v>7212</v>
      </c>
      <c r="G160">
        <v>1</v>
      </c>
      <c r="H160" t="b">
        <v>1</v>
      </c>
      <c r="I160">
        <v>3</v>
      </c>
      <c r="J160">
        <v>2</v>
      </c>
      <c r="L160">
        <v>1</v>
      </c>
    </row>
    <row r="161" spans="1:14" x14ac:dyDescent="0.2">
      <c r="A161" s="54">
        <v>159</v>
      </c>
      <c r="B161">
        <v>17384</v>
      </c>
      <c r="C161">
        <v>160</v>
      </c>
      <c r="D161" t="s">
        <v>863</v>
      </c>
      <c r="E161" t="s">
        <v>6460</v>
      </c>
      <c r="F161" t="s">
        <v>7213</v>
      </c>
      <c r="G161">
        <v>1</v>
      </c>
      <c r="H161" t="b">
        <v>1</v>
      </c>
      <c r="I161">
        <v>4</v>
      </c>
      <c r="J161">
        <v>1</v>
      </c>
      <c r="L161">
        <v>3</v>
      </c>
      <c r="N161">
        <v>1</v>
      </c>
    </row>
    <row r="162" spans="1:14" x14ac:dyDescent="0.2">
      <c r="A162" s="54">
        <v>160</v>
      </c>
      <c r="B162">
        <v>17384</v>
      </c>
      <c r="C162">
        <v>161</v>
      </c>
      <c r="D162" t="s">
        <v>864</v>
      </c>
      <c r="E162" t="s">
        <v>6487</v>
      </c>
      <c r="F162" t="s">
        <v>7214</v>
      </c>
      <c r="G162">
        <v>1</v>
      </c>
      <c r="H162" t="b">
        <v>1</v>
      </c>
      <c r="I162">
        <v>3</v>
      </c>
      <c r="K162">
        <v>3</v>
      </c>
    </row>
    <row r="163" spans="1:14" x14ac:dyDescent="0.2">
      <c r="A163" s="54">
        <v>161</v>
      </c>
      <c r="B163">
        <v>17384</v>
      </c>
      <c r="C163">
        <v>162</v>
      </c>
      <c r="D163" t="s">
        <v>865</v>
      </c>
      <c r="E163" t="s">
        <v>6489</v>
      </c>
      <c r="F163" t="s">
        <v>7215</v>
      </c>
      <c r="G163">
        <v>1</v>
      </c>
      <c r="H163" t="b">
        <v>1</v>
      </c>
      <c r="I163">
        <v>2</v>
      </c>
      <c r="J163">
        <v>2</v>
      </c>
    </row>
    <row r="164" spans="1:14" x14ac:dyDescent="0.2">
      <c r="A164" s="54">
        <v>162</v>
      </c>
      <c r="B164">
        <v>17384</v>
      </c>
      <c r="C164">
        <v>163</v>
      </c>
      <c r="D164" t="s">
        <v>866</v>
      </c>
      <c r="E164" t="s">
        <v>6491</v>
      </c>
      <c r="F164" t="s">
        <v>7216</v>
      </c>
      <c r="G164">
        <v>1</v>
      </c>
      <c r="H164" t="b">
        <v>1</v>
      </c>
      <c r="I164">
        <v>4</v>
      </c>
      <c r="J164">
        <v>4</v>
      </c>
      <c r="N164">
        <v>1</v>
      </c>
    </row>
    <row r="165" spans="1:14" x14ac:dyDescent="0.2">
      <c r="A165" s="54">
        <v>163</v>
      </c>
      <c r="B165">
        <v>17384</v>
      </c>
      <c r="C165">
        <v>164</v>
      </c>
      <c r="D165" t="s">
        <v>869</v>
      </c>
      <c r="E165" t="s">
        <v>6460</v>
      </c>
      <c r="F165" t="s">
        <v>7217</v>
      </c>
      <c r="G165">
        <v>1</v>
      </c>
      <c r="H165" t="b">
        <v>1</v>
      </c>
      <c r="I165">
        <v>6</v>
      </c>
      <c r="J165">
        <v>4</v>
      </c>
      <c r="M165">
        <v>2</v>
      </c>
    </row>
    <row r="166" spans="1:14" x14ac:dyDescent="0.2">
      <c r="A166" s="54">
        <v>164</v>
      </c>
      <c r="B166">
        <v>17384</v>
      </c>
      <c r="C166">
        <v>165</v>
      </c>
      <c r="D166" t="s">
        <v>870</v>
      </c>
      <c r="E166" t="s">
        <v>6494</v>
      </c>
      <c r="F166" t="s">
        <v>7218</v>
      </c>
      <c r="G166">
        <v>1</v>
      </c>
      <c r="H166" t="b">
        <v>1</v>
      </c>
      <c r="I166">
        <v>2</v>
      </c>
      <c r="J166">
        <v>2</v>
      </c>
      <c r="N166">
        <v>1</v>
      </c>
    </row>
    <row r="167" spans="1:14" x14ac:dyDescent="0.2">
      <c r="A167" s="54">
        <v>165</v>
      </c>
      <c r="B167">
        <v>17384</v>
      </c>
      <c r="C167">
        <v>166</v>
      </c>
      <c r="D167" t="s">
        <v>871</v>
      </c>
      <c r="E167" t="s">
        <v>6496</v>
      </c>
      <c r="F167" t="s">
        <v>7219</v>
      </c>
      <c r="G167">
        <v>1</v>
      </c>
      <c r="H167" t="b">
        <v>1</v>
      </c>
      <c r="I167">
        <v>4</v>
      </c>
      <c r="J167">
        <v>4</v>
      </c>
    </row>
    <row r="168" spans="1:14" x14ac:dyDescent="0.2">
      <c r="A168" s="54">
        <v>166</v>
      </c>
      <c r="B168">
        <v>17384</v>
      </c>
      <c r="C168">
        <v>167</v>
      </c>
      <c r="D168" t="s">
        <v>874</v>
      </c>
      <c r="E168" t="s">
        <v>6460</v>
      </c>
      <c r="F168" t="s">
        <v>7220</v>
      </c>
      <c r="G168">
        <v>1</v>
      </c>
      <c r="H168" t="b">
        <v>1</v>
      </c>
      <c r="I168">
        <v>4</v>
      </c>
      <c r="J168">
        <v>4</v>
      </c>
      <c r="N168">
        <v>1</v>
      </c>
    </row>
    <row r="169" spans="1:14" x14ac:dyDescent="0.2">
      <c r="A169" s="54">
        <v>167</v>
      </c>
      <c r="B169">
        <v>17384</v>
      </c>
      <c r="C169">
        <v>168</v>
      </c>
      <c r="D169" t="s">
        <v>875</v>
      </c>
      <c r="E169" t="s">
        <v>6945</v>
      </c>
      <c r="F169" t="s">
        <v>7221</v>
      </c>
      <c r="G169">
        <v>5</v>
      </c>
      <c r="H169" t="b">
        <v>0</v>
      </c>
      <c r="I169">
        <v>6</v>
      </c>
      <c r="J169">
        <v>2</v>
      </c>
      <c r="K169">
        <v>3</v>
      </c>
      <c r="L169">
        <v>1</v>
      </c>
    </row>
    <row r="170" spans="1:14" x14ac:dyDescent="0.2">
      <c r="A170" s="54">
        <v>168</v>
      </c>
      <c r="B170">
        <v>17384</v>
      </c>
      <c r="C170">
        <v>169</v>
      </c>
      <c r="D170" t="s">
        <v>876</v>
      </c>
      <c r="E170" t="s">
        <v>6460</v>
      </c>
      <c r="F170" t="s">
        <v>7222</v>
      </c>
      <c r="G170">
        <v>1</v>
      </c>
      <c r="H170" t="b">
        <v>1</v>
      </c>
      <c r="I170">
        <v>4</v>
      </c>
      <c r="J170">
        <v>1</v>
      </c>
      <c r="K170">
        <v>3</v>
      </c>
    </row>
    <row r="171" spans="1:14" x14ac:dyDescent="0.2">
      <c r="A171" s="54">
        <v>169</v>
      </c>
      <c r="B171">
        <v>17384</v>
      </c>
      <c r="C171">
        <v>170</v>
      </c>
      <c r="D171" t="s">
        <v>879</v>
      </c>
      <c r="E171" t="s">
        <v>6502</v>
      </c>
      <c r="F171" t="s">
        <v>7223</v>
      </c>
      <c r="G171">
        <v>1</v>
      </c>
      <c r="H171" t="b">
        <v>1</v>
      </c>
      <c r="I171">
        <v>5</v>
      </c>
      <c r="J171">
        <v>1</v>
      </c>
      <c r="K171">
        <v>4</v>
      </c>
      <c r="N171">
        <v>1</v>
      </c>
    </row>
    <row r="172" spans="1:14" x14ac:dyDescent="0.2">
      <c r="A172" s="54">
        <v>170</v>
      </c>
      <c r="B172">
        <v>17384</v>
      </c>
      <c r="C172">
        <v>171</v>
      </c>
      <c r="D172" t="s">
        <v>882</v>
      </c>
      <c r="E172" t="s">
        <v>6947</v>
      </c>
      <c r="F172" t="s">
        <v>7224</v>
      </c>
      <c r="G172">
        <v>2</v>
      </c>
      <c r="H172" t="b">
        <v>1</v>
      </c>
      <c r="I172">
        <v>1</v>
      </c>
      <c r="J172">
        <v>1</v>
      </c>
      <c r="N172">
        <v>2</v>
      </c>
    </row>
    <row r="173" spans="1:14" x14ac:dyDescent="0.2">
      <c r="A173" s="54">
        <v>171</v>
      </c>
      <c r="B173">
        <v>17384</v>
      </c>
      <c r="C173">
        <v>172</v>
      </c>
      <c r="D173" t="s">
        <v>883</v>
      </c>
      <c r="E173" t="s">
        <v>6506</v>
      </c>
      <c r="F173" t="s">
        <v>7225</v>
      </c>
      <c r="G173">
        <v>1</v>
      </c>
      <c r="H173" t="b">
        <v>1</v>
      </c>
      <c r="I173">
        <v>3</v>
      </c>
      <c r="J173">
        <v>3</v>
      </c>
    </row>
    <row r="174" spans="1:14" x14ac:dyDescent="0.2">
      <c r="A174" s="54">
        <v>172</v>
      </c>
      <c r="B174">
        <v>17384</v>
      </c>
      <c r="C174">
        <v>173</v>
      </c>
      <c r="D174" t="s">
        <v>884</v>
      </c>
      <c r="E174" t="s">
        <v>6508</v>
      </c>
      <c r="F174" t="s">
        <v>7226</v>
      </c>
      <c r="G174">
        <v>1</v>
      </c>
      <c r="H174" t="b">
        <v>1</v>
      </c>
      <c r="I174">
        <v>4</v>
      </c>
      <c r="J174">
        <v>1</v>
      </c>
      <c r="K174">
        <v>2</v>
      </c>
      <c r="L174">
        <v>1</v>
      </c>
      <c r="N174">
        <v>1</v>
      </c>
    </row>
    <row r="175" spans="1:14" x14ac:dyDescent="0.2">
      <c r="A175" s="54">
        <v>173</v>
      </c>
      <c r="B175">
        <v>17384</v>
      </c>
      <c r="C175">
        <v>174</v>
      </c>
      <c r="D175" t="s">
        <v>885</v>
      </c>
      <c r="E175" t="s">
        <v>6510</v>
      </c>
      <c r="F175" t="s">
        <v>7227</v>
      </c>
      <c r="G175">
        <v>1</v>
      </c>
      <c r="H175" t="b">
        <v>1</v>
      </c>
      <c r="I175">
        <v>2</v>
      </c>
      <c r="J175">
        <v>2</v>
      </c>
    </row>
    <row r="176" spans="1:14" x14ac:dyDescent="0.2">
      <c r="A176" s="54">
        <v>174</v>
      </c>
      <c r="B176">
        <v>17384</v>
      </c>
      <c r="C176">
        <v>175</v>
      </c>
      <c r="D176" t="s">
        <v>886</v>
      </c>
      <c r="E176" t="s">
        <v>6949</v>
      </c>
      <c r="F176" t="s">
        <v>7228</v>
      </c>
      <c r="G176">
        <v>2</v>
      </c>
      <c r="H176" t="b">
        <v>1</v>
      </c>
      <c r="I176">
        <v>2</v>
      </c>
      <c r="J176">
        <v>1</v>
      </c>
      <c r="L176">
        <v>1</v>
      </c>
    </row>
    <row r="177" spans="1:13" x14ac:dyDescent="0.2">
      <c r="A177" s="54">
        <v>175</v>
      </c>
      <c r="B177">
        <v>17385</v>
      </c>
      <c r="C177">
        <v>176</v>
      </c>
      <c r="D177" t="s">
        <v>887</v>
      </c>
      <c r="E177" t="s">
        <v>6514</v>
      </c>
      <c r="F177" t="s">
        <v>7229</v>
      </c>
      <c r="G177">
        <v>1</v>
      </c>
      <c r="H177" t="b">
        <v>1</v>
      </c>
      <c r="I177">
        <v>4</v>
      </c>
      <c r="J177">
        <v>1</v>
      </c>
      <c r="K177">
        <v>1</v>
      </c>
      <c r="L177">
        <v>2</v>
      </c>
    </row>
    <row r="178" spans="1:13" x14ac:dyDescent="0.2">
      <c r="A178" s="54">
        <v>176</v>
      </c>
      <c r="B178">
        <v>17385</v>
      </c>
      <c r="C178">
        <v>177</v>
      </c>
      <c r="D178" t="s">
        <v>890</v>
      </c>
      <c r="E178" t="s">
        <v>6950</v>
      </c>
      <c r="F178" t="s">
        <v>7230</v>
      </c>
      <c r="G178">
        <v>3</v>
      </c>
      <c r="H178" t="b">
        <v>1</v>
      </c>
      <c r="I178">
        <v>5</v>
      </c>
      <c r="J178">
        <v>5</v>
      </c>
    </row>
    <row r="179" spans="1:13" x14ac:dyDescent="0.2">
      <c r="A179" s="54">
        <v>177</v>
      </c>
      <c r="B179">
        <v>17385</v>
      </c>
      <c r="C179">
        <v>178</v>
      </c>
      <c r="D179" t="s">
        <v>893</v>
      </c>
      <c r="E179" t="s">
        <v>6518</v>
      </c>
      <c r="F179" t="s">
        <v>7231</v>
      </c>
      <c r="G179">
        <v>1</v>
      </c>
      <c r="H179" t="b">
        <v>1</v>
      </c>
      <c r="I179">
        <v>3</v>
      </c>
      <c r="J179">
        <v>1</v>
      </c>
      <c r="M179">
        <v>2</v>
      </c>
    </row>
    <row r="180" spans="1:13" x14ac:dyDescent="0.2">
      <c r="A180" s="54">
        <v>178</v>
      </c>
      <c r="B180">
        <v>17385</v>
      </c>
      <c r="C180">
        <v>179</v>
      </c>
      <c r="D180" t="s">
        <v>896</v>
      </c>
      <c r="E180" t="s">
        <v>6952</v>
      </c>
      <c r="F180" t="s">
        <v>7232</v>
      </c>
      <c r="G180">
        <v>5</v>
      </c>
      <c r="H180" t="b">
        <v>0</v>
      </c>
      <c r="I180">
        <v>6</v>
      </c>
      <c r="J180">
        <v>5</v>
      </c>
      <c r="K180">
        <v>1</v>
      </c>
    </row>
    <row r="181" spans="1:13" x14ac:dyDescent="0.2">
      <c r="A181" s="54">
        <v>179</v>
      </c>
      <c r="B181">
        <v>17385</v>
      </c>
      <c r="C181">
        <v>180</v>
      </c>
      <c r="D181" t="s">
        <v>899</v>
      </c>
      <c r="E181" t="s">
        <v>6954</v>
      </c>
      <c r="F181" t="s">
        <v>7233</v>
      </c>
      <c r="G181">
        <v>5</v>
      </c>
      <c r="H181" t="b">
        <v>0</v>
      </c>
      <c r="I181">
        <v>5</v>
      </c>
      <c r="J181">
        <v>3</v>
      </c>
      <c r="K181">
        <v>2</v>
      </c>
    </row>
    <row r="182" spans="1:13" x14ac:dyDescent="0.2">
      <c r="A182" s="54">
        <v>180</v>
      </c>
      <c r="B182">
        <v>17385</v>
      </c>
      <c r="C182">
        <v>181</v>
      </c>
      <c r="D182" t="s">
        <v>902</v>
      </c>
      <c r="E182" t="s">
        <v>6956</v>
      </c>
      <c r="F182" t="s">
        <v>7234</v>
      </c>
      <c r="G182">
        <v>2</v>
      </c>
      <c r="H182" t="b">
        <v>1</v>
      </c>
      <c r="I182">
        <v>1</v>
      </c>
      <c r="J182">
        <v>1</v>
      </c>
    </row>
    <row r="183" spans="1:13" x14ac:dyDescent="0.2">
      <c r="A183" s="54">
        <v>181</v>
      </c>
      <c r="B183">
        <v>17385</v>
      </c>
      <c r="C183">
        <v>182</v>
      </c>
      <c r="D183" t="s">
        <v>905</v>
      </c>
      <c r="E183" t="s">
        <v>6958</v>
      </c>
      <c r="F183" t="s">
        <v>7235</v>
      </c>
      <c r="G183">
        <v>5</v>
      </c>
      <c r="H183" t="b">
        <v>0</v>
      </c>
      <c r="I183">
        <v>3</v>
      </c>
      <c r="J183">
        <v>2</v>
      </c>
      <c r="M183">
        <v>1</v>
      </c>
    </row>
    <row r="184" spans="1:13" x14ac:dyDescent="0.2">
      <c r="A184" s="54">
        <v>182</v>
      </c>
      <c r="B184">
        <v>17385</v>
      </c>
      <c r="C184">
        <v>183</v>
      </c>
      <c r="D184" t="s">
        <v>908</v>
      </c>
      <c r="E184" t="s">
        <v>6527</v>
      </c>
      <c r="F184" t="s">
        <v>7236</v>
      </c>
      <c r="G184">
        <v>1</v>
      </c>
      <c r="H184" t="b">
        <v>1</v>
      </c>
      <c r="I184">
        <v>7</v>
      </c>
      <c r="J184">
        <v>5</v>
      </c>
      <c r="K184">
        <v>2</v>
      </c>
    </row>
    <row r="185" spans="1:13" x14ac:dyDescent="0.2">
      <c r="A185" s="54">
        <v>183</v>
      </c>
      <c r="B185">
        <v>17385</v>
      </c>
      <c r="C185">
        <v>184</v>
      </c>
      <c r="D185" t="s">
        <v>910</v>
      </c>
      <c r="E185" t="s">
        <v>6960</v>
      </c>
      <c r="F185" t="s">
        <v>7237</v>
      </c>
      <c r="G185">
        <v>2</v>
      </c>
      <c r="H185" t="b">
        <v>1</v>
      </c>
      <c r="I185">
        <v>1</v>
      </c>
      <c r="J185">
        <v>1</v>
      </c>
    </row>
    <row r="186" spans="1:13" x14ac:dyDescent="0.2">
      <c r="A186" s="54">
        <v>184</v>
      </c>
      <c r="B186">
        <v>17385</v>
      </c>
      <c r="C186">
        <v>185</v>
      </c>
      <c r="D186" t="s">
        <v>913</v>
      </c>
      <c r="E186" t="s">
        <v>6962</v>
      </c>
      <c r="F186" t="s">
        <v>7238</v>
      </c>
      <c r="G186">
        <v>2</v>
      </c>
      <c r="H186" t="b">
        <v>1</v>
      </c>
      <c r="I186">
        <v>6</v>
      </c>
      <c r="J186">
        <v>6</v>
      </c>
    </row>
    <row r="187" spans="1:13" x14ac:dyDescent="0.2">
      <c r="A187" s="54">
        <v>185</v>
      </c>
      <c r="B187">
        <v>17385</v>
      </c>
      <c r="C187">
        <v>186</v>
      </c>
      <c r="D187" t="s">
        <v>916</v>
      </c>
      <c r="E187" t="s">
        <v>6533</v>
      </c>
      <c r="F187" t="s">
        <v>7239</v>
      </c>
      <c r="G187">
        <v>1</v>
      </c>
      <c r="H187" t="b">
        <v>1</v>
      </c>
      <c r="I187">
        <v>5</v>
      </c>
      <c r="J187">
        <v>5</v>
      </c>
    </row>
    <row r="188" spans="1:13" x14ac:dyDescent="0.2">
      <c r="A188" s="54">
        <v>186</v>
      </c>
      <c r="B188">
        <v>17385</v>
      </c>
      <c r="C188">
        <v>187</v>
      </c>
      <c r="D188" t="s">
        <v>919</v>
      </c>
      <c r="E188" t="s">
        <v>6535</v>
      </c>
      <c r="F188" t="s">
        <v>7240</v>
      </c>
      <c r="G188">
        <v>1</v>
      </c>
      <c r="H188" t="b">
        <v>1</v>
      </c>
      <c r="I188">
        <v>3</v>
      </c>
      <c r="J188">
        <v>3</v>
      </c>
    </row>
    <row r="189" spans="1:13" x14ac:dyDescent="0.2">
      <c r="A189" s="54">
        <v>187</v>
      </c>
      <c r="B189">
        <v>17385</v>
      </c>
      <c r="C189">
        <v>188</v>
      </c>
      <c r="D189" t="s">
        <v>920</v>
      </c>
      <c r="E189" t="s">
        <v>6963</v>
      </c>
      <c r="F189" t="s">
        <v>7241</v>
      </c>
      <c r="G189">
        <v>2</v>
      </c>
      <c r="H189" t="b">
        <v>1</v>
      </c>
      <c r="I189">
        <v>6</v>
      </c>
      <c r="J189">
        <v>6</v>
      </c>
    </row>
    <row r="190" spans="1:13" x14ac:dyDescent="0.2">
      <c r="A190" s="54">
        <v>188</v>
      </c>
      <c r="B190">
        <v>17385</v>
      </c>
      <c r="C190">
        <v>189</v>
      </c>
      <c r="D190" t="s">
        <v>923</v>
      </c>
      <c r="E190" t="s">
        <v>6538</v>
      </c>
      <c r="F190" t="s">
        <v>7242</v>
      </c>
      <c r="G190">
        <v>1</v>
      </c>
      <c r="H190" t="b">
        <v>1</v>
      </c>
      <c r="I190">
        <v>1</v>
      </c>
      <c r="K190">
        <v>1</v>
      </c>
    </row>
    <row r="191" spans="1:13" x14ac:dyDescent="0.2">
      <c r="A191" s="54">
        <v>189</v>
      </c>
      <c r="B191">
        <v>17385</v>
      </c>
      <c r="C191">
        <v>190</v>
      </c>
      <c r="D191" t="s">
        <v>926</v>
      </c>
      <c r="E191" t="s">
        <v>6540</v>
      </c>
      <c r="F191" t="s">
        <v>7243</v>
      </c>
      <c r="G191">
        <v>1</v>
      </c>
      <c r="H191" t="b">
        <v>1</v>
      </c>
      <c r="I191">
        <v>4</v>
      </c>
      <c r="J191">
        <v>4</v>
      </c>
    </row>
    <row r="192" spans="1:13" x14ac:dyDescent="0.2">
      <c r="A192" s="54">
        <v>190</v>
      </c>
      <c r="B192">
        <v>17385</v>
      </c>
      <c r="C192">
        <v>191</v>
      </c>
      <c r="D192" t="s">
        <v>927</v>
      </c>
      <c r="E192" t="s">
        <v>6965</v>
      </c>
      <c r="F192" t="s">
        <v>7244</v>
      </c>
      <c r="G192">
        <v>5</v>
      </c>
      <c r="H192" t="b">
        <v>0</v>
      </c>
      <c r="I192">
        <v>5</v>
      </c>
      <c r="J192">
        <v>3</v>
      </c>
      <c r="L192">
        <v>2</v>
      </c>
    </row>
    <row r="193" spans="1:14" x14ac:dyDescent="0.2">
      <c r="A193" s="54">
        <v>191</v>
      </c>
      <c r="B193">
        <v>17385</v>
      </c>
      <c r="C193">
        <v>192</v>
      </c>
      <c r="D193" t="s">
        <v>928</v>
      </c>
      <c r="E193" t="s">
        <v>6544</v>
      </c>
      <c r="F193" t="s">
        <v>7245</v>
      </c>
      <c r="G193">
        <v>1</v>
      </c>
      <c r="H193" t="b">
        <v>1</v>
      </c>
      <c r="I193">
        <v>5</v>
      </c>
      <c r="J193">
        <v>5</v>
      </c>
      <c r="N193">
        <v>0</v>
      </c>
    </row>
    <row r="194" spans="1:14" x14ac:dyDescent="0.2">
      <c r="A194" s="54">
        <v>192</v>
      </c>
      <c r="B194">
        <v>17385</v>
      </c>
      <c r="C194">
        <v>193</v>
      </c>
      <c r="D194" t="s">
        <v>931</v>
      </c>
      <c r="E194" t="s">
        <v>6967</v>
      </c>
      <c r="F194" t="s">
        <v>7246</v>
      </c>
      <c r="G194">
        <v>5</v>
      </c>
      <c r="H194" t="b">
        <v>0</v>
      </c>
      <c r="I194">
        <v>4</v>
      </c>
      <c r="J194">
        <v>3</v>
      </c>
      <c r="L194">
        <v>1</v>
      </c>
    </row>
    <row r="195" spans="1:14" x14ac:dyDescent="0.2">
      <c r="A195" s="54">
        <v>193</v>
      </c>
      <c r="B195">
        <v>17385</v>
      </c>
      <c r="C195">
        <v>194</v>
      </c>
      <c r="D195" t="s">
        <v>932</v>
      </c>
      <c r="E195" t="s">
        <v>6969</v>
      </c>
      <c r="F195" t="s">
        <v>7247</v>
      </c>
      <c r="G195">
        <v>5</v>
      </c>
      <c r="H195" t="b">
        <v>0</v>
      </c>
      <c r="I195">
        <v>1</v>
      </c>
      <c r="J195">
        <v>1</v>
      </c>
    </row>
    <row r="196" spans="1:14" x14ac:dyDescent="0.2">
      <c r="A196" s="54">
        <v>194</v>
      </c>
      <c r="B196">
        <v>17386</v>
      </c>
      <c r="C196">
        <v>195</v>
      </c>
      <c r="D196" t="s">
        <v>933</v>
      </c>
      <c r="E196" t="s">
        <v>6550</v>
      </c>
      <c r="F196" t="s">
        <v>7248</v>
      </c>
      <c r="G196">
        <v>1</v>
      </c>
      <c r="H196" t="b">
        <v>1</v>
      </c>
      <c r="I196">
        <v>3</v>
      </c>
      <c r="J196">
        <v>3</v>
      </c>
      <c r="N196">
        <v>0</v>
      </c>
    </row>
    <row r="197" spans="1:14" x14ac:dyDescent="0.2">
      <c r="A197" s="54">
        <v>195</v>
      </c>
      <c r="B197">
        <v>17386</v>
      </c>
      <c r="C197">
        <v>196</v>
      </c>
      <c r="D197" t="s">
        <v>936</v>
      </c>
      <c r="E197" t="s">
        <v>6971</v>
      </c>
      <c r="F197" t="s">
        <v>7249</v>
      </c>
      <c r="G197">
        <v>3</v>
      </c>
      <c r="H197" t="b">
        <v>1</v>
      </c>
      <c r="I197">
        <v>4</v>
      </c>
      <c r="J197">
        <v>4</v>
      </c>
      <c r="N197">
        <v>1</v>
      </c>
    </row>
    <row r="198" spans="1:14" x14ac:dyDescent="0.2">
      <c r="A198" s="54">
        <v>196</v>
      </c>
      <c r="B198">
        <v>17386</v>
      </c>
      <c r="C198">
        <v>197</v>
      </c>
      <c r="D198" t="s">
        <v>939</v>
      </c>
      <c r="E198" t="s">
        <v>6554</v>
      </c>
      <c r="F198" t="s">
        <v>7250</v>
      </c>
      <c r="G198">
        <v>1</v>
      </c>
      <c r="H198" t="b">
        <v>1</v>
      </c>
      <c r="I198">
        <v>3</v>
      </c>
      <c r="J198">
        <v>3</v>
      </c>
      <c r="N198">
        <v>0</v>
      </c>
    </row>
    <row r="199" spans="1:14" x14ac:dyDescent="0.2">
      <c r="A199" s="54">
        <v>197</v>
      </c>
      <c r="B199">
        <v>17386</v>
      </c>
      <c r="C199">
        <v>198</v>
      </c>
      <c r="D199" t="s">
        <v>942</v>
      </c>
      <c r="E199" t="s">
        <v>6556</v>
      </c>
      <c r="F199" t="s">
        <v>7251</v>
      </c>
      <c r="G199">
        <v>1</v>
      </c>
      <c r="H199" t="b">
        <v>1</v>
      </c>
      <c r="I199">
        <v>3</v>
      </c>
      <c r="J199">
        <v>3</v>
      </c>
      <c r="N199">
        <v>1</v>
      </c>
    </row>
    <row r="200" spans="1:14" x14ac:dyDescent="0.2">
      <c r="A200" s="54">
        <v>198</v>
      </c>
      <c r="B200">
        <v>17386</v>
      </c>
      <c r="C200">
        <v>199</v>
      </c>
      <c r="D200" t="s">
        <v>945</v>
      </c>
      <c r="E200" t="s">
        <v>6558</v>
      </c>
      <c r="F200" t="s">
        <v>7252</v>
      </c>
      <c r="G200">
        <v>1</v>
      </c>
      <c r="H200" t="b">
        <v>1</v>
      </c>
      <c r="I200">
        <v>2</v>
      </c>
      <c r="J200">
        <v>2</v>
      </c>
      <c r="N200">
        <v>1</v>
      </c>
    </row>
    <row r="201" spans="1:14" x14ac:dyDescent="0.2">
      <c r="A201" s="54">
        <v>199</v>
      </c>
      <c r="B201">
        <v>17386</v>
      </c>
      <c r="C201">
        <v>200</v>
      </c>
      <c r="D201" t="s">
        <v>946</v>
      </c>
      <c r="E201" t="s">
        <v>6973</v>
      </c>
      <c r="F201" t="s">
        <v>7253</v>
      </c>
      <c r="G201">
        <v>2</v>
      </c>
      <c r="H201" t="b">
        <v>1</v>
      </c>
      <c r="I201">
        <v>2</v>
      </c>
      <c r="J201">
        <v>2</v>
      </c>
      <c r="N201">
        <v>0</v>
      </c>
    </row>
    <row r="202" spans="1:14" x14ac:dyDescent="0.2">
      <c r="A202" s="54">
        <v>200</v>
      </c>
      <c r="B202">
        <v>17386</v>
      </c>
      <c r="C202">
        <v>201</v>
      </c>
      <c r="D202" t="s">
        <v>947</v>
      </c>
      <c r="E202" t="s">
        <v>6975</v>
      </c>
      <c r="F202" t="s">
        <v>7254</v>
      </c>
      <c r="G202">
        <v>2</v>
      </c>
      <c r="H202" t="b">
        <v>1</v>
      </c>
      <c r="I202">
        <v>3</v>
      </c>
      <c r="J202">
        <v>3</v>
      </c>
      <c r="N202">
        <v>0</v>
      </c>
    </row>
    <row r="203" spans="1:14" x14ac:dyDescent="0.2">
      <c r="A203" s="54">
        <v>201</v>
      </c>
      <c r="B203">
        <v>17386</v>
      </c>
      <c r="C203">
        <v>202</v>
      </c>
      <c r="D203" t="s">
        <v>949</v>
      </c>
      <c r="E203" t="s">
        <v>6564</v>
      </c>
      <c r="F203" t="s">
        <v>7255</v>
      </c>
      <c r="G203">
        <v>1</v>
      </c>
      <c r="H203" t="b">
        <v>1</v>
      </c>
      <c r="I203">
        <v>1</v>
      </c>
      <c r="J203">
        <v>1</v>
      </c>
      <c r="N203">
        <v>0</v>
      </c>
    </row>
    <row r="204" spans="1:14" x14ac:dyDescent="0.2">
      <c r="A204" s="54">
        <v>202</v>
      </c>
      <c r="B204">
        <v>17386</v>
      </c>
      <c r="C204">
        <v>203</v>
      </c>
      <c r="D204" t="s">
        <v>950</v>
      </c>
      <c r="E204" t="s">
        <v>6566</v>
      </c>
      <c r="F204" t="s">
        <v>7256</v>
      </c>
      <c r="G204">
        <v>1</v>
      </c>
      <c r="H204" t="b">
        <v>1</v>
      </c>
      <c r="I204">
        <v>4</v>
      </c>
      <c r="J204">
        <v>4</v>
      </c>
      <c r="N204">
        <v>0</v>
      </c>
    </row>
    <row r="205" spans="1:14" x14ac:dyDescent="0.2">
      <c r="A205" s="54">
        <v>203</v>
      </c>
      <c r="B205">
        <v>17386</v>
      </c>
      <c r="C205">
        <v>204</v>
      </c>
      <c r="D205" t="s">
        <v>951</v>
      </c>
      <c r="E205" t="s">
        <v>6568</v>
      </c>
      <c r="F205" t="s">
        <v>7257</v>
      </c>
      <c r="G205">
        <v>1</v>
      </c>
      <c r="H205" t="b">
        <v>1</v>
      </c>
      <c r="I205">
        <v>1</v>
      </c>
      <c r="J205">
        <v>1</v>
      </c>
      <c r="N205">
        <v>1</v>
      </c>
    </row>
    <row r="206" spans="1:14" x14ac:dyDescent="0.2">
      <c r="A206" s="54">
        <v>204</v>
      </c>
      <c r="B206">
        <v>17386</v>
      </c>
      <c r="C206">
        <v>205</v>
      </c>
      <c r="D206" t="s">
        <v>952</v>
      </c>
      <c r="E206" t="s">
        <v>6570</v>
      </c>
      <c r="F206" t="s">
        <v>7211</v>
      </c>
      <c r="G206">
        <v>1</v>
      </c>
      <c r="H206" t="b">
        <v>1</v>
      </c>
      <c r="I206">
        <v>0</v>
      </c>
      <c r="N206">
        <v>0</v>
      </c>
    </row>
    <row r="207" spans="1:14" x14ac:dyDescent="0.2">
      <c r="A207" s="54">
        <v>205</v>
      </c>
      <c r="B207">
        <v>17386</v>
      </c>
      <c r="C207">
        <v>206</v>
      </c>
      <c r="D207" t="s">
        <v>953</v>
      </c>
      <c r="E207" t="s">
        <v>6556</v>
      </c>
      <c r="F207" t="s">
        <v>7258</v>
      </c>
      <c r="G207">
        <v>1</v>
      </c>
      <c r="H207" t="b">
        <v>1</v>
      </c>
      <c r="I207">
        <v>3</v>
      </c>
      <c r="J207">
        <v>3</v>
      </c>
      <c r="N207">
        <v>0</v>
      </c>
    </row>
    <row r="208" spans="1:14" x14ac:dyDescent="0.2">
      <c r="A208" s="54">
        <v>206</v>
      </c>
      <c r="B208">
        <v>17386</v>
      </c>
      <c r="C208">
        <v>207</v>
      </c>
      <c r="D208" t="s">
        <v>956</v>
      </c>
      <c r="E208" t="s">
        <v>6572</v>
      </c>
      <c r="F208" t="s">
        <v>7259</v>
      </c>
      <c r="G208">
        <v>1</v>
      </c>
      <c r="H208" t="b">
        <v>1</v>
      </c>
      <c r="I208">
        <v>3</v>
      </c>
      <c r="J208">
        <v>2</v>
      </c>
      <c r="K208">
        <v>1</v>
      </c>
      <c r="N208">
        <v>0</v>
      </c>
    </row>
    <row r="209" spans="1:14" x14ac:dyDescent="0.2">
      <c r="A209" s="54">
        <v>207</v>
      </c>
      <c r="B209">
        <v>17386</v>
      </c>
      <c r="C209">
        <v>208</v>
      </c>
      <c r="D209" t="s">
        <v>959</v>
      </c>
      <c r="E209" t="s">
        <v>6574</v>
      </c>
      <c r="F209" t="s">
        <v>7260</v>
      </c>
      <c r="G209">
        <v>1</v>
      </c>
      <c r="H209" t="b">
        <v>1</v>
      </c>
      <c r="I209">
        <v>4</v>
      </c>
      <c r="J209">
        <v>4</v>
      </c>
      <c r="N209">
        <v>0</v>
      </c>
    </row>
    <row r="210" spans="1:14" x14ac:dyDescent="0.2">
      <c r="A210" s="54">
        <v>208</v>
      </c>
      <c r="B210">
        <v>17386</v>
      </c>
      <c r="C210">
        <v>209</v>
      </c>
      <c r="D210" t="s">
        <v>962</v>
      </c>
      <c r="E210" t="s">
        <v>6576</v>
      </c>
      <c r="F210" t="s">
        <v>7261</v>
      </c>
      <c r="G210">
        <v>1</v>
      </c>
      <c r="H210" t="b">
        <v>1</v>
      </c>
      <c r="I210">
        <v>5</v>
      </c>
      <c r="J210">
        <v>5</v>
      </c>
      <c r="N210">
        <v>0</v>
      </c>
    </row>
    <row r="211" spans="1:14" x14ac:dyDescent="0.2">
      <c r="A211" s="54">
        <v>209</v>
      </c>
      <c r="B211">
        <v>17386</v>
      </c>
      <c r="C211">
        <v>210</v>
      </c>
      <c r="D211" t="s">
        <v>965</v>
      </c>
      <c r="E211" t="s">
        <v>6578</v>
      </c>
      <c r="F211" t="s">
        <v>7262</v>
      </c>
      <c r="G211">
        <v>1</v>
      </c>
      <c r="H211" t="b">
        <v>1</v>
      </c>
      <c r="I211">
        <v>2</v>
      </c>
      <c r="J211">
        <v>2</v>
      </c>
      <c r="N211">
        <v>0</v>
      </c>
    </row>
    <row r="212" spans="1:14" x14ac:dyDescent="0.2">
      <c r="A212" s="54">
        <v>210</v>
      </c>
      <c r="B212">
        <v>17387</v>
      </c>
      <c r="C212">
        <v>211</v>
      </c>
      <c r="D212" t="s">
        <v>968</v>
      </c>
      <c r="E212" t="s">
        <v>4608</v>
      </c>
      <c r="F212" t="s">
        <v>7263</v>
      </c>
      <c r="G212">
        <v>2</v>
      </c>
      <c r="H212" t="b">
        <v>1</v>
      </c>
      <c r="I212">
        <v>5</v>
      </c>
      <c r="J212">
        <v>5</v>
      </c>
      <c r="K212">
        <v>0</v>
      </c>
      <c r="L212">
        <v>0</v>
      </c>
      <c r="M212">
        <v>0</v>
      </c>
      <c r="N212">
        <v>1</v>
      </c>
    </row>
    <row r="213" spans="1:14" x14ac:dyDescent="0.2">
      <c r="A213" s="54">
        <v>211</v>
      </c>
      <c r="B213">
        <v>17387</v>
      </c>
      <c r="C213">
        <v>212</v>
      </c>
      <c r="D213" t="s">
        <v>971</v>
      </c>
      <c r="E213" t="s">
        <v>6978</v>
      </c>
      <c r="F213" t="s">
        <v>7264</v>
      </c>
      <c r="G213">
        <v>2</v>
      </c>
      <c r="H213" t="b">
        <v>1</v>
      </c>
      <c r="I213">
        <v>2</v>
      </c>
      <c r="J213">
        <v>2</v>
      </c>
      <c r="K213">
        <v>0</v>
      </c>
      <c r="L213">
        <v>0</v>
      </c>
      <c r="M213">
        <v>0</v>
      </c>
      <c r="N213">
        <v>0</v>
      </c>
    </row>
    <row r="214" spans="1:14" x14ac:dyDescent="0.2">
      <c r="A214" s="54">
        <v>212</v>
      </c>
      <c r="B214">
        <v>17387</v>
      </c>
      <c r="C214">
        <v>213</v>
      </c>
      <c r="D214" t="s">
        <v>973</v>
      </c>
      <c r="E214" t="s">
        <v>6584</v>
      </c>
      <c r="F214" t="s">
        <v>7265</v>
      </c>
      <c r="G214">
        <v>1</v>
      </c>
      <c r="H214" t="b">
        <v>1</v>
      </c>
      <c r="I214">
        <v>1</v>
      </c>
      <c r="J214">
        <v>1</v>
      </c>
      <c r="K214">
        <v>0</v>
      </c>
      <c r="L214">
        <v>0</v>
      </c>
      <c r="M214">
        <v>0</v>
      </c>
      <c r="N214">
        <v>1</v>
      </c>
    </row>
    <row r="215" spans="1:14" x14ac:dyDescent="0.2">
      <c r="A215" s="54">
        <v>213</v>
      </c>
      <c r="B215">
        <v>17387</v>
      </c>
      <c r="C215">
        <v>214</v>
      </c>
      <c r="D215" t="s">
        <v>976</v>
      </c>
      <c r="E215" t="s">
        <v>6586</v>
      </c>
      <c r="F215" t="s">
        <v>7266</v>
      </c>
      <c r="G215">
        <v>1</v>
      </c>
      <c r="H215" t="b">
        <v>1</v>
      </c>
      <c r="I215">
        <v>1</v>
      </c>
      <c r="J215">
        <v>1</v>
      </c>
      <c r="K215">
        <v>0</v>
      </c>
      <c r="L215">
        <v>0</v>
      </c>
      <c r="M215">
        <v>0</v>
      </c>
      <c r="N215">
        <v>0</v>
      </c>
    </row>
    <row r="216" spans="1:14" x14ac:dyDescent="0.2">
      <c r="A216" s="54">
        <v>214</v>
      </c>
      <c r="B216">
        <v>17387</v>
      </c>
      <c r="C216">
        <v>215</v>
      </c>
      <c r="D216" t="s">
        <v>977</v>
      </c>
      <c r="E216" t="s">
        <v>6588</v>
      </c>
      <c r="F216" t="s">
        <v>7267</v>
      </c>
      <c r="G216">
        <v>1</v>
      </c>
      <c r="H216" t="b">
        <v>1</v>
      </c>
      <c r="I216">
        <v>1</v>
      </c>
      <c r="J216">
        <v>1</v>
      </c>
      <c r="K216">
        <v>0</v>
      </c>
      <c r="L216">
        <v>0</v>
      </c>
      <c r="M216">
        <v>0</v>
      </c>
      <c r="N216">
        <v>0</v>
      </c>
    </row>
    <row r="217" spans="1:14" x14ac:dyDescent="0.2">
      <c r="A217" s="54">
        <v>215</v>
      </c>
      <c r="B217">
        <v>17387</v>
      </c>
      <c r="C217">
        <v>216</v>
      </c>
      <c r="D217" t="s">
        <v>978</v>
      </c>
      <c r="E217" t="s">
        <v>6590</v>
      </c>
      <c r="F217" t="s">
        <v>7268</v>
      </c>
      <c r="G217">
        <v>1</v>
      </c>
      <c r="H217" t="b">
        <v>1</v>
      </c>
      <c r="I217">
        <v>4</v>
      </c>
      <c r="J217">
        <v>4</v>
      </c>
      <c r="K217">
        <v>0</v>
      </c>
      <c r="L217">
        <v>0</v>
      </c>
      <c r="M217">
        <v>0</v>
      </c>
      <c r="N217">
        <v>0</v>
      </c>
    </row>
    <row r="218" spans="1:14" x14ac:dyDescent="0.2">
      <c r="A218" s="54">
        <v>216</v>
      </c>
      <c r="B218">
        <v>17387</v>
      </c>
      <c r="C218">
        <v>217</v>
      </c>
      <c r="D218" t="s">
        <v>979</v>
      </c>
      <c r="E218" t="s">
        <v>6980</v>
      </c>
      <c r="F218" t="s">
        <v>7269</v>
      </c>
      <c r="G218">
        <v>2</v>
      </c>
      <c r="H218" t="b">
        <v>1</v>
      </c>
      <c r="I218">
        <v>3</v>
      </c>
      <c r="J218">
        <v>1</v>
      </c>
      <c r="K218">
        <v>2</v>
      </c>
      <c r="L218">
        <v>0</v>
      </c>
      <c r="M218">
        <v>0</v>
      </c>
      <c r="N218">
        <v>0</v>
      </c>
    </row>
    <row r="219" spans="1:14" x14ac:dyDescent="0.2">
      <c r="A219" s="54">
        <v>217</v>
      </c>
      <c r="B219">
        <v>17387</v>
      </c>
      <c r="C219">
        <v>218</v>
      </c>
      <c r="D219" t="s">
        <v>980</v>
      </c>
      <c r="E219" t="s">
        <v>4608</v>
      </c>
      <c r="F219" t="s">
        <v>7270</v>
      </c>
      <c r="G219">
        <v>1</v>
      </c>
      <c r="H219" t="b">
        <v>1</v>
      </c>
      <c r="I219">
        <v>1</v>
      </c>
      <c r="J219">
        <v>1</v>
      </c>
      <c r="K219">
        <v>0</v>
      </c>
      <c r="L219">
        <v>0</v>
      </c>
      <c r="M219">
        <v>0</v>
      </c>
      <c r="N219">
        <v>0</v>
      </c>
    </row>
    <row r="220" spans="1:14" x14ac:dyDescent="0.2">
      <c r="A220" s="54">
        <v>218</v>
      </c>
      <c r="B220">
        <v>17387</v>
      </c>
      <c r="C220">
        <v>219</v>
      </c>
      <c r="D220" t="s">
        <v>983</v>
      </c>
      <c r="E220" t="s">
        <v>4608</v>
      </c>
      <c r="F220" t="s">
        <v>7271</v>
      </c>
      <c r="G220">
        <v>2</v>
      </c>
      <c r="H220" t="b">
        <v>1</v>
      </c>
      <c r="I220">
        <v>1</v>
      </c>
      <c r="J220">
        <v>1</v>
      </c>
      <c r="K220">
        <v>0</v>
      </c>
      <c r="L220">
        <v>0</v>
      </c>
      <c r="M220">
        <v>0</v>
      </c>
      <c r="N220">
        <v>0</v>
      </c>
    </row>
    <row r="221" spans="1:14" x14ac:dyDescent="0.2">
      <c r="A221" s="54">
        <v>219</v>
      </c>
      <c r="B221">
        <v>17387</v>
      </c>
      <c r="C221">
        <v>220</v>
      </c>
      <c r="D221" t="s">
        <v>984</v>
      </c>
      <c r="E221" t="s">
        <v>6983</v>
      </c>
      <c r="F221" t="s">
        <v>7272</v>
      </c>
      <c r="G221">
        <v>2</v>
      </c>
      <c r="H221" t="b">
        <v>1</v>
      </c>
      <c r="I221">
        <v>3</v>
      </c>
      <c r="J221">
        <v>3</v>
      </c>
      <c r="K221">
        <v>0</v>
      </c>
      <c r="L221">
        <v>0</v>
      </c>
      <c r="M221">
        <v>0</v>
      </c>
      <c r="N221">
        <v>0</v>
      </c>
    </row>
    <row r="222" spans="1:14" x14ac:dyDescent="0.2">
      <c r="A222" s="54">
        <v>220</v>
      </c>
      <c r="B222">
        <v>17387</v>
      </c>
      <c r="C222">
        <v>221</v>
      </c>
      <c r="D222" t="s">
        <v>985</v>
      </c>
      <c r="E222" t="s">
        <v>6599</v>
      </c>
      <c r="F222" t="s">
        <v>7273</v>
      </c>
      <c r="G222">
        <v>1</v>
      </c>
      <c r="H222" t="b">
        <v>1</v>
      </c>
      <c r="I222">
        <v>2</v>
      </c>
      <c r="J222">
        <v>1</v>
      </c>
      <c r="K222">
        <v>0</v>
      </c>
      <c r="L222">
        <v>0</v>
      </c>
      <c r="M222">
        <v>1</v>
      </c>
      <c r="N222">
        <v>0</v>
      </c>
    </row>
    <row r="223" spans="1:14" x14ac:dyDescent="0.2">
      <c r="A223" s="54">
        <v>221</v>
      </c>
      <c r="B223">
        <v>17387</v>
      </c>
      <c r="C223">
        <v>222</v>
      </c>
      <c r="D223" t="s">
        <v>986</v>
      </c>
      <c r="E223" t="s">
        <v>6601</v>
      </c>
      <c r="F223" t="s">
        <v>7274</v>
      </c>
      <c r="G223">
        <v>1</v>
      </c>
      <c r="H223" t="b">
        <v>1</v>
      </c>
      <c r="I223">
        <v>1</v>
      </c>
      <c r="J223">
        <v>1</v>
      </c>
      <c r="K223">
        <v>0</v>
      </c>
      <c r="L223">
        <v>0</v>
      </c>
      <c r="M223">
        <v>0</v>
      </c>
      <c r="N223">
        <v>1</v>
      </c>
    </row>
    <row r="224" spans="1:14" x14ac:dyDescent="0.2">
      <c r="A224" s="54">
        <v>222</v>
      </c>
      <c r="B224">
        <v>17387</v>
      </c>
      <c r="C224">
        <v>223</v>
      </c>
      <c r="D224" t="s">
        <v>989</v>
      </c>
      <c r="E224" t="s">
        <v>6603</v>
      </c>
      <c r="F224" t="s">
        <v>7275</v>
      </c>
      <c r="G224">
        <v>1</v>
      </c>
      <c r="H224" t="b">
        <v>1</v>
      </c>
      <c r="I224">
        <v>3</v>
      </c>
      <c r="J224">
        <v>2</v>
      </c>
      <c r="K224">
        <v>1</v>
      </c>
      <c r="L224">
        <v>0</v>
      </c>
      <c r="M224">
        <v>0</v>
      </c>
      <c r="N224">
        <v>0</v>
      </c>
    </row>
    <row r="225" spans="1:14" x14ac:dyDescent="0.2">
      <c r="A225" s="54">
        <v>223</v>
      </c>
      <c r="B225">
        <v>17387</v>
      </c>
      <c r="C225">
        <v>224</v>
      </c>
      <c r="D225" t="s">
        <v>990</v>
      </c>
      <c r="E225" t="s">
        <v>6605</v>
      </c>
      <c r="F225" t="s">
        <v>7276</v>
      </c>
      <c r="G225">
        <v>1</v>
      </c>
      <c r="H225" t="b">
        <v>1</v>
      </c>
      <c r="I225">
        <v>1</v>
      </c>
      <c r="J225">
        <v>1</v>
      </c>
      <c r="K225">
        <v>0</v>
      </c>
      <c r="L225">
        <v>0</v>
      </c>
      <c r="M225">
        <v>0</v>
      </c>
      <c r="N225">
        <v>0</v>
      </c>
    </row>
    <row r="226" spans="1:14" x14ac:dyDescent="0.2">
      <c r="A226" s="54">
        <v>224</v>
      </c>
      <c r="B226">
        <v>17387</v>
      </c>
      <c r="C226">
        <v>225</v>
      </c>
      <c r="D226" t="s">
        <v>993</v>
      </c>
      <c r="E226" t="s">
        <v>6985</v>
      </c>
      <c r="F226" t="s">
        <v>7277</v>
      </c>
      <c r="G226">
        <v>3</v>
      </c>
      <c r="H226" t="b">
        <v>1</v>
      </c>
      <c r="I226">
        <v>2</v>
      </c>
      <c r="J226">
        <v>2</v>
      </c>
      <c r="K226">
        <v>0</v>
      </c>
      <c r="L226">
        <v>0</v>
      </c>
      <c r="M226">
        <v>0</v>
      </c>
      <c r="N226">
        <v>1</v>
      </c>
    </row>
    <row r="227" spans="1:14" x14ac:dyDescent="0.2">
      <c r="A227" s="54">
        <v>225</v>
      </c>
      <c r="B227">
        <v>17387</v>
      </c>
      <c r="C227">
        <v>226</v>
      </c>
      <c r="D227" t="s">
        <v>996</v>
      </c>
      <c r="E227" t="s">
        <v>6987</v>
      </c>
      <c r="F227" t="s">
        <v>7278</v>
      </c>
      <c r="G227">
        <v>4</v>
      </c>
      <c r="H227" t="b">
        <v>1</v>
      </c>
      <c r="I227">
        <v>1</v>
      </c>
      <c r="J227">
        <v>1</v>
      </c>
      <c r="K227">
        <v>0</v>
      </c>
      <c r="L227">
        <v>0</v>
      </c>
      <c r="M227">
        <v>0</v>
      </c>
      <c r="N227">
        <v>0</v>
      </c>
    </row>
    <row r="228" spans="1:14" x14ac:dyDescent="0.2">
      <c r="A228" s="54">
        <v>226</v>
      </c>
      <c r="B228">
        <v>17387</v>
      </c>
      <c r="C228">
        <v>227</v>
      </c>
      <c r="D228" t="s">
        <v>997</v>
      </c>
      <c r="E228" t="s">
        <v>4608</v>
      </c>
      <c r="F228" t="s">
        <v>7279</v>
      </c>
      <c r="G228">
        <v>1</v>
      </c>
      <c r="H228" t="b">
        <v>1</v>
      </c>
      <c r="I228">
        <v>1</v>
      </c>
      <c r="J228">
        <v>1</v>
      </c>
      <c r="K228">
        <v>0</v>
      </c>
      <c r="L228">
        <v>0</v>
      </c>
      <c r="M228">
        <v>0</v>
      </c>
      <c r="N228">
        <v>0</v>
      </c>
    </row>
    <row r="229" spans="1:14" x14ac:dyDescent="0.2">
      <c r="A229" s="54">
        <v>227</v>
      </c>
      <c r="B229">
        <v>17387</v>
      </c>
      <c r="C229">
        <v>228</v>
      </c>
      <c r="D229" t="s">
        <v>1000</v>
      </c>
      <c r="E229" t="s">
        <v>6612</v>
      </c>
      <c r="F229" t="s">
        <v>7280</v>
      </c>
      <c r="G229">
        <v>1</v>
      </c>
      <c r="H229" t="b">
        <v>1</v>
      </c>
      <c r="I229">
        <v>2</v>
      </c>
      <c r="J229">
        <v>1</v>
      </c>
      <c r="K229">
        <v>0</v>
      </c>
      <c r="L229">
        <v>1</v>
      </c>
      <c r="M229">
        <v>0</v>
      </c>
      <c r="N229">
        <v>0</v>
      </c>
    </row>
    <row r="230" spans="1:14" x14ac:dyDescent="0.2">
      <c r="A230" s="54">
        <v>228</v>
      </c>
      <c r="B230">
        <v>17387</v>
      </c>
      <c r="C230">
        <v>229</v>
      </c>
      <c r="D230" t="s">
        <v>1003</v>
      </c>
      <c r="E230" t="s">
        <v>6614</v>
      </c>
      <c r="F230" t="s">
        <v>7281</v>
      </c>
      <c r="G230">
        <v>1</v>
      </c>
      <c r="H230" t="b">
        <v>1</v>
      </c>
      <c r="I230">
        <v>3</v>
      </c>
      <c r="J230">
        <v>3</v>
      </c>
      <c r="K230">
        <v>0</v>
      </c>
      <c r="L230">
        <v>0</v>
      </c>
      <c r="M230">
        <v>0</v>
      </c>
      <c r="N230">
        <v>0</v>
      </c>
    </row>
    <row r="231" spans="1:14" x14ac:dyDescent="0.2">
      <c r="A231" s="54">
        <v>229</v>
      </c>
      <c r="B231">
        <v>17387</v>
      </c>
      <c r="C231">
        <v>230</v>
      </c>
      <c r="D231" t="s">
        <v>1004</v>
      </c>
      <c r="E231" t="s">
        <v>6616</v>
      </c>
      <c r="F231" t="s">
        <v>7282</v>
      </c>
      <c r="G231">
        <v>1</v>
      </c>
      <c r="H231" t="b">
        <v>1</v>
      </c>
      <c r="I231">
        <v>2</v>
      </c>
      <c r="J231">
        <v>1</v>
      </c>
      <c r="K231">
        <v>0</v>
      </c>
      <c r="L231">
        <v>0</v>
      </c>
      <c r="M231">
        <v>1</v>
      </c>
      <c r="N231">
        <v>1</v>
      </c>
    </row>
    <row r="232" spans="1:14" x14ac:dyDescent="0.2">
      <c r="A232" s="54">
        <v>230</v>
      </c>
      <c r="B232">
        <v>17387</v>
      </c>
      <c r="C232">
        <v>231</v>
      </c>
      <c r="D232" t="s">
        <v>1005</v>
      </c>
      <c r="E232" t="s">
        <v>6618</v>
      </c>
      <c r="F232" t="s">
        <v>7283</v>
      </c>
      <c r="G232">
        <v>1</v>
      </c>
      <c r="H232" t="b">
        <v>1</v>
      </c>
      <c r="I232">
        <v>2</v>
      </c>
      <c r="J232">
        <v>2</v>
      </c>
      <c r="K232">
        <v>0</v>
      </c>
      <c r="L232">
        <v>0</v>
      </c>
      <c r="M232">
        <v>0</v>
      </c>
      <c r="N232">
        <v>1</v>
      </c>
    </row>
    <row r="233" spans="1:14" x14ac:dyDescent="0.2">
      <c r="A233" s="54">
        <v>231</v>
      </c>
      <c r="B233">
        <v>17387</v>
      </c>
      <c r="C233">
        <v>232</v>
      </c>
      <c r="D233" t="s">
        <v>1008</v>
      </c>
      <c r="E233" t="s">
        <v>6620</v>
      </c>
      <c r="F233" t="s">
        <v>7284</v>
      </c>
      <c r="G233">
        <v>1</v>
      </c>
      <c r="H233" t="b">
        <v>1</v>
      </c>
      <c r="I233">
        <v>2</v>
      </c>
      <c r="J233">
        <v>2</v>
      </c>
      <c r="K233">
        <v>0</v>
      </c>
      <c r="L233">
        <v>0</v>
      </c>
      <c r="M233">
        <v>0</v>
      </c>
      <c r="N233">
        <v>0</v>
      </c>
    </row>
    <row r="234" spans="1:14" x14ac:dyDescent="0.2">
      <c r="A234" s="54">
        <v>232</v>
      </c>
      <c r="B234">
        <v>17387</v>
      </c>
      <c r="C234">
        <v>233</v>
      </c>
      <c r="D234" t="s">
        <v>1009</v>
      </c>
      <c r="E234" t="s">
        <v>6622</v>
      </c>
      <c r="F234" t="s">
        <v>7285</v>
      </c>
      <c r="G234">
        <v>1</v>
      </c>
      <c r="H234" t="b">
        <v>1</v>
      </c>
      <c r="I234">
        <v>1</v>
      </c>
      <c r="J234">
        <v>1</v>
      </c>
      <c r="K234">
        <v>0</v>
      </c>
      <c r="L234">
        <v>0</v>
      </c>
      <c r="M234">
        <v>0</v>
      </c>
      <c r="N234">
        <v>0</v>
      </c>
    </row>
    <row r="235" spans="1:14" x14ac:dyDescent="0.2">
      <c r="A235" s="54">
        <v>233</v>
      </c>
      <c r="B235">
        <v>17387</v>
      </c>
      <c r="C235">
        <v>234</v>
      </c>
      <c r="D235" t="s">
        <v>1010</v>
      </c>
      <c r="E235" t="s">
        <v>6624</v>
      </c>
      <c r="F235" t="s">
        <v>7286</v>
      </c>
      <c r="G235">
        <v>1</v>
      </c>
      <c r="H235" t="b">
        <v>1</v>
      </c>
      <c r="I235">
        <v>2</v>
      </c>
      <c r="J235">
        <v>2</v>
      </c>
      <c r="K235">
        <v>0</v>
      </c>
      <c r="L235">
        <v>0</v>
      </c>
      <c r="M235">
        <v>0</v>
      </c>
      <c r="N235">
        <v>0</v>
      </c>
    </row>
    <row r="236" spans="1:14" x14ac:dyDescent="0.2">
      <c r="A236" s="54">
        <v>234</v>
      </c>
      <c r="B236">
        <v>17387</v>
      </c>
      <c r="C236">
        <v>235</v>
      </c>
      <c r="D236" t="s">
        <v>1011</v>
      </c>
      <c r="E236" t="s">
        <v>6626</v>
      </c>
      <c r="F236" t="s">
        <v>7287</v>
      </c>
      <c r="G236">
        <v>1</v>
      </c>
      <c r="H236" t="b">
        <v>1</v>
      </c>
      <c r="I236">
        <v>3</v>
      </c>
      <c r="J236">
        <v>3</v>
      </c>
      <c r="K236">
        <v>0</v>
      </c>
      <c r="L236">
        <v>0</v>
      </c>
      <c r="M236">
        <v>0</v>
      </c>
      <c r="N236">
        <v>0</v>
      </c>
    </row>
    <row r="237" spans="1:14" x14ac:dyDescent="0.2">
      <c r="A237" s="54">
        <v>235</v>
      </c>
      <c r="B237">
        <v>17387</v>
      </c>
      <c r="C237">
        <v>236</v>
      </c>
      <c r="D237" t="s">
        <v>1012</v>
      </c>
      <c r="E237" t="s">
        <v>6628</v>
      </c>
      <c r="F237" t="s">
        <v>7288</v>
      </c>
      <c r="G237">
        <v>1</v>
      </c>
      <c r="H237" t="b">
        <v>1</v>
      </c>
      <c r="I237">
        <v>1</v>
      </c>
      <c r="J237">
        <v>1</v>
      </c>
      <c r="K237">
        <v>0</v>
      </c>
      <c r="L237">
        <v>0</v>
      </c>
      <c r="M237">
        <v>0</v>
      </c>
      <c r="N237">
        <v>0</v>
      </c>
    </row>
    <row r="238" spans="1:14" x14ac:dyDescent="0.2">
      <c r="A238" s="54">
        <v>236</v>
      </c>
      <c r="B238">
        <v>17387</v>
      </c>
      <c r="C238">
        <v>237</v>
      </c>
      <c r="D238" t="s">
        <v>1013</v>
      </c>
      <c r="E238" t="s">
        <v>6630</v>
      </c>
      <c r="F238" t="s">
        <v>7289</v>
      </c>
      <c r="G238">
        <v>1</v>
      </c>
      <c r="H238" t="b">
        <v>1</v>
      </c>
      <c r="I238">
        <v>5</v>
      </c>
      <c r="J238">
        <v>1</v>
      </c>
      <c r="K238">
        <v>4</v>
      </c>
      <c r="L238">
        <v>0</v>
      </c>
      <c r="M238">
        <v>0</v>
      </c>
      <c r="N238">
        <v>0</v>
      </c>
    </row>
    <row r="239" spans="1:14" x14ac:dyDescent="0.2">
      <c r="A239" s="54">
        <v>237</v>
      </c>
      <c r="B239">
        <v>17387</v>
      </c>
      <c r="C239">
        <v>238</v>
      </c>
      <c r="D239" t="s">
        <v>1016</v>
      </c>
      <c r="E239" t="s">
        <v>4608</v>
      </c>
      <c r="F239" t="s">
        <v>7290</v>
      </c>
      <c r="G239">
        <v>1</v>
      </c>
      <c r="H239" t="b">
        <v>1</v>
      </c>
      <c r="I239">
        <v>4</v>
      </c>
      <c r="J239">
        <v>3</v>
      </c>
      <c r="K239">
        <v>1</v>
      </c>
      <c r="L239">
        <v>0</v>
      </c>
      <c r="M239">
        <v>0</v>
      </c>
      <c r="N239">
        <v>1</v>
      </c>
    </row>
    <row r="240" spans="1:14" x14ac:dyDescent="0.2">
      <c r="A240" s="54">
        <v>238</v>
      </c>
      <c r="B240">
        <v>17387</v>
      </c>
      <c r="C240">
        <v>239</v>
      </c>
      <c r="D240" t="s">
        <v>1019</v>
      </c>
      <c r="E240" t="s">
        <v>6989</v>
      </c>
      <c r="F240" t="s">
        <v>7291</v>
      </c>
      <c r="G240">
        <v>5</v>
      </c>
      <c r="H240" t="b">
        <v>0</v>
      </c>
      <c r="I240">
        <v>1</v>
      </c>
      <c r="J240">
        <v>0</v>
      </c>
      <c r="K240">
        <v>0</v>
      </c>
      <c r="L240">
        <v>1</v>
      </c>
      <c r="M240">
        <v>0</v>
      </c>
    </row>
    <row r="241" spans="1:14" x14ac:dyDescent="0.2">
      <c r="A241" s="54">
        <v>239</v>
      </c>
      <c r="B241">
        <v>17387</v>
      </c>
      <c r="C241">
        <v>240</v>
      </c>
      <c r="D241" t="s">
        <v>1020</v>
      </c>
      <c r="E241" t="s">
        <v>6635</v>
      </c>
      <c r="F241" t="s">
        <v>7292</v>
      </c>
      <c r="G241">
        <v>1</v>
      </c>
      <c r="H241" t="b">
        <v>1</v>
      </c>
      <c r="I241">
        <v>2</v>
      </c>
      <c r="J241">
        <v>1</v>
      </c>
      <c r="K241">
        <v>1</v>
      </c>
      <c r="L241">
        <v>0</v>
      </c>
      <c r="M241">
        <v>0</v>
      </c>
      <c r="N241">
        <v>0</v>
      </c>
    </row>
    <row r="242" spans="1:14" x14ac:dyDescent="0.2">
      <c r="A242" s="54">
        <v>240</v>
      </c>
      <c r="B242">
        <v>17388</v>
      </c>
      <c r="C242">
        <v>241</v>
      </c>
      <c r="D242" t="s">
        <v>1021</v>
      </c>
      <c r="E242" t="s">
        <v>6991</v>
      </c>
      <c r="F242" t="s">
        <v>7293</v>
      </c>
      <c r="G242">
        <v>2</v>
      </c>
      <c r="H242" t="b">
        <v>1</v>
      </c>
      <c r="I242">
        <v>7</v>
      </c>
      <c r="J242">
        <v>5</v>
      </c>
      <c r="K242">
        <v>2</v>
      </c>
      <c r="L242">
        <v>0</v>
      </c>
      <c r="M242">
        <v>0</v>
      </c>
      <c r="N242">
        <v>0</v>
      </c>
    </row>
    <row r="243" spans="1:14" x14ac:dyDescent="0.2">
      <c r="A243" s="54">
        <v>241</v>
      </c>
      <c r="B243">
        <v>17388</v>
      </c>
      <c r="C243">
        <v>242</v>
      </c>
      <c r="D243" t="s">
        <v>1023</v>
      </c>
      <c r="E243" t="s">
        <v>6639</v>
      </c>
      <c r="F243" t="s">
        <v>7294</v>
      </c>
      <c r="G243">
        <v>1</v>
      </c>
      <c r="H243" t="b">
        <v>1</v>
      </c>
      <c r="I243">
        <v>2</v>
      </c>
      <c r="J243">
        <v>1</v>
      </c>
      <c r="K243">
        <v>1</v>
      </c>
      <c r="L243">
        <v>0</v>
      </c>
      <c r="M243">
        <v>0</v>
      </c>
      <c r="N243">
        <v>0</v>
      </c>
    </row>
    <row r="244" spans="1:14" x14ac:dyDescent="0.2">
      <c r="A244" s="54">
        <v>242</v>
      </c>
      <c r="B244">
        <v>17388</v>
      </c>
      <c r="C244">
        <v>243</v>
      </c>
      <c r="D244" t="s">
        <v>1026</v>
      </c>
      <c r="E244" t="s">
        <v>6993</v>
      </c>
      <c r="F244" t="s">
        <v>7295</v>
      </c>
      <c r="G244">
        <v>2</v>
      </c>
      <c r="H244" t="b">
        <v>1</v>
      </c>
      <c r="I244">
        <v>7</v>
      </c>
      <c r="J244">
        <v>2</v>
      </c>
      <c r="K244">
        <v>4</v>
      </c>
      <c r="L244">
        <v>0</v>
      </c>
      <c r="M244">
        <v>1</v>
      </c>
      <c r="N244">
        <v>0</v>
      </c>
    </row>
    <row r="245" spans="1:14" x14ac:dyDescent="0.2">
      <c r="A245" s="54">
        <v>243</v>
      </c>
      <c r="B245">
        <v>17388</v>
      </c>
      <c r="C245">
        <v>244</v>
      </c>
      <c r="D245" t="s">
        <v>1029</v>
      </c>
      <c r="E245" t="s">
        <v>6643</v>
      </c>
      <c r="F245" t="s">
        <v>7296</v>
      </c>
      <c r="G245">
        <v>1</v>
      </c>
      <c r="H245" t="b">
        <v>1</v>
      </c>
      <c r="I245">
        <v>4</v>
      </c>
      <c r="J245">
        <v>3</v>
      </c>
      <c r="K245">
        <v>1</v>
      </c>
      <c r="L245">
        <v>0</v>
      </c>
      <c r="M245">
        <v>0</v>
      </c>
      <c r="N245">
        <v>0</v>
      </c>
    </row>
    <row r="246" spans="1:14" x14ac:dyDescent="0.2">
      <c r="A246" s="54">
        <v>244</v>
      </c>
      <c r="B246">
        <v>17388</v>
      </c>
      <c r="C246">
        <v>245</v>
      </c>
      <c r="D246" t="s">
        <v>1032</v>
      </c>
      <c r="E246" t="s">
        <v>6645</v>
      </c>
      <c r="F246" t="s">
        <v>7297</v>
      </c>
      <c r="G246">
        <v>1</v>
      </c>
      <c r="H246" t="b">
        <v>1</v>
      </c>
      <c r="I246">
        <v>1</v>
      </c>
      <c r="J246">
        <v>1</v>
      </c>
      <c r="K246">
        <v>0</v>
      </c>
      <c r="L246">
        <v>0</v>
      </c>
      <c r="M246">
        <v>0</v>
      </c>
      <c r="N246">
        <v>0</v>
      </c>
    </row>
    <row r="247" spans="1:14" x14ac:dyDescent="0.2">
      <c r="A247" s="54">
        <v>245</v>
      </c>
      <c r="B247">
        <v>17388</v>
      </c>
      <c r="C247">
        <v>246</v>
      </c>
      <c r="D247" t="s">
        <v>1035</v>
      </c>
      <c r="E247" t="s">
        <v>6647</v>
      </c>
      <c r="F247" t="s">
        <v>7298</v>
      </c>
      <c r="G247">
        <v>1</v>
      </c>
      <c r="H247" t="b">
        <v>1</v>
      </c>
      <c r="I247">
        <v>2</v>
      </c>
      <c r="J247">
        <v>2</v>
      </c>
      <c r="K247">
        <v>0</v>
      </c>
      <c r="L247">
        <v>0</v>
      </c>
      <c r="M247">
        <v>0</v>
      </c>
      <c r="N247">
        <v>0</v>
      </c>
    </row>
    <row r="248" spans="1:14" x14ac:dyDescent="0.2">
      <c r="A248" s="54">
        <v>246</v>
      </c>
      <c r="B248">
        <v>17388</v>
      </c>
      <c r="C248">
        <v>247</v>
      </c>
      <c r="D248" t="s">
        <v>1038</v>
      </c>
      <c r="E248" t="s">
        <v>6649</v>
      </c>
      <c r="F248" t="s">
        <v>7299</v>
      </c>
      <c r="G248">
        <v>1</v>
      </c>
      <c r="H248" t="b">
        <v>1</v>
      </c>
      <c r="I248">
        <v>1</v>
      </c>
      <c r="J248">
        <v>0</v>
      </c>
      <c r="K248">
        <v>0</v>
      </c>
      <c r="L248">
        <v>0</v>
      </c>
      <c r="M248">
        <v>1</v>
      </c>
      <c r="N248">
        <v>0</v>
      </c>
    </row>
    <row r="249" spans="1:14" x14ac:dyDescent="0.2">
      <c r="A249" s="54">
        <v>247</v>
      </c>
      <c r="B249">
        <v>17388</v>
      </c>
      <c r="C249">
        <v>248</v>
      </c>
      <c r="D249" t="s">
        <v>1039</v>
      </c>
      <c r="E249" t="s">
        <v>6996</v>
      </c>
      <c r="F249" t="s">
        <v>7300</v>
      </c>
      <c r="G249">
        <v>2</v>
      </c>
      <c r="H249" t="b">
        <v>1</v>
      </c>
      <c r="I249">
        <v>6</v>
      </c>
      <c r="J249">
        <v>0</v>
      </c>
      <c r="K249">
        <v>5</v>
      </c>
      <c r="L249">
        <v>0</v>
      </c>
      <c r="M249">
        <v>1</v>
      </c>
      <c r="N249">
        <v>0</v>
      </c>
    </row>
    <row r="250" spans="1:14" x14ac:dyDescent="0.2">
      <c r="A250" s="54">
        <v>248</v>
      </c>
      <c r="B250">
        <v>17388</v>
      </c>
      <c r="C250">
        <v>249</v>
      </c>
      <c r="D250" t="s">
        <v>1040</v>
      </c>
      <c r="E250" t="s">
        <v>6653</v>
      </c>
      <c r="F250" t="s">
        <v>7301</v>
      </c>
      <c r="G250">
        <v>1</v>
      </c>
      <c r="H250" t="b">
        <v>1</v>
      </c>
      <c r="I250">
        <v>1</v>
      </c>
      <c r="J250">
        <v>1</v>
      </c>
      <c r="K250">
        <v>0</v>
      </c>
      <c r="L250">
        <v>0</v>
      </c>
      <c r="M250">
        <v>0</v>
      </c>
      <c r="N250">
        <v>0</v>
      </c>
    </row>
    <row r="251" spans="1:14" x14ac:dyDescent="0.2">
      <c r="A251" s="54">
        <v>249</v>
      </c>
      <c r="B251">
        <v>17388</v>
      </c>
      <c r="C251">
        <v>250</v>
      </c>
      <c r="D251" t="s">
        <v>1043</v>
      </c>
      <c r="E251" t="s">
        <v>6993</v>
      </c>
      <c r="F251" t="s">
        <v>7302</v>
      </c>
      <c r="G251">
        <v>2</v>
      </c>
      <c r="H251" t="b">
        <v>1</v>
      </c>
      <c r="I251">
        <v>4</v>
      </c>
      <c r="J251">
        <v>2</v>
      </c>
      <c r="K251">
        <v>1</v>
      </c>
      <c r="L251">
        <v>0</v>
      </c>
      <c r="M251">
        <v>1</v>
      </c>
      <c r="N251">
        <v>2</v>
      </c>
    </row>
    <row r="252" spans="1:14" x14ac:dyDescent="0.2">
      <c r="A252" s="54">
        <v>250</v>
      </c>
      <c r="B252">
        <v>17388</v>
      </c>
      <c r="C252">
        <v>251</v>
      </c>
      <c r="D252" t="s">
        <v>1046</v>
      </c>
      <c r="E252" t="s">
        <v>6656</v>
      </c>
      <c r="F252" t="s">
        <v>7303</v>
      </c>
      <c r="G252">
        <v>1</v>
      </c>
      <c r="H252" t="b">
        <v>1</v>
      </c>
      <c r="I252">
        <v>7</v>
      </c>
      <c r="J252">
        <v>6</v>
      </c>
      <c r="K252">
        <v>0</v>
      </c>
      <c r="L252">
        <v>0</v>
      </c>
      <c r="M252">
        <v>1</v>
      </c>
      <c r="N252">
        <v>1</v>
      </c>
    </row>
    <row r="253" spans="1:14" x14ac:dyDescent="0.2">
      <c r="A253" s="54">
        <v>251</v>
      </c>
      <c r="B253">
        <v>17388</v>
      </c>
      <c r="C253">
        <v>252</v>
      </c>
      <c r="D253" t="s">
        <v>1047</v>
      </c>
      <c r="E253" t="s">
        <v>6993</v>
      </c>
      <c r="F253" t="s">
        <v>7304</v>
      </c>
      <c r="G253">
        <v>2</v>
      </c>
      <c r="H253" t="b">
        <v>1</v>
      </c>
      <c r="I253">
        <v>5</v>
      </c>
      <c r="J253">
        <v>3</v>
      </c>
      <c r="K253">
        <v>1</v>
      </c>
      <c r="L253">
        <v>0</v>
      </c>
      <c r="M253">
        <v>1</v>
      </c>
      <c r="N253">
        <v>1</v>
      </c>
    </row>
    <row r="254" spans="1:14" x14ac:dyDescent="0.2">
      <c r="A254" s="54">
        <v>252</v>
      </c>
      <c r="B254">
        <v>17388</v>
      </c>
      <c r="C254">
        <v>253</v>
      </c>
      <c r="D254" t="s">
        <v>1048</v>
      </c>
      <c r="E254" t="s">
        <v>6659</v>
      </c>
      <c r="F254" t="s">
        <v>7305</v>
      </c>
      <c r="G254">
        <v>1</v>
      </c>
      <c r="H254" t="b">
        <v>1</v>
      </c>
      <c r="I254">
        <v>2</v>
      </c>
      <c r="J254">
        <v>1</v>
      </c>
      <c r="K254">
        <v>1</v>
      </c>
      <c r="L254">
        <v>0</v>
      </c>
      <c r="M254">
        <v>0</v>
      </c>
      <c r="N254">
        <v>1</v>
      </c>
    </row>
    <row r="255" spans="1:14" x14ac:dyDescent="0.2">
      <c r="A255" s="54">
        <v>253</v>
      </c>
      <c r="B255">
        <v>17388</v>
      </c>
      <c r="C255">
        <v>254</v>
      </c>
      <c r="D255" t="s">
        <v>1051</v>
      </c>
      <c r="E255" t="s">
        <v>6661</v>
      </c>
      <c r="F255" t="s">
        <v>7306</v>
      </c>
      <c r="G255">
        <v>1</v>
      </c>
      <c r="H255" t="b">
        <v>1</v>
      </c>
      <c r="I255">
        <v>6</v>
      </c>
      <c r="J255">
        <v>5</v>
      </c>
      <c r="K255">
        <v>0</v>
      </c>
      <c r="L255">
        <v>0</v>
      </c>
      <c r="M255">
        <v>1</v>
      </c>
      <c r="N255">
        <v>2</v>
      </c>
    </row>
    <row r="256" spans="1:14" x14ac:dyDescent="0.2">
      <c r="A256" s="54">
        <v>254</v>
      </c>
      <c r="B256">
        <v>17388</v>
      </c>
      <c r="C256">
        <v>255</v>
      </c>
      <c r="D256" t="s">
        <v>1054</v>
      </c>
      <c r="E256" t="s">
        <v>6663</v>
      </c>
      <c r="F256" t="s">
        <v>7307</v>
      </c>
      <c r="G256">
        <v>1</v>
      </c>
      <c r="H256" t="b">
        <v>1</v>
      </c>
      <c r="I256">
        <v>5</v>
      </c>
      <c r="J256">
        <v>3</v>
      </c>
      <c r="K256">
        <v>0</v>
      </c>
      <c r="L256">
        <v>2</v>
      </c>
      <c r="M256">
        <v>0</v>
      </c>
      <c r="N256">
        <v>1</v>
      </c>
    </row>
    <row r="257" spans="1:14" x14ac:dyDescent="0.2">
      <c r="A257" s="54">
        <v>255</v>
      </c>
      <c r="B257">
        <v>17388</v>
      </c>
      <c r="C257">
        <v>256</v>
      </c>
      <c r="D257" t="s">
        <v>1057</v>
      </c>
      <c r="E257" t="s">
        <v>7000</v>
      </c>
      <c r="F257" t="s">
        <v>7308</v>
      </c>
      <c r="G257">
        <v>2</v>
      </c>
      <c r="H257" t="b">
        <v>1</v>
      </c>
      <c r="I257">
        <v>5</v>
      </c>
      <c r="J257">
        <v>3</v>
      </c>
      <c r="K257">
        <v>2</v>
      </c>
      <c r="L257">
        <v>0</v>
      </c>
      <c r="M257">
        <v>0</v>
      </c>
      <c r="N257">
        <v>1</v>
      </c>
    </row>
    <row r="258" spans="1:14" x14ac:dyDescent="0.2">
      <c r="A258" s="54">
        <v>256</v>
      </c>
      <c r="B258">
        <v>17388</v>
      </c>
      <c r="C258">
        <v>257</v>
      </c>
      <c r="D258" t="s">
        <v>1058</v>
      </c>
      <c r="E258" t="s">
        <v>6643</v>
      </c>
      <c r="F258" t="s">
        <v>7309</v>
      </c>
      <c r="G258">
        <v>1</v>
      </c>
      <c r="H258" t="b">
        <v>1</v>
      </c>
      <c r="I258">
        <v>5</v>
      </c>
      <c r="J258">
        <v>2</v>
      </c>
      <c r="K258">
        <v>0</v>
      </c>
      <c r="L258">
        <v>2</v>
      </c>
      <c r="M258">
        <v>1</v>
      </c>
      <c r="N258">
        <v>0</v>
      </c>
    </row>
    <row r="259" spans="1:14" x14ac:dyDescent="0.2">
      <c r="A259" s="54">
        <v>257</v>
      </c>
      <c r="B259">
        <v>17388</v>
      </c>
      <c r="C259">
        <v>258</v>
      </c>
      <c r="D259" t="s">
        <v>1059</v>
      </c>
      <c r="E259" t="s">
        <v>6668</v>
      </c>
      <c r="F259" t="s">
        <v>7310</v>
      </c>
      <c r="G259">
        <v>1</v>
      </c>
      <c r="H259" t="b">
        <v>1</v>
      </c>
      <c r="I259">
        <v>1</v>
      </c>
      <c r="J259">
        <v>1</v>
      </c>
      <c r="K259">
        <v>0</v>
      </c>
      <c r="L259">
        <v>0</v>
      </c>
      <c r="M259">
        <v>0</v>
      </c>
      <c r="N259">
        <v>0</v>
      </c>
    </row>
    <row r="260" spans="1:14" x14ac:dyDescent="0.2">
      <c r="A260" s="54">
        <v>258</v>
      </c>
      <c r="B260">
        <v>17389</v>
      </c>
      <c r="C260">
        <v>259</v>
      </c>
      <c r="D260" t="s">
        <v>1060</v>
      </c>
      <c r="E260" t="s">
        <v>6670</v>
      </c>
      <c r="F260" t="s">
        <v>7311</v>
      </c>
      <c r="G260">
        <v>1</v>
      </c>
      <c r="H260" t="b">
        <v>1</v>
      </c>
      <c r="I260">
        <v>4</v>
      </c>
      <c r="J260">
        <v>1</v>
      </c>
      <c r="K260">
        <v>3</v>
      </c>
      <c r="L260">
        <v>0</v>
      </c>
      <c r="M260">
        <v>0</v>
      </c>
      <c r="N260">
        <v>0</v>
      </c>
    </row>
    <row r="261" spans="1:14" x14ac:dyDescent="0.2">
      <c r="A261" s="54">
        <v>259</v>
      </c>
      <c r="B261">
        <v>17389</v>
      </c>
      <c r="C261">
        <v>260</v>
      </c>
      <c r="D261" t="s">
        <v>1063</v>
      </c>
      <c r="E261" t="s">
        <v>7002</v>
      </c>
      <c r="F261" t="s">
        <v>7312</v>
      </c>
      <c r="G261">
        <v>5</v>
      </c>
      <c r="H261" t="b">
        <v>0</v>
      </c>
      <c r="I261">
        <v>2</v>
      </c>
      <c r="J261">
        <v>2</v>
      </c>
      <c r="K261">
        <v>0</v>
      </c>
      <c r="L261">
        <v>0</v>
      </c>
      <c r="M261">
        <v>0</v>
      </c>
    </row>
    <row r="262" spans="1:14" x14ac:dyDescent="0.2">
      <c r="A262" s="54">
        <v>260</v>
      </c>
      <c r="B262">
        <v>17389</v>
      </c>
      <c r="C262">
        <v>261</v>
      </c>
      <c r="D262" t="s">
        <v>1065</v>
      </c>
      <c r="E262" t="s">
        <v>6674</v>
      </c>
      <c r="F262" t="s">
        <v>7313</v>
      </c>
      <c r="G262">
        <v>1</v>
      </c>
      <c r="H262" t="b">
        <v>1</v>
      </c>
      <c r="I262">
        <v>3</v>
      </c>
      <c r="J262">
        <v>1</v>
      </c>
      <c r="K262">
        <v>0</v>
      </c>
      <c r="L262">
        <v>2</v>
      </c>
      <c r="M262">
        <v>0</v>
      </c>
      <c r="N262">
        <v>0</v>
      </c>
    </row>
    <row r="263" spans="1:14" x14ac:dyDescent="0.2">
      <c r="A263" s="54">
        <v>261</v>
      </c>
      <c r="B263">
        <v>17389</v>
      </c>
      <c r="C263">
        <v>262</v>
      </c>
      <c r="D263" t="s">
        <v>1066</v>
      </c>
      <c r="E263" t="s">
        <v>7003</v>
      </c>
      <c r="F263" t="s">
        <v>7314</v>
      </c>
      <c r="G263">
        <v>5</v>
      </c>
      <c r="H263" t="b">
        <v>0</v>
      </c>
      <c r="I263">
        <v>4</v>
      </c>
      <c r="J263">
        <v>4</v>
      </c>
      <c r="K263">
        <v>0</v>
      </c>
      <c r="L263">
        <v>0</v>
      </c>
      <c r="M263">
        <v>0</v>
      </c>
    </row>
    <row r="264" spans="1:14" x14ac:dyDescent="0.2">
      <c r="A264" s="54">
        <v>262</v>
      </c>
      <c r="B264">
        <v>17389</v>
      </c>
      <c r="C264">
        <v>263</v>
      </c>
      <c r="D264" t="s">
        <v>1067</v>
      </c>
      <c r="E264" t="s">
        <v>7005</v>
      </c>
      <c r="F264" t="s">
        <v>7315</v>
      </c>
      <c r="G264">
        <v>2</v>
      </c>
      <c r="H264" t="b">
        <v>1</v>
      </c>
      <c r="I264">
        <v>5</v>
      </c>
      <c r="J264">
        <v>5</v>
      </c>
      <c r="K264">
        <v>0</v>
      </c>
      <c r="L264">
        <v>0</v>
      </c>
      <c r="M264">
        <v>0</v>
      </c>
      <c r="N264">
        <v>0</v>
      </c>
    </row>
    <row r="265" spans="1:14" x14ac:dyDescent="0.2">
      <c r="A265" s="54">
        <v>263</v>
      </c>
      <c r="B265">
        <v>17389</v>
      </c>
      <c r="C265">
        <v>264</v>
      </c>
      <c r="D265" t="s">
        <v>1068</v>
      </c>
      <c r="E265" t="s">
        <v>6680</v>
      </c>
      <c r="F265" t="s">
        <v>7316</v>
      </c>
      <c r="G265">
        <v>1</v>
      </c>
      <c r="H265" t="b">
        <v>1</v>
      </c>
      <c r="I265">
        <v>4</v>
      </c>
      <c r="J265">
        <v>3</v>
      </c>
      <c r="K265">
        <v>1</v>
      </c>
      <c r="L265">
        <v>0</v>
      </c>
      <c r="M265">
        <v>0</v>
      </c>
      <c r="N265">
        <v>0</v>
      </c>
    </row>
    <row r="266" spans="1:14" x14ac:dyDescent="0.2">
      <c r="A266" s="54">
        <v>264</v>
      </c>
      <c r="B266">
        <v>17389</v>
      </c>
      <c r="C266">
        <v>265</v>
      </c>
      <c r="D266" t="s">
        <v>1071</v>
      </c>
      <c r="E266" t="s">
        <v>6682</v>
      </c>
      <c r="F266" t="s">
        <v>7317</v>
      </c>
      <c r="G266">
        <v>1</v>
      </c>
      <c r="H266" t="b">
        <v>1</v>
      </c>
      <c r="I266">
        <v>6</v>
      </c>
      <c r="J266">
        <v>4</v>
      </c>
      <c r="K266">
        <v>1</v>
      </c>
      <c r="L266">
        <v>0</v>
      </c>
      <c r="M266">
        <v>1</v>
      </c>
      <c r="N266">
        <v>0</v>
      </c>
    </row>
    <row r="267" spans="1:14" x14ac:dyDescent="0.2">
      <c r="A267" s="54">
        <v>265</v>
      </c>
      <c r="B267">
        <v>17389</v>
      </c>
      <c r="C267">
        <v>266</v>
      </c>
      <c r="D267" t="s">
        <v>1072</v>
      </c>
      <c r="E267" t="s">
        <v>7007</v>
      </c>
      <c r="F267" t="s">
        <v>7318</v>
      </c>
      <c r="G267">
        <v>2</v>
      </c>
      <c r="H267" t="b">
        <v>1</v>
      </c>
      <c r="I267">
        <v>4</v>
      </c>
      <c r="J267">
        <v>0</v>
      </c>
      <c r="K267">
        <v>3</v>
      </c>
      <c r="L267">
        <v>1</v>
      </c>
      <c r="M267">
        <v>0</v>
      </c>
      <c r="N267">
        <v>1</v>
      </c>
    </row>
    <row r="268" spans="1:14" x14ac:dyDescent="0.2">
      <c r="A268" s="54">
        <v>266</v>
      </c>
      <c r="B268">
        <v>17390</v>
      </c>
      <c r="C268">
        <v>267</v>
      </c>
      <c r="D268" t="s">
        <v>1075</v>
      </c>
      <c r="E268" t="s">
        <v>7009</v>
      </c>
      <c r="F268" t="s">
        <v>7319</v>
      </c>
      <c r="G268">
        <v>5</v>
      </c>
      <c r="H268" t="b">
        <v>0</v>
      </c>
      <c r="I268">
        <v>1</v>
      </c>
      <c r="J268">
        <v>0</v>
      </c>
      <c r="K268">
        <v>0</v>
      </c>
      <c r="L268">
        <v>1</v>
      </c>
      <c r="M268">
        <v>0</v>
      </c>
    </row>
    <row r="269" spans="1:14" x14ac:dyDescent="0.2">
      <c r="A269" s="54">
        <v>267</v>
      </c>
      <c r="B269">
        <v>17390</v>
      </c>
      <c r="C269">
        <v>268</v>
      </c>
      <c r="D269" t="s">
        <v>1077</v>
      </c>
      <c r="E269" t="s">
        <v>7011</v>
      </c>
      <c r="F269" t="s">
        <v>7320</v>
      </c>
      <c r="G269">
        <v>5</v>
      </c>
      <c r="H269" t="b">
        <v>0</v>
      </c>
      <c r="I269">
        <v>6</v>
      </c>
      <c r="J269">
        <v>2</v>
      </c>
      <c r="K269">
        <v>1</v>
      </c>
      <c r="L269">
        <v>3</v>
      </c>
    </row>
    <row r="270" spans="1:14" x14ac:dyDescent="0.2">
      <c r="A270" s="54">
        <v>268</v>
      </c>
      <c r="B270">
        <v>17390</v>
      </c>
      <c r="C270">
        <v>269</v>
      </c>
      <c r="D270" t="s">
        <v>1078</v>
      </c>
      <c r="E270" t="s">
        <v>7013</v>
      </c>
      <c r="F270" t="s">
        <v>7321</v>
      </c>
      <c r="G270">
        <v>5</v>
      </c>
      <c r="H270" t="b">
        <v>0</v>
      </c>
      <c r="I270">
        <v>4</v>
      </c>
      <c r="J270">
        <v>1</v>
      </c>
      <c r="K270">
        <v>2</v>
      </c>
      <c r="L270">
        <v>0</v>
      </c>
      <c r="M270">
        <v>1</v>
      </c>
    </row>
    <row r="271" spans="1:14" x14ac:dyDescent="0.2">
      <c r="A271" s="54">
        <v>269</v>
      </c>
      <c r="B271">
        <v>17390</v>
      </c>
      <c r="C271">
        <v>270</v>
      </c>
      <c r="D271" t="s">
        <v>1079</v>
      </c>
      <c r="E271" t="s">
        <v>6692</v>
      </c>
      <c r="F271" t="s">
        <v>7322</v>
      </c>
      <c r="G271">
        <v>1</v>
      </c>
      <c r="H271" t="b">
        <v>1</v>
      </c>
      <c r="I271">
        <v>1</v>
      </c>
      <c r="J271">
        <v>0</v>
      </c>
      <c r="K271">
        <v>0</v>
      </c>
      <c r="L271">
        <v>0</v>
      </c>
      <c r="M271">
        <v>1</v>
      </c>
      <c r="N271">
        <v>0</v>
      </c>
    </row>
    <row r="272" spans="1:14" x14ac:dyDescent="0.2">
      <c r="A272" s="54">
        <v>270</v>
      </c>
      <c r="B272">
        <v>17390</v>
      </c>
      <c r="C272">
        <v>271</v>
      </c>
      <c r="D272" t="s">
        <v>1080</v>
      </c>
      <c r="E272" t="s">
        <v>6694</v>
      </c>
      <c r="F272" t="s">
        <v>7323</v>
      </c>
      <c r="G272">
        <v>1</v>
      </c>
      <c r="H272" t="b">
        <v>1</v>
      </c>
      <c r="I272">
        <v>1</v>
      </c>
      <c r="J272">
        <v>1</v>
      </c>
      <c r="K272">
        <v>0</v>
      </c>
      <c r="L272">
        <v>0</v>
      </c>
      <c r="M272">
        <v>0</v>
      </c>
      <c r="N272">
        <v>0</v>
      </c>
    </row>
    <row r="273" spans="1:14" x14ac:dyDescent="0.2">
      <c r="A273" s="54">
        <v>271</v>
      </c>
      <c r="B273">
        <v>17390</v>
      </c>
      <c r="C273">
        <v>272</v>
      </c>
      <c r="D273" t="s">
        <v>1081</v>
      </c>
      <c r="E273" t="s">
        <v>1081</v>
      </c>
      <c r="F273" t="s">
        <v>7324</v>
      </c>
      <c r="G273">
        <v>5</v>
      </c>
      <c r="H273" t="b">
        <v>0</v>
      </c>
      <c r="I273">
        <v>1</v>
      </c>
      <c r="J273">
        <v>0</v>
      </c>
      <c r="K273">
        <v>0</v>
      </c>
      <c r="L273">
        <v>0</v>
      </c>
      <c r="M273">
        <v>1</v>
      </c>
    </row>
    <row r="274" spans="1:14" x14ac:dyDescent="0.2">
      <c r="A274" s="54">
        <v>272</v>
      </c>
      <c r="B274">
        <v>17391</v>
      </c>
      <c r="C274">
        <v>273</v>
      </c>
      <c r="D274" t="s">
        <v>1084</v>
      </c>
      <c r="E274" t="s">
        <v>4829</v>
      </c>
      <c r="F274" t="s">
        <v>7325</v>
      </c>
      <c r="G274">
        <v>1</v>
      </c>
      <c r="H274" t="b">
        <v>1</v>
      </c>
      <c r="I274">
        <v>2</v>
      </c>
      <c r="J274">
        <v>2</v>
      </c>
      <c r="K274">
        <v>0</v>
      </c>
      <c r="L274">
        <v>0</v>
      </c>
      <c r="M274">
        <v>0</v>
      </c>
      <c r="N274">
        <v>0</v>
      </c>
    </row>
    <row r="275" spans="1:14" x14ac:dyDescent="0.2">
      <c r="A275" s="54">
        <v>273</v>
      </c>
      <c r="B275">
        <v>17391</v>
      </c>
      <c r="C275">
        <v>274</v>
      </c>
      <c r="D275" t="s">
        <v>1086</v>
      </c>
      <c r="E275" t="s">
        <v>6698</v>
      </c>
      <c r="F275" t="s">
        <v>7326</v>
      </c>
      <c r="G275">
        <v>1</v>
      </c>
      <c r="H275" t="b">
        <v>1</v>
      </c>
      <c r="I275">
        <v>3</v>
      </c>
      <c r="J275">
        <v>3</v>
      </c>
      <c r="K275">
        <v>0</v>
      </c>
      <c r="L275">
        <v>0</v>
      </c>
      <c r="M275">
        <v>0</v>
      </c>
      <c r="N275">
        <v>0</v>
      </c>
    </row>
    <row r="276" spans="1:14" x14ac:dyDescent="0.2">
      <c r="A276" s="54">
        <v>274</v>
      </c>
      <c r="B276">
        <v>17391</v>
      </c>
      <c r="C276">
        <v>275</v>
      </c>
      <c r="D276" t="s">
        <v>1087</v>
      </c>
      <c r="E276" t="s">
        <v>6700</v>
      </c>
      <c r="F276" t="s">
        <v>7327</v>
      </c>
      <c r="G276">
        <v>1</v>
      </c>
      <c r="H276" t="b">
        <v>1</v>
      </c>
      <c r="I276">
        <v>1</v>
      </c>
      <c r="J276">
        <v>1</v>
      </c>
      <c r="K276">
        <v>0</v>
      </c>
      <c r="L276">
        <v>0</v>
      </c>
      <c r="M276">
        <v>0</v>
      </c>
      <c r="N276">
        <v>0</v>
      </c>
    </row>
    <row r="277" spans="1:14" x14ac:dyDescent="0.2">
      <c r="A277" s="54">
        <v>275</v>
      </c>
      <c r="B277">
        <v>17392</v>
      </c>
      <c r="C277">
        <v>276</v>
      </c>
      <c r="D277" t="s">
        <v>1090</v>
      </c>
      <c r="E277" t="s">
        <v>6702</v>
      </c>
      <c r="F277" t="s">
        <v>7328</v>
      </c>
      <c r="G277">
        <v>1</v>
      </c>
      <c r="H277" t="b">
        <v>1</v>
      </c>
      <c r="I277">
        <v>4</v>
      </c>
      <c r="J277">
        <v>1</v>
      </c>
      <c r="K277">
        <v>1</v>
      </c>
      <c r="L277">
        <v>0</v>
      </c>
      <c r="M277">
        <v>2</v>
      </c>
      <c r="N277">
        <v>1</v>
      </c>
    </row>
    <row r="278" spans="1:14" x14ac:dyDescent="0.2">
      <c r="A278" s="54">
        <v>276</v>
      </c>
      <c r="B278">
        <v>17392</v>
      </c>
      <c r="C278">
        <v>277</v>
      </c>
      <c r="D278" t="s">
        <v>1092</v>
      </c>
      <c r="E278" t="s">
        <v>6704</v>
      </c>
      <c r="F278" t="s">
        <v>7329</v>
      </c>
      <c r="G278">
        <v>1</v>
      </c>
      <c r="H278" t="b">
        <v>1</v>
      </c>
      <c r="I278">
        <v>2</v>
      </c>
      <c r="J278">
        <v>2</v>
      </c>
      <c r="K278">
        <v>0</v>
      </c>
      <c r="L278">
        <v>0</v>
      </c>
      <c r="M278">
        <v>0</v>
      </c>
      <c r="N278">
        <v>1</v>
      </c>
    </row>
    <row r="279" spans="1:14" x14ac:dyDescent="0.2">
      <c r="A279" s="54">
        <v>277</v>
      </c>
      <c r="B279">
        <v>17392</v>
      </c>
      <c r="C279">
        <v>278</v>
      </c>
      <c r="D279" t="s">
        <v>1093</v>
      </c>
      <c r="E279" t="s">
        <v>6706</v>
      </c>
      <c r="F279" t="s">
        <v>7330</v>
      </c>
      <c r="G279">
        <v>1</v>
      </c>
      <c r="H279" t="b">
        <v>1</v>
      </c>
      <c r="I279">
        <v>2</v>
      </c>
      <c r="J279">
        <v>2</v>
      </c>
      <c r="K279">
        <v>0</v>
      </c>
      <c r="L279">
        <v>0</v>
      </c>
      <c r="M279">
        <v>0</v>
      </c>
      <c r="N279">
        <v>0</v>
      </c>
    </row>
    <row r="280" spans="1:14" x14ac:dyDescent="0.2">
      <c r="A280" s="54">
        <v>278</v>
      </c>
      <c r="B280">
        <v>17392</v>
      </c>
      <c r="C280">
        <v>279</v>
      </c>
      <c r="D280" t="s">
        <v>1094</v>
      </c>
      <c r="E280" t="s">
        <v>6708</v>
      </c>
      <c r="F280" t="s">
        <v>7331</v>
      </c>
      <c r="G280">
        <v>1</v>
      </c>
      <c r="H280" t="b">
        <v>1</v>
      </c>
      <c r="I280">
        <v>2</v>
      </c>
      <c r="J280">
        <v>2</v>
      </c>
      <c r="K280">
        <v>0</v>
      </c>
      <c r="L280">
        <v>0</v>
      </c>
      <c r="M280">
        <v>0</v>
      </c>
      <c r="N280">
        <v>0</v>
      </c>
    </row>
    <row r="281" spans="1:14" x14ac:dyDescent="0.2">
      <c r="A281" s="54">
        <v>279</v>
      </c>
      <c r="B281">
        <v>17392</v>
      </c>
      <c r="C281">
        <v>280</v>
      </c>
      <c r="D281" t="s">
        <v>1097</v>
      </c>
      <c r="E281" t="s">
        <v>6710</v>
      </c>
      <c r="F281" t="s">
        <v>7332</v>
      </c>
      <c r="G281">
        <v>1</v>
      </c>
      <c r="H281" t="b">
        <v>1</v>
      </c>
      <c r="I281">
        <v>3</v>
      </c>
      <c r="J281">
        <v>2</v>
      </c>
      <c r="K281">
        <v>1</v>
      </c>
      <c r="L281">
        <v>0</v>
      </c>
      <c r="M281">
        <v>0</v>
      </c>
      <c r="N281">
        <v>0</v>
      </c>
    </row>
    <row r="282" spans="1:14" x14ac:dyDescent="0.2">
      <c r="A282" s="54">
        <v>280</v>
      </c>
      <c r="B282">
        <v>17393</v>
      </c>
      <c r="C282">
        <v>281</v>
      </c>
      <c r="D282" t="s">
        <v>1098</v>
      </c>
      <c r="E282" t="s">
        <v>6712</v>
      </c>
      <c r="F282" t="s">
        <v>7333</v>
      </c>
      <c r="G282">
        <v>1</v>
      </c>
      <c r="H282" t="b">
        <v>1</v>
      </c>
      <c r="I282">
        <v>1</v>
      </c>
      <c r="J282">
        <v>1</v>
      </c>
      <c r="K282">
        <v>0</v>
      </c>
      <c r="L282">
        <v>0</v>
      </c>
      <c r="M282">
        <v>0</v>
      </c>
      <c r="N282">
        <v>0</v>
      </c>
    </row>
    <row r="283" spans="1:14" x14ac:dyDescent="0.2">
      <c r="A283" s="54">
        <v>281</v>
      </c>
      <c r="B283">
        <v>17393</v>
      </c>
      <c r="C283">
        <v>282</v>
      </c>
      <c r="D283" t="s">
        <v>1100</v>
      </c>
      <c r="E283" t="s">
        <v>6714</v>
      </c>
      <c r="F283" t="s">
        <v>7334</v>
      </c>
      <c r="G283">
        <v>1</v>
      </c>
      <c r="H283" t="b">
        <v>1</v>
      </c>
      <c r="I283">
        <v>3</v>
      </c>
      <c r="J283">
        <v>3</v>
      </c>
      <c r="K283">
        <v>0</v>
      </c>
      <c r="L283">
        <v>0</v>
      </c>
      <c r="M283">
        <v>0</v>
      </c>
      <c r="N283">
        <v>0</v>
      </c>
    </row>
    <row r="284" spans="1:14" x14ac:dyDescent="0.2">
      <c r="A284" s="54">
        <v>282</v>
      </c>
      <c r="B284">
        <v>17393</v>
      </c>
      <c r="C284">
        <v>283</v>
      </c>
      <c r="D284" t="s">
        <v>1101</v>
      </c>
      <c r="E284" t="s">
        <v>5004</v>
      </c>
      <c r="F284" t="s">
        <v>7335</v>
      </c>
      <c r="G284">
        <v>1</v>
      </c>
      <c r="H284" t="b">
        <v>1</v>
      </c>
      <c r="I284">
        <v>2</v>
      </c>
      <c r="J284">
        <v>2</v>
      </c>
      <c r="K284">
        <v>0</v>
      </c>
      <c r="L284">
        <v>0</v>
      </c>
      <c r="M284">
        <v>0</v>
      </c>
      <c r="N284">
        <v>1</v>
      </c>
    </row>
    <row r="285" spans="1:14" x14ac:dyDescent="0.2">
      <c r="A285" s="54">
        <v>283</v>
      </c>
      <c r="B285">
        <v>17393</v>
      </c>
      <c r="C285">
        <v>284</v>
      </c>
      <c r="D285" t="s">
        <v>1102</v>
      </c>
      <c r="E285" t="s">
        <v>6717</v>
      </c>
      <c r="F285" t="s">
        <v>7336</v>
      </c>
      <c r="G285">
        <v>1</v>
      </c>
      <c r="H285" t="b">
        <v>1</v>
      </c>
      <c r="I285">
        <v>2</v>
      </c>
      <c r="J285">
        <v>1</v>
      </c>
      <c r="K285">
        <v>1</v>
      </c>
      <c r="L285">
        <v>0</v>
      </c>
      <c r="M285">
        <v>0</v>
      </c>
      <c r="N285">
        <v>0</v>
      </c>
    </row>
    <row r="286" spans="1:14" x14ac:dyDescent="0.2">
      <c r="A286" s="54">
        <v>284</v>
      </c>
      <c r="B286">
        <v>17393</v>
      </c>
      <c r="C286">
        <v>285</v>
      </c>
      <c r="D286" t="s">
        <v>1103</v>
      </c>
      <c r="E286" t="s">
        <v>5057</v>
      </c>
      <c r="F286" t="s">
        <v>7337</v>
      </c>
      <c r="G286">
        <v>1</v>
      </c>
      <c r="H286" t="b">
        <v>1</v>
      </c>
      <c r="I286">
        <v>2</v>
      </c>
      <c r="J286">
        <v>1</v>
      </c>
      <c r="K286">
        <v>1</v>
      </c>
      <c r="L286">
        <v>0</v>
      </c>
      <c r="M286">
        <v>0</v>
      </c>
      <c r="N286">
        <v>0</v>
      </c>
    </row>
    <row r="287" spans="1:14" x14ac:dyDescent="0.2">
      <c r="A287" s="54">
        <v>285</v>
      </c>
      <c r="B287">
        <v>17393</v>
      </c>
      <c r="C287">
        <v>286</v>
      </c>
      <c r="D287" t="s">
        <v>1104</v>
      </c>
      <c r="E287" t="s">
        <v>6720</v>
      </c>
      <c r="F287" t="s">
        <v>7338</v>
      </c>
      <c r="G287">
        <v>1</v>
      </c>
      <c r="H287" t="b">
        <v>1</v>
      </c>
      <c r="I287">
        <v>1</v>
      </c>
      <c r="J287">
        <v>1</v>
      </c>
      <c r="K287">
        <v>0</v>
      </c>
      <c r="L287">
        <v>0</v>
      </c>
      <c r="M287">
        <v>0</v>
      </c>
      <c r="N287">
        <v>0</v>
      </c>
    </row>
    <row r="288" spans="1:14" x14ac:dyDescent="0.2">
      <c r="A288" s="54">
        <v>286</v>
      </c>
      <c r="B288">
        <v>17397</v>
      </c>
      <c r="C288">
        <v>287</v>
      </c>
      <c r="D288" t="s">
        <v>1107</v>
      </c>
      <c r="E288" t="s">
        <v>6722</v>
      </c>
      <c r="F288" t="s">
        <v>7339</v>
      </c>
      <c r="G288">
        <v>1</v>
      </c>
      <c r="H288" t="b">
        <v>1</v>
      </c>
      <c r="I288">
        <v>1</v>
      </c>
      <c r="J288">
        <v>1</v>
      </c>
      <c r="K288">
        <v>0</v>
      </c>
      <c r="L288">
        <v>0</v>
      </c>
      <c r="M288">
        <v>0</v>
      </c>
      <c r="N288">
        <v>0</v>
      </c>
    </row>
    <row r="289" spans="1:14" x14ac:dyDescent="0.2">
      <c r="A289" s="54">
        <v>287</v>
      </c>
      <c r="B289">
        <v>17397</v>
      </c>
      <c r="C289">
        <v>288</v>
      </c>
      <c r="D289" t="s">
        <v>1109</v>
      </c>
      <c r="E289" t="s">
        <v>6724</v>
      </c>
      <c r="F289" t="s">
        <v>7340</v>
      </c>
      <c r="G289">
        <v>1</v>
      </c>
      <c r="H289" t="b">
        <v>1</v>
      </c>
      <c r="I289">
        <v>4</v>
      </c>
      <c r="J289">
        <v>4</v>
      </c>
      <c r="K289">
        <v>0</v>
      </c>
      <c r="L289">
        <v>0</v>
      </c>
      <c r="M289">
        <v>0</v>
      </c>
      <c r="N289">
        <v>0</v>
      </c>
    </row>
    <row r="290" spans="1:14" x14ac:dyDescent="0.2">
      <c r="A290" s="54">
        <v>288</v>
      </c>
      <c r="B290">
        <v>17397</v>
      </c>
      <c r="C290">
        <v>289</v>
      </c>
      <c r="D290" t="s">
        <v>1110</v>
      </c>
      <c r="E290" t="s">
        <v>6726</v>
      </c>
      <c r="F290" t="s">
        <v>7341</v>
      </c>
      <c r="G290">
        <v>1</v>
      </c>
      <c r="H290" t="b">
        <v>1</v>
      </c>
      <c r="I290">
        <v>1</v>
      </c>
      <c r="J290">
        <v>1</v>
      </c>
      <c r="K290">
        <v>0</v>
      </c>
      <c r="L290">
        <v>0</v>
      </c>
      <c r="M290">
        <v>0</v>
      </c>
      <c r="N290">
        <v>1</v>
      </c>
    </row>
    <row r="291" spans="1:14" x14ac:dyDescent="0.2">
      <c r="A291" s="54">
        <v>289</v>
      </c>
      <c r="B291">
        <v>17397</v>
      </c>
      <c r="C291">
        <v>290</v>
      </c>
      <c r="D291" t="s">
        <v>1111</v>
      </c>
      <c r="E291" t="s">
        <v>6728</v>
      </c>
      <c r="F291" t="s">
        <v>7342</v>
      </c>
      <c r="G291">
        <v>1</v>
      </c>
      <c r="H291" t="b">
        <v>1</v>
      </c>
      <c r="I291">
        <v>2</v>
      </c>
      <c r="J291">
        <v>1</v>
      </c>
      <c r="K291">
        <v>1</v>
      </c>
      <c r="L291">
        <v>0</v>
      </c>
      <c r="M291">
        <v>0</v>
      </c>
      <c r="N291">
        <v>0</v>
      </c>
    </row>
    <row r="292" spans="1:14" x14ac:dyDescent="0.2">
      <c r="A292" s="54">
        <v>290</v>
      </c>
      <c r="B292">
        <v>17398</v>
      </c>
      <c r="C292">
        <v>291</v>
      </c>
      <c r="D292" t="s">
        <v>1114</v>
      </c>
      <c r="E292" t="s">
        <v>7016</v>
      </c>
      <c r="F292" t="s">
        <v>7343</v>
      </c>
      <c r="G292">
        <v>3</v>
      </c>
      <c r="H292" t="b">
        <v>1</v>
      </c>
      <c r="I292">
        <v>3</v>
      </c>
      <c r="J292">
        <v>3</v>
      </c>
      <c r="K292">
        <v>0</v>
      </c>
      <c r="L292">
        <v>0</v>
      </c>
      <c r="M292">
        <v>0</v>
      </c>
      <c r="N292">
        <v>0</v>
      </c>
    </row>
    <row r="293" spans="1:14" x14ac:dyDescent="0.2">
      <c r="A293" s="54">
        <v>291</v>
      </c>
      <c r="B293">
        <v>17398</v>
      </c>
      <c r="C293">
        <v>292</v>
      </c>
      <c r="D293" t="s">
        <v>1116</v>
      </c>
      <c r="E293" t="s">
        <v>6732</v>
      </c>
      <c r="F293" t="s">
        <v>7344</v>
      </c>
      <c r="G293">
        <v>1</v>
      </c>
      <c r="H293" t="b">
        <v>1</v>
      </c>
      <c r="I293">
        <v>1</v>
      </c>
      <c r="J293">
        <v>1</v>
      </c>
      <c r="K293">
        <v>0</v>
      </c>
      <c r="L293">
        <v>0</v>
      </c>
      <c r="M293">
        <v>0</v>
      </c>
      <c r="N293">
        <v>0</v>
      </c>
    </row>
    <row r="294" spans="1:14" x14ac:dyDescent="0.2">
      <c r="A294" s="54">
        <v>292</v>
      </c>
      <c r="B294">
        <v>17398</v>
      </c>
      <c r="C294">
        <v>293</v>
      </c>
      <c r="D294" t="s">
        <v>1117</v>
      </c>
      <c r="E294" t="s">
        <v>6734</v>
      </c>
      <c r="F294" t="s">
        <v>7345</v>
      </c>
      <c r="G294">
        <v>1</v>
      </c>
      <c r="H294" t="b">
        <v>1</v>
      </c>
      <c r="I294">
        <v>2</v>
      </c>
      <c r="J294">
        <v>1</v>
      </c>
      <c r="K294">
        <v>0</v>
      </c>
      <c r="L294">
        <v>1</v>
      </c>
      <c r="M294">
        <v>0</v>
      </c>
      <c r="N294">
        <v>0</v>
      </c>
    </row>
    <row r="295" spans="1:14" x14ac:dyDescent="0.2">
      <c r="A295" s="54">
        <v>293</v>
      </c>
      <c r="B295">
        <v>17398</v>
      </c>
      <c r="C295">
        <v>294</v>
      </c>
      <c r="D295" t="s">
        <v>1118</v>
      </c>
      <c r="E295" t="s">
        <v>6736</v>
      </c>
      <c r="F295" t="s">
        <v>7346</v>
      </c>
      <c r="G295">
        <v>1</v>
      </c>
      <c r="H295" t="b">
        <v>1</v>
      </c>
      <c r="I295">
        <v>1</v>
      </c>
      <c r="J295">
        <v>1</v>
      </c>
      <c r="K295">
        <v>0</v>
      </c>
      <c r="L295">
        <v>0</v>
      </c>
      <c r="M295">
        <v>0</v>
      </c>
      <c r="N295">
        <v>0</v>
      </c>
    </row>
    <row r="296" spans="1:14" x14ac:dyDescent="0.2">
      <c r="A296" s="54">
        <v>294</v>
      </c>
      <c r="B296">
        <v>17398</v>
      </c>
      <c r="C296">
        <v>295</v>
      </c>
      <c r="D296" t="s">
        <v>1119</v>
      </c>
      <c r="E296" t="s">
        <v>7018</v>
      </c>
      <c r="F296" t="s">
        <v>7347</v>
      </c>
      <c r="G296">
        <v>3</v>
      </c>
      <c r="H296" t="b">
        <v>1</v>
      </c>
      <c r="I296">
        <v>3</v>
      </c>
      <c r="J296">
        <v>2</v>
      </c>
      <c r="K296">
        <v>1</v>
      </c>
      <c r="L296">
        <v>0</v>
      </c>
      <c r="M296">
        <v>0</v>
      </c>
      <c r="N296">
        <v>0</v>
      </c>
    </row>
    <row r="297" spans="1:14" x14ac:dyDescent="0.2">
      <c r="A297" s="54">
        <v>295</v>
      </c>
      <c r="B297">
        <v>17398</v>
      </c>
      <c r="C297">
        <v>296</v>
      </c>
      <c r="D297" t="s">
        <v>1120</v>
      </c>
      <c r="E297" t="s">
        <v>6740</v>
      </c>
      <c r="F297" t="s">
        <v>7348</v>
      </c>
      <c r="G297">
        <v>1</v>
      </c>
      <c r="H297" t="b">
        <v>1</v>
      </c>
      <c r="I297">
        <v>1</v>
      </c>
      <c r="J297">
        <v>1</v>
      </c>
      <c r="K297">
        <v>0</v>
      </c>
      <c r="L297">
        <v>0</v>
      </c>
      <c r="M297">
        <v>0</v>
      </c>
      <c r="N297">
        <v>0</v>
      </c>
    </row>
    <row r="298" spans="1:14" x14ac:dyDescent="0.2">
      <c r="A298" s="54">
        <v>296</v>
      </c>
      <c r="B298">
        <v>17398</v>
      </c>
      <c r="C298">
        <v>297</v>
      </c>
      <c r="D298" t="s">
        <v>1123</v>
      </c>
      <c r="E298" t="s">
        <v>6742</v>
      </c>
      <c r="F298" t="s">
        <v>7349</v>
      </c>
      <c r="G298">
        <v>1</v>
      </c>
      <c r="H298" t="b">
        <v>1</v>
      </c>
      <c r="I298">
        <v>3</v>
      </c>
      <c r="J298">
        <v>3</v>
      </c>
      <c r="K298">
        <v>0</v>
      </c>
      <c r="L298">
        <v>0</v>
      </c>
      <c r="M298">
        <v>0</v>
      </c>
      <c r="N298">
        <v>0</v>
      </c>
    </row>
    <row r="299" spans="1:14" x14ac:dyDescent="0.2">
      <c r="A299" s="54">
        <v>297</v>
      </c>
      <c r="B299">
        <v>17398</v>
      </c>
      <c r="C299">
        <v>298</v>
      </c>
      <c r="D299" t="s">
        <v>1124</v>
      </c>
      <c r="E299" t="s">
        <v>6744</v>
      </c>
      <c r="F299" t="s">
        <v>7350</v>
      </c>
      <c r="G299">
        <v>1</v>
      </c>
      <c r="H299" t="b">
        <v>1</v>
      </c>
      <c r="I299">
        <v>4</v>
      </c>
      <c r="J299">
        <v>2</v>
      </c>
      <c r="K299">
        <v>1</v>
      </c>
      <c r="L299">
        <v>0</v>
      </c>
      <c r="M299">
        <v>1</v>
      </c>
      <c r="N299">
        <v>0</v>
      </c>
    </row>
    <row r="300" spans="1:14" x14ac:dyDescent="0.2">
      <c r="A300" s="54">
        <v>298</v>
      </c>
      <c r="B300">
        <v>17398</v>
      </c>
      <c r="C300">
        <v>299</v>
      </c>
      <c r="D300" t="s">
        <v>1125</v>
      </c>
      <c r="E300" t="s">
        <v>7020</v>
      </c>
      <c r="F300" t="s">
        <v>7351</v>
      </c>
      <c r="G300">
        <v>5</v>
      </c>
      <c r="H300" t="b">
        <v>0</v>
      </c>
      <c r="I300">
        <v>3</v>
      </c>
      <c r="J300">
        <v>2</v>
      </c>
      <c r="K300">
        <v>1</v>
      </c>
      <c r="L300">
        <v>0</v>
      </c>
      <c r="M300">
        <v>0</v>
      </c>
    </row>
    <row r="301" spans="1:14" x14ac:dyDescent="0.2">
      <c r="A301" s="54">
        <v>299</v>
      </c>
      <c r="B301">
        <v>17398</v>
      </c>
      <c r="C301">
        <v>300</v>
      </c>
      <c r="D301" t="s">
        <v>1126</v>
      </c>
      <c r="E301" t="s">
        <v>6748</v>
      </c>
      <c r="F301" t="s">
        <v>7352</v>
      </c>
      <c r="G301">
        <v>1</v>
      </c>
      <c r="H301" t="b">
        <v>1</v>
      </c>
      <c r="I301">
        <v>1</v>
      </c>
      <c r="J301">
        <v>1</v>
      </c>
      <c r="K301">
        <v>0</v>
      </c>
      <c r="L301">
        <v>0</v>
      </c>
      <c r="M301">
        <v>0</v>
      </c>
      <c r="N301">
        <v>0</v>
      </c>
    </row>
    <row r="302" spans="1:14" x14ac:dyDescent="0.2">
      <c r="A302" s="54">
        <v>300</v>
      </c>
      <c r="B302">
        <v>17399</v>
      </c>
      <c r="C302">
        <v>301</v>
      </c>
      <c r="D302" t="s">
        <v>1127</v>
      </c>
      <c r="E302" t="s">
        <v>6750</v>
      </c>
      <c r="F302" t="s">
        <v>7353</v>
      </c>
      <c r="G302">
        <v>1</v>
      </c>
      <c r="H302" t="b">
        <v>1</v>
      </c>
      <c r="I302">
        <v>1</v>
      </c>
      <c r="J302">
        <v>1</v>
      </c>
      <c r="K302">
        <v>0</v>
      </c>
      <c r="L302">
        <v>0</v>
      </c>
      <c r="M302">
        <v>0</v>
      </c>
      <c r="N302">
        <v>0</v>
      </c>
    </row>
    <row r="303" spans="1:14" x14ac:dyDescent="0.2">
      <c r="A303" s="54">
        <v>301</v>
      </c>
      <c r="B303">
        <v>17399</v>
      </c>
      <c r="C303">
        <v>302</v>
      </c>
      <c r="D303" t="s">
        <v>1129</v>
      </c>
      <c r="E303" t="s">
        <v>7022</v>
      </c>
      <c r="F303" t="s">
        <v>7354</v>
      </c>
      <c r="G303">
        <v>5</v>
      </c>
      <c r="H303" t="b">
        <v>0</v>
      </c>
      <c r="I303">
        <v>3</v>
      </c>
      <c r="J303">
        <v>3</v>
      </c>
      <c r="K303">
        <v>0</v>
      </c>
      <c r="L303">
        <v>0</v>
      </c>
      <c r="M303">
        <v>0</v>
      </c>
    </row>
    <row r="304" spans="1:14" x14ac:dyDescent="0.2">
      <c r="A304" s="54">
        <v>302</v>
      </c>
      <c r="B304">
        <v>17399</v>
      </c>
      <c r="C304">
        <v>303</v>
      </c>
      <c r="D304" t="s">
        <v>1130</v>
      </c>
      <c r="E304" t="s">
        <v>6754</v>
      </c>
      <c r="F304" t="s">
        <v>7355</v>
      </c>
      <c r="G304">
        <v>1</v>
      </c>
      <c r="H304" t="b">
        <v>1</v>
      </c>
      <c r="I304">
        <v>4</v>
      </c>
      <c r="J304">
        <v>3</v>
      </c>
      <c r="K304">
        <v>1</v>
      </c>
      <c r="L304">
        <v>0</v>
      </c>
      <c r="M304">
        <v>0</v>
      </c>
      <c r="N304">
        <v>0</v>
      </c>
    </row>
    <row r="305" spans="1:14" x14ac:dyDescent="0.2">
      <c r="A305" s="54">
        <v>303</v>
      </c>
      <c r="B305">
        <v>17399</v>
      </c>
      <c r="C305">
        <v>304</v>
      </c>
      <c r="D305" t="s">
        <v>1131</v>
      </c>
      <c r="E305" t="s">
        <v>6756</v>
      </c>
      <c r="F305" t="s">
        <v>7356</v>
      </c>
      <c r="G305">
        <v>1</v>
      </c>
      <c r="H305" t="b">
        <v>1</v>
      </c>
      <c r="I305">
        <v>4</v>
      </c>
      <c r="J305">
        <v>2</v>
      </c>
      <c r="K305">
        <v>1</v>
      </c>
      <c r="L305">
        <v>0</v>
      </c>
      <c r="M305">
        <v>1</v>
      </c>
      <c r="N305">
        <v>0</v>
      </c>
    </row>
    <row r="306" spans="1:14" x14ac:dyDescent="0.2">
      <c r="A306" s="54">
        <v>304</v>
      </c>
      <c r="B306">
        <v>17399</v>
      </c>
      <c r="C306">
        <v>305</v>
      </c>
      <c r="D306" t="s">
        <v>1134</v>
      </c>
      <c r="E306" t="s">
        <v>6758</v>
      </c>
      <c r="F306" t="s">
        <v>7357</v>
      </c>
      <c r="G306">
        <v>1</v>
      </c>
      <c r="H306" t="b">
        <v>1</v>
      </c>
      <c r="I306">
        <v>3</v>
      </c>
      <c r="J306">
        <v>3</v>
      </c>
      <c r="K306">
        <v>0</v>
      </c>
      <c r="L306">
        <v>0</v>
      </c>
      <c r="M306">
        <v>0</v>
      </c>
      <c r="N306">
        <v>0</v>
      </c>
    </row>
    <row r="307" spans="1:14" x14ac:dyDescent="0.2">
      <c r="A307" s="54">
        <v>305</v>
      </c>
      <c r="B307">
        <v>17399</v>
      </c>
      <c r="C307">
        <v>306</v>
      </c>
      <c r="D307" t="s">
        <v>1135</v>
      </c>
      <c r="E307" t="s">
        <v>6760</v>
      </c>
      <c r="F307" t="s">
        <v>7358</v>
      </c>
      <c r="G307">
        <v>1</v>
      </c>
      <c r="H307" t="b">
        <v>1</v>
      </c>
      <c r="I307">
        <v>1</v>
      </c>
      <c r="J307">
        <v>1</v>
      </c>
      <c r="K307">
        <v>0</v>
      </c>
      <c r="L307">
        <v>0</v>
      </c>
      <c r="M307">
        <v>0</v>
      </c>
      <c r="N307">
        <v>0</v>
      </c>
    </row>
    <row r="308" spans="1:14" x14ac:dyDescent="0.2">
      <c r="A308" s="54">
        <v>306</v>
      </c>
      <c r="B308">
        <v>17399</v>
      </c>
      <c r="C308">
        <v>307</v>
      </c>
      <c r="D308" t="s">
        <v>1136</v>
      </c>
      <c r="E308" t="s">
        <v>6762</v>
      </c>
      <c r="F308" t="s">
        <v>7359</v>
      </c>
      <c r="G308">
        <v>1</v>
      </c>
      <c r="H308" t="b">
        <v>1</v>
      </c>
      <c r="I308">
        <v>6</v>
      </c>
      <c r="J308">
        <v>5</v>
      </c>
      <c r="K308">
        <v>0</v>
      </c>
      <c r="L308">
        <v>0</v>
      </c>
      <c r="M308">
        <v>1</v>
      </c>
    </row>
    <row r="309" spans="1:14" x14ac:dyDescent="0.2">
      <c r="A309" s="54">
        <v>307</v>
      </c>
      <c r="B309">
        <v>17399</v>
      </c>
      <c r="C309">
        <v>308</v>
      </c>
      <c r="D309" t="s">
        <v>1137</v>
      </c>
      <c r="E309" t="s">
        <v>6764</v>
      </c>
      <c r="F309" t="s">
        <v>7360</v>
      </c>
      <c r="G309">
        <v>1</v>
      </c>
      <c r="H309" t="b">
        <v>1</v>
      </c>
      <c r="I309">
        <v>6</v>
      </c>
      <c r="J309">
        <v>5</v>
      </c>
      <c r="K309">
        <v>0</v>
      </c>
      <c r="L309">
        <v>0</v>
      </c>
      <c r="M309">
        <v>1</v>
      </c>
      <c r="N309">
        <v>0</v>
      </c>
    </row>
    <row r="310" spans="1:14" x14ac:dyDescent="0.2">
      <c r="A310" s="54">
        <v>308</v>
      </c>
      <c r="B310">
        <v>17399</v>
      </c>
      <c r="C310">
        <v>309</v>
      </c>
      <c r="D310" t="s">
        <v>1138</v>
      </c>
      <c r="E310" t="s">
        <v>6764</v>
      </c>
      <c r="F310" t="s">
        <v>7361</v>
      </c>
      <c r="G310">
        <v>2</v>
      </c>
      <c r="H310" t="b">
        <v>1</v>
      </c>
      <c r="I310">
        <v>5</v>
      </c>
      <c r="J310">
        <v>2</v>
      </c>
      <c r="K310">
        <v>2</v>
      </c>
      <c r="L310">
        <v>0</v>
      </c>
      <c r="M310">
        <v>1</v>
      </c>
      <c r="N310">
        <v>0</v>
      </c>
    </row>
    <row r="311" spans="1:14" x14ac:dyDescent="0.2">
      <c r="A311" s="54">
        <v>309</v>
      </c>
      <c r="B311">
        <v>17400</v>
      </c>
      <c r="C311">
        <v>310</v>
      </c>
      <c r="D311" t="s">
        <v>1139</v>
      </c>
      <c r="E311" t="s">
        <v>6768</v>
      </c>
      <c r="F311" t="s">
        <v>7362</v>
      </c>
      <c r="G311">
        <v>1</v>
      </c>
      <c r="H311" t="b">
        <v>1</v>
      </c>
      <c r="I311">
        <v>1</v>
      </c>
      <c r="J311">
        <v>1</v>
      </c>
      <c r="K311">
        <v>0</v>
      </c>
      <c r="L311">
        <v>0</v>
      </c>
      <c r="M311">
        <v>0</v>
      </c>
      <c r="N311">
        <v>1</v>
      </c>
    </row>
    <row r="312" spans="1:14" x14ac:dyDescent="0.2">
      <c r="A312" s="54">
        <v>310</v>
      </c>
      <c r="B312">
        <v>17400</v>
      </c>
      <c r="C312">
        <v>311</v>
      </c>
      <c r="D312" t="s">
        <v>1142</v>
      </c>
      <c r="E312" t="s">
        <v>6770</v>
      </c>
      <c r="F312" t="s">
        <v>7363</v>
      </c>
      <c r="G312">
        <v>1</v>
      </c>
      <c r="H312" t="b">
        <v>1</v>
      </c>
      <c r="I312">
        <v>1</v>
      </c>
      <c r="J312">
        <v>1</v>
      </c>
      <c r="K312">
        <v>0</v>
      </c>
      <c r="L312">
        <v>0</v>
      </c>
      <c r="M312">
        <v>0</v>
      </c>
      <c r="N312">
        <v>0</v>
      </c>
    </row>
    <row r="313" spans="1:14" x14ac:dyDescent="0.2">
      <c r="A313" s="54">
        <v>311</v>
      </c>
      <c r="B313">
        <v>17400</v>
      </c>
      <c r="C313">
        <v>312</v>
      </c>
      <c r="D313" t="s">
        <v>1144</v>
      </c>
      <c r="E313" t="s">
        <v>6772</v>
      </c>
      <c r="F313" t="s">
        <v>7364</v>
      </c>
      <c r="G313">
        <v>1</v>
      </c>
      <c r="H313" t="b">
        <v>1</v>
      </c>
      <c r="I313">
        <v>1</v>
      </c>
      <c r="J313">
        <v>1</v>
      </c>
      <c r="K313">
        <v>0</v>
      </c>
      <c r="L313">
        <v>0</v>
      </c>
      <c r="M313">
        <v>0</v>
      </c>
      <c r="N313">
        <v>0</v>
      </c>
    </row>
    <row r="314" spans="1:14" x14ac:dyDescent="0.2">
      <c r="A314" s="54">
        <v>312</v>
      </c>
      <c r="B314">
        <v>17405</v>
      </c>
      <c r="C314">
        <v>313</v>
      </c>
      <c r="D314" t="s">
        <v>1145</v>
      </c>
      <c r="E314" t="s">
        <v>7025</v>
      </c>
      <c r="F314" t="s">
        <v>7365</v>
      </c>
      <c r="G314">
        <v>2</v>
      </c>
      <c r="H314" t="b">
        <v>1</v>
      </c>
      <c r="I314">
        <v>5</v>
      </c>
      <c r="J314">
        <v>2</v>
      </c>
      <c r="K314">
        <v>1</v>
      </c>
      <c r="L314">
        <v>2</v>
      </c>
      <c r="M314">
        <v>0</v>
      </c>
      <c r="N314">
        <v>0</v>
      </c>
    </row>
    <row r="315" spans="1:14" x14ac:dyDescent="0.2">
      <c r="A315" s="54">
        <v>313</v>
      </c>
      <c r="B315">
        <v>17405</v>
      </c>
      <c r="C315">
        <v>314</v>
      </c>
      <c r="D315" t="s">
        <v>1148</v>
      </c>
      <c r="E315" t="s">
        <v>6776</v>
      </c>
      <c r="F315" t="s">
        <v>7366</v>
      </c>
      <c r="G315">
        <v>1</v>
      </c>
      <c r="H315" t="b">
        <v>1</v>
      </c>
      <c r="I315">
        <v>3</v>
      </c>
      <c r="J315">
        <v>3</v>
      </c>
      <c r="K315">
        <v>0</v>
      </c>
      <c r="L315">
        <v>0</v>
      </c>
      <c r="M315">
        <v>0</v>
      </c>
      <c r="N315">
        <v>0</v>
      </c>
    </row>
    <row r="316" spans="1:14" x14ac:dyDescent="0.2">
      <c r="A316" s="54">
        <v>314</v>
      </c>
      <c r="B316">
        <v>17405</v>
      </c>
      <c r="C316">
        <v>315</v>
      </c>
      <c r="D316" t="s">
        <v>1151</v>
      </c>
      <c r="F316" t="s">
        <v>7367</v>
      </c>
      <c r="G316">
        <v>5</v>
      </c>
      <c r="H316" t="b">
        <v>0</v>
      </c>
      <c r="I316">
        <v>0</v>
      </c>
    </row>
    <row r="317" spans="1:14" x14ac:dyDescent="0.2">
      <c r="A317" s="54">
        <v>315</v>
      </c>
      <c r="B317">
        <v>17405</v>
      </c>
      <c r="C317">
        <v>316</v>
      </c>
      <c r="D317" t="s">
        <v>1154</v>
      </c>
      <c r="E317" t="s">
        <v>6780</v>
      </c>
      <c r="F317" t="s">
        <v>7368</v>
      </c>
      <c r="G317">
        <v>1</v>
      </c>
      <c r="H317" t="b">
        <v>1</v>
      </c>
      <c r="I317">
        <v>3</v>
      </c>
      <c r="J317">
        <v>3</v>
      </c>
      <c r="K317">
        <v>0</v>
      </c>
      <c r="L317">
        <v>0</v>
      </c>
      <c r="M317">
        <v>0</v>
      </c>
      <c r="N317">
        <v>0</v>
      </c>
    </row>
    <row r="318" spans="1:14" x14ac:dyDescent="0.2">
      <c r="A318" s="54">
        <v>316</v>
      </c>
      <c r="B318">
        <v>17405</v>
      </c>
      <c r="C318">
        <v>317</v>
      </c>
      <c r="D318" t="s">
        <v>1157</v>
      </c>
      <c r="E318" t="s">
        <v>6782</v>
      </c>
      <c r="F318" t="s">
        <v>7369</v>
      </c>
      <c r="G318">
        <v>1</v>
      </c>
      <c r="H318" t="b">
        <v>1</v>
      </c>
      <c r="I318">
        <v>2</v>
      </c>
      <c r="J318">
        <v>2</v>
      </c>
      <c r="K318">
        <v>0</v>
      </c>
      <c r="L318">
        <v>0</v>
      </c>
      <c r="M318">
        <v>0</v>
      </c>
      <c r="N318">
        <v>0</v>
      </c>
    </row>
    <row r="319" spans="1:14" x14ac:dyDescent="0.2">
      <c r="A319" s="54">
        <v>317</v>
      </c>
      <c r="B319">
        <v>17405</v>
      </c>
      <c r="C319">
        <v>318</v>
      </c>
      <c r="D319" t="s">
        <v>1160</v>
      </c>
      <c r="E319" t="s">
        <v>6784</v>
      </c>
      <c r="F319" t="s">
        <v>7370</v>
      </c>
      <c r="G319">
        <v>1</v>
      </c>
      <c r="H319" t="b">
        <v>1</v>
      </c>
      <c r="I319">
        <v>3</v>
      </c>
      <c r="J319">
        <v>1</v>
      </c>
      <c r="K319">
        <v>2</v>
      </c>
      <c r="L319">
        <v>0</v>
      </c>
      <c r="M319">
        <v>0</v>
      </c>
      <c r="N319">
        <v>0</v>
      </c>
    </row>
    <row r="320" spans="1:14" x14ac:dyDescent="0.2">
      <c r="A320" s="54">
        <v>318</v>
      </c>
      <c r="B320">
        <v>17406</v>
      </c>
      <c r="C320">
        <v>319</v>
      </c>
      <c r="D320" t="s">
        <v>1162</v>
      </c>
      <c r="E320" t="s">
        <v>6786</v>
      </c>
      <c r="F320" t="s">
        <v>7371</v>
      </c>
      <c r="G320">
        <v>1</v>
      </c>
      <c r="H320" t="b">
        <v>1</v>
      </c>
      <c r="I320">
        <v>4</v>
      </c>
      <c r="J320">
        <v>4</v>
      </c>
      <c r="K320">
        <v>0</v>
      </c>
      <c r="L320">
        <v>0</v>
      </c>
      <c r="M320">
        <v>0</v>
      </c>
      <c r="N320">
        <v>0</v>
      </c>
    </row>
    <row r="321" spans="1:14" x14ac:dyDescent="0.2">
      <c r="A321" s="54">
        <v>319</v>
      </c>
      <c r="B321">
        <v>17406</v>
      </c>
      <c r="C321">
        <v>320</v>
      </c>
      <c r="D321" t="s">
        <v>1165</v>
      </c>
      <c r="E321" t="s">
        <v>6788</v>
      </c>
      <c r="F321" t="s">
        <v>7372</v>
      </c>
      <c r="G321">
        <v>1</v>
      </c>
      <c r="H321" t="b">
        <v>1</v>
      </c>
      <c r="I321">
        <v>3</v>
      </c>
      <c r="J321">
        <v>1</v>
      </c>
      <c r="K321">
        <v>2</v>
      </c>
      <c r="L321">
        <v>0</v>
      </c>
      <c r="M321">
        <v>0</v>
      </c>
      <c r="N321">
        <v>0</v>
      </c>
    </row>
    <row r="322" spans="1:14" x14ac:dyDescent="0.2">
      <c r="A322" s="54">
        <v>320</v>
      </c>
      <c r="B322">
        <v>17406</v>
      </c>
      <c r="C322">
        <v>321</v>
      </c>
      <c r="D322" t="s">
        <v>1168</v>
      </c>
      <c r="E322" t="s">
        <v>6790</v>
      </c>
      <c r="F322" t="s">
        <v>7373</v>
      </c>
      <c r="G322">
        <v>1</v>
      </c>
      <c r="H322" t="b">
        <v>1</v>
      </c>
      <c r="I322">
        <v>4</v>
      </c>
      <c r="J322">
        <v>4</v>
      </c>
      <c r="K322">
        <v>0</v>
      </c>
      <c r="L322">
        <v>0</v>
      </c>
      <c r="M322">
        <v>0</v>
      </c>
      <c r="N322">
        <v>1</v>
      </c>
    </row>
    <row r="323" spans="1:14" x14ac:dyDescent="0.2">
      <c r="A323" s="54">
        <v>321</v>
      </c>
      <c r="B323">
        <v>17406</v>
      </c>
      <c r="C323">
        <v>322</v>
      </c>
      <c r="D323" t="s">
        <v>1171</v>
      </c>
      <c r="E323" t="s">
        <v>6792</v>
      </c>
      <c r="F323" t="s">
        <v>7374</v>
      </c>
      <c r="G323">
        <v>1</v>
      </c>
      <c r="H323" t="b">
        <v>1</v>
      </c>
      <c r="I323">
        <v>3</v>
      </c>
      <c r="J323">
        <v>1</v>
      </c>
      <c r="K323">
        <v>2</v>
      </c>
      <c r="L323">
        <v>0</v>
      </c>
      <c r="M323">
        <v>0</v>
      </c>
      <c r="N323">
        <v>0</v>
      </c>
    </row>
    <row r="324" spans="1:14" x14ac:dyDescent="0.2">
      <c r="A324" s="54">
        <v>322</v>
      </c>
      <c r="B324">
        <v>17406</v>
      </c>
      <c r="C324">
        <v>323</v>
      </c>
      <c r="D324" t="s">
        <v>1172</v>
      </c>
      <c r="E324" t="s">
        <v>6794</v>
      </c>
      <c r="F324" t="s">
        <v>7375</v>
      </c>
      <c r="G324">
        <v>1</v>
      </c>
      <c r="H324" t="b">
        <v>1</v>
      </c>
      <c r="I324">
        <v>3</v>
      </c>
      <c r="J324">
        <v>3</v>
      </c>
      <c r="K324">
        <v>0</v>
      </c>
      <c r="L324">
        <v>0</v>
      </c>
      <c r="M324">
        <v>0</v>
      </c>
      <c r="N324">
        <v>0</v>
      </c>
    </row>
    <row r="325" spans="1:14" x14ac:dyDescent="0.2">
      <c r="A325" s="54">
        <v>323</v>
      </c>
      <c r="B325">
        <v>17407</v>
      </c>
      <c r="C325">
        <v>324</v>
      </c>
      <c r="D325" t="s">
        <v>1175</v>
      </c>
      <c r="E325" t="s">
        <v>6796</v>
      </c>
      <c r="F325" t="s">
        <v>7376</v>
      </c>
      <c r="G325">
        <v>1</v>
      </c>
      <c r="H325" t="b">
        <v>1</v>
      </c>
      <c r="I325">
        <v>1</v>
      </c>
      <c r="J325">
        <v>1</v>
      </c>
      <c r="K325">
        <v>0</v>
      </c>
      <c r="L325">
        <v>0</v>
      </c>
      <c r="M325">
        <v>0</v>
      </c>
      <c r="N325">
        <v>0</v>
      </c>
    </row>
    <row r="326" spans="1:14" x14ac:dyDescent="0.2">
      <c r="A326" s="54">
        <v>324</v>
      </c>
      <c r="B326">
        <v>17407</v>
      </c>
      <c r="C326">
        <v>325</v>
      </c>
      <c r="D326" t="s">
        <v>1177</v>
      </c>
      <c r="E326" t="s">
        <v>6798</v>
      </c>
      <c r="F326" t="s">
        <v>7377</v>
      </c>
      <c r="G326">
        <v>1</v>
      </c>
      <c r="H326" t="b">
        <v>1</v>
      </c>
      <c r="I326">
        <v>1</v>
      </c>
      <c r="J326">
        <v>1</v>
      </c>
      <c r="K326">
        <v>0</v>
      </c>
      <c r="L326">
        <v>0</v>
      </c>
      <c r="M326">
        <v>0</v>
      </c>
      <c r="N326">
        <v>0</v>
      </c>
    </row>
    <row r="327" spans="1:14" x14ac:dyDescent="0.2">
      <c r="A327" s="54">
        <v>325</v>
      </c>
      <c r="B327">
        <v>17407</v>
      </c>
      <c r="C327">
        <v>326</v>
      </c>
      <c r="D327" t="s">
        <v>1178</v>
      </c>
      <c r="E327" t="s">
        <v>7028</v>
      </c>
      <c r="F327" t="s">
        <v>7378</v>
      </c>
      <c r="G327">
        <v>2</v>
      </c>
      <c r="H327" t="b">
        <v>1</v>
      </c>
      <c r="I327">
        <v>3</v>
      </c>
      <c r="J327">
        <v>3</v>
      </c>
      <c r="K327">
        <v>0</v>
      </c>
      <c r="L327">
        <v>0</v>
      </c>
      <c r="M327">
        <v>0</v>
      </c>
      <c r="N327">
        <v>0</v>
      </c>
    </row>
    <row r="328" spans="1:14" x14ac:dyDescent="0.2">
      <c r="A328" s="54">
        <v>326</v>
      </c>
      <c r="B328">
        <v>17407</v>
      </c>
      <c r="C328">
        <v>327</v>
      </c>
      <c r="D328" t="s">
        <v>1179</v>
      </c>
      <c r="E328" t="s">
        <v>6802</v>
      </c>
      <c r="F328" t="s">
        <v>7379</v>
      </c>
      <c r="G328">
        <v>1</v>
      </c>
      <c r="H328" t="b">
        <v>1</v>
      </c>
      <c r="I328">
        <v>1</v>
      </c>
      <c r="J328">
        <v>1</v>
      </c>
      <c r="K328">
        <v>0</v>
      </c>
      <c r="L328">
        <v>0</v>
      </c>
      <c r="M328">
        <v>0</v>
      </c>
      <c r="N328">
        <v>0</v>
      </c>
    </row>
    <row r="329" spans="1:14" x14ac:dyDescent="0.2">
      <c r="A329" s="54">
        <v>327</v>
      </c>
      <c r="B329">
        <v>17407</v>
      </c>
      <c r="C329">
        <v>328</v>
      </c>
      <c r="D329" t="s">
        <v>1180</v>
      </c>
      <c r="E329" t="s">
        <v>6804</v>
      </c>
      <c r="F329" t="s">
        <v>7380</v>
      </c>
      <c r="G329">
        <v>1</v>
      </c>
      <c r="H329" t="b">
        <v>1</v>
      </c>
      <c r="I329">
        <v>2</v>
      </c>
      <c r="J329">
        <v>2</v>
      </c>
      <c r="K329">
        <v>0</v>
      </c>
      <c r="L329">
        <v>0</v>
      </c>
      <c r="M329">
        <v>0</v>
      </c>
      <c r="N329">
        <v>0</v>
      </c>
    </row>
    <row r="330" spans="1:14" x14ac:dyDescent="0.2">
      <c r="A330" s="54">
        <v>328</v>
      </c>
      <c r="B330">
        <v>17407</v>
      </c>
      <c r="C330">
        <v>329</v>
      </c>
      <c r="D330" t="s">
        <v>1181</v>
      </c>
      <c r="E330" t="s">
        <v>6806</v>
      </c>
      <c r="F330" t="s">
        <v>7381</v>
      </c>
      <c r="G330">
        <v>1</v>
      </c>
      <c r="H330" t="b">
        <v>1</v>
      </c>
      <c r="I330">
        <v>4</v>
      </c>
      <c r="J330">
        <v>3</v>
      </c>
      <c r="K330">
        <v>0</v>
      </c>
      <c r="L330">
        <v>1</v>
      </c>
      <c r="M330">
        <v>0</v>
      </c>
      <c r="N330">
        <v>0</v>
      </c>
    </row>
    <row r="331" spans="1:14" x14ac:dyDescent="0.2">
      <c r="A331" s="54">
        <v>329</v>
      </c>
      <c r="B331">
        <v>17407</v>
      </c>
      <c r="C331">
        <v>330</v>
      </c>
      <c r="D331" t="s">
        <v>1182</v>
      </c>
      <c r="E331" t="s">
        <v>6808</v>
      </c>
      <c r="F331" t="s">
        <v>7382</v>
      </c>
      <c r="G331">
        <v>1</v>
      </c>
      <c r="H331" t="b">
        <v>1</v>
      </c>
      <c r="I331">
        <v>1</v>
      </c>
      <c r="J331">
        <v>1</v>
      </c>
      <c r="K331">
        <v>0</v>
      </c>
      <c r="L331">
        <v>0</v>
      </c>
      <c r="M331">
        <v>0</v>
      </c>
      <c r="N331">
        <v>0</v>
      </c>
    </row>
    <row r="332" spans="1:14" x14ac:dyDescent="0.2">
      <c r="A332" s="54">
        <v>330</v>
      </c>
      <c r="B332">
        <v>17407</v>
      </c>
      <c r="C332">
        <v>331</v>
      </c>
      <c r="D332" t="s">
        <v>1183</v>
      </c>
      <c r="E332" t="s">
        <v>6810</v>
      </c>
      <c r="F332" t="s">
        <v>7383</v>
      </c>
      <c r="G332">
        <v>1</v>
      </c>
      <c r="H332" t="b">
        <v>1</v>
      </c>
      <c r="I332">
        <v>1</v>
      </c>
      <c r="J332">
        <v>1</v>
      </c>
      <c r="K332">
        <v>0</v>
      </c>
      <c r="L332">
        <v>0</v>
      </c>
      <c r="M332">
        <v>0</v>
      </c>
      <c r="N332">
        <v>1</v>
      </c>
    </row>
    <row r="333" spans="1:14" x14ac:dyDescent="0.2">
      <c r="A333" s="54">
        <v>331</v>
      </c>
      <c r="B333">
        <v>17407</v>
      </c>
      <c r="C333">
        <v>332</v>
      </c>
      <c r="D333" t="s">
        <v>1184</v>
      </c>
      <c r="E333" t="s">
        <v>6812</v>
      </c>
      <c r="F333" t="s">
        <v>7384</v>
      </c>
      <c r="G333">
        <v>1</v>
      </c>
      <c r="H333" t="b">
        <v>1</v>
      </c>
      <c r="I333">
        <v>1</v>
      </c>
      <c r="J333">
        <v>1</v>
      </c>
      <c r="K333">
        <v>0</v>
      </c>
      <c r="L333">
        <v>0</v>
      </c>
      <c r="M333">
        <v>0</v>
      </c>
      <c r="N333">
        <v>1</v>
      </c>
    </row>
    <row r="334" spans="1:14" x14ac:dyDescent="0.2">
      <c r="A334" s="54">
        <v>332</v>
      </c>
      <c r="B334">
        <v>17407</v>
      </c>
      <c r="C334">
        <v>333</v>
      </c>
      <c r="D334" t="s">
        <v>1185</v>
      </c>
      <c r="E334" t="s">
        <v>6814</v>
      </c>
      <c r="F334" t="s">
        <v>7385</v>
      </c>
      <c r="G334">
        <v>1</v>
      </c>
      <c r="H334" t="b">
        <v>1</v>
      </c>
      <c r="I334">
        <v>3</v>
      </c>
      <c r="J334">
        <v>3</v>
      </c>
      <c r="K334">
        <v>0</v>
      </c>
      <c r="L334">
        <v>0</v>
      </c>
      <c r="M334">
        <v>0</v>
      </c>
      <c r="N334">
        <v>1</v>
      </c>
    </row>
    <row r="335" spans="1:14" x14ac:dyDescent="0.2">
      <c r="A335" s="54">
        <v>333</v>
      </c>
      <c r="B335">
        <v>17407</v>
      </c>
      <c r="C335">
        <v>334</v>
      </c>
      <c r="D335" t="s">
        <v>1186</v>
      </c>
      <c r="E335" t="s">
        <v>6816</v>
      </c>
      <c r="F335" t="s">
        <v>7386</v>
      </c>
      <c r="G335">
        <v>1</v>
      </c>
      <c r="H335" t="b">
        <v>1</v>
      </c>
      <c r="I335">
        <v>1</v>
      </c>
      <c r="J335">
        <v>1</v>
      </c>
      <c r="K335">
        <v>0</v>
      </c>
      <c r="L335">
        <v>0</v>
      </c>
      <c r="M335">
        <v>0</v>
      </c>
      <c r="N335">
        <v>1</v>
      </c>
    </row>
    <row r="336" spans="1:14" x14ac:dyDescent="0.2">
      <c r="A336" s="54">
        <v>334</v>
      </c>
      <c r="B336">
        <v>17408</v>
      </c>
      <c r="C336">
        <v>335</v>
      </c>
      <c r="D336" t="s">
        <v>1187</v>
      </c>
      <c r="E336" t="s">
        <v>6818</v>
      </c>
      <c r="F336" t="s">
        <v>7387</v>
      </c>
      <c r="G336">
        <v>5</v>
      </c>
      <c r="H336" t="b">
        <v>0</v>
      </c>
      <c r="I336">
        <v>2</v>
      </c>
      <c r="J336">
        <v>2</v>
      </c>
      <c r="K336">
        <v>0</v>
      </c>
      <c r="L336">
        <v>0</v>
      </c>
      <c r="M336">
        <v>0</v>
      </c>
      <c r="N336">
        <v>1</v>
      </c>
    </row>
    <row r="337" spans="1:14" x14ac:dyDescent="0.2">
      <c r="A337" s="54">
        <v>335</v>
      </c>
      <c r="B337">
        <v>17408</v>
      </c>
      <c r="C337">
        <v>336</v>
      </c>
      <c r="D337" t="s">
        <v>1189</v>
      </c>
      <c r="E337" t="s">
        <v>6820</v>
      </c>
      <c r="F337" t="s">
        <v>7388</v>
      </c>
      <c r="G337">
        <v>5</v>
      </c>
      <c r="H337" t="b">
        <v>0</v>
      </c>
      <c r="I337">
        <v>2</v>
      </c>
      <c r="J337">
        <v>2</v>
      </c>
      <c r="K337">
        <v>0</v>
      </c>
      <c r="L337">
        <v>0</v>
      </c>
      <c r="M337">
        <v>0</v>
      </c>
    </row>
    <row r="338" spans="1:14" x14ac:dyDescent="0.2">
      <c r="A338" s="54">
        <v>336</v>
      </c>
      <c r="B338">
        <v>17408</v>
      </c>
      <c r="C338">
        <v>337</v>
      </c>
      <c r="D338" t="s">
        <v>1190</v>
      </c>
      <c r="E338" t="s">
        <v>7032</v>
      </c>
      <c r="F338" t="s">
        <v>7389</v>
      </c>
      <c r="G338">
        <v>5</v>
      </c>
      <c r="H338" t="b">
        <v>0</v>
      </c>
      <c r="I338">
        <v>5</v>
      </c>
      <c r="J338">
        <v>3</v>
      </c>
      <c r="K338">
        <v>1</v>
      </c>
      <c r="L338">
        <v>0</v>
      </c>
      <c r="M338">
        <v>1</v>
      </c>
    </row>
    <row r="339" spans="1:14" x14ac:dyDescent="0.2">
      <c r="A339" s="54">
        <v>337</v>
      </c>
      <c r="B339">
        <v>17409</v>
      </c>
      <c r="C339">
        <v>338</v>
      </c>
      <c r="D339" t="s">
        <v>1191</v>
      </c>
      <c r="E339" t="s">
        <v>7034</v>
      </c>
      <c r="F339" t="s">
        <v>7390</v>
      </c>
      <c r="G339">
        <v>5</v>
      </c>
      <c r="H339" t="b">
        <v>0</v>
      </c>
      <c r="I339">
        <v>2</v>
      </c>
      <c r="J339">
        <v>0</v>
      </c>
      <c r="K339">
        <v>1</v>
      </c>
      <c r="L339">
        <v>1</v>
      </c>
      <c r="M339">
        <v>0</v>
      </c>
    </row>
    <row r="340" spans="1:14" x14ac:dyDescent="0.2">
      <c r="A340" s="54">
        <v>338</v>
      </c>
      <c r="B340">
        <v>17409</v>
      </c>
      <c r="C340">
        <v>339</v>
      </c>
      <c r="D340" t="s">
        <v>1193</v>
      </c>
      <c r="E340" t="s">
        <v>7036</v>
      </c>
      <c r="F340" t="s">
        <v>7391</v>
      </c>
      <c r="G340">
        <v>5</v>
      </c>
      <c r="H340" t="b">
        <v>0</v>
      </c>
      <c r="I340">
        <v>3</v>
      </c>
      <c r="J340">
        <v>1</v>
      </c>
      <c r="K340">
        <v>1</v>
      </c>
      <c r="L340">
        <v>1</v>
      </c>
      <c r="M340">
        <v>0</v>
      </c>
    </row>
    <row r="341" spans="1:14" x14ac:dyDescent="0.2">
      <c r="A341" s="54">
        <v>339</v>
      </c>
      <c r="B341">
        <v>17409</v>
      </c>
      <c r="C341">
        <v>340</v>
      </c>
      <c r="D341" t="s">
        <v>1196</v>
      </c>
      <c r="E341" t="s">
        <v>6828</v>
      </c>
      <c r="F341" t="s">
        <v>7392</v>
      </c>
      <c r="G341">
        <v>5</v>
      </c>
      <c r="H341" t="b">
        <v>0</v>
      </c>
      <c r="I341">
        <v>3</v>
      </c>
      <c r="J341">
        <v>1</v>
      </c>
      <c r="K341">
        <v>1</v>
      </c>
      <c r="L341">
        <v>1</v>
      </c>
      <c r="M341">
        <v>0</v>
      </c>
    </row>
    <row r="342" spans="1:14" x14ac:dyDescent="0.2">
      <c r="A342" s="54">
        <v>340</v>
      </c>
      <c r="B342">
        <v>17410</v>
      </c>
      <c r="C342">
        <v>341</v>
      </c>
      <c r="D342" t="s">
        <v>1197</v>
      </c>
      <c r="E342" t="s">
        <v>7039</v>
      </c>
      <c r="F342" t="s">
        <v>7393</v>
      </c>
      <c r="G342">
        <v>5</v>
      </c>
      <c r="H342" t="b">
        <v>0</v>
      </c>
      <c r="I342">
        <v>4</v>
      </c>
      <c r="J342">
        <v>3</v>
      </c>
      <c r="K342">
        <v>0</v>
      </c>
      <c r="L342">
        <v>1</v>
      </c>
      <c r="M342">
        <v>0</v>
      </c>
    </row>
    <row r="343" spans="1:14" x14ac:dyDescent="0.2">
      <c r="A343" s="54">
        <v>341</v>
      </c>
      <c r="B343">
        <v>17412</v>
      </c>
      <c r="C343">
        <v>342</v>
      </c>
      <c r="D343" t="s">
        <v>1199</v>
      </c>
      <c r="E343" t="s">
        <v>6832</v>
      </c>
      <c r="F343" t="s">
        <v>7394</v>
      </c>
      <c r="G343">
        <v>1</v>
      </c>
      <c r="H343" t="b">
        <v>1</v>
      </c>
      <c r="I343">
        <v>1</v>
      </c>
      <c r="J343">
        <v>0</v>
      </c>
      <c r="K343">
        <v>0</v>
      </c>
      <c r="L343">
        <v>0</v>
      </c>
      <c r="M343">
        <v>1</v>
      </c>
      <c r="N343">
        <v>1</v>
      </c>
    </row>
    <row r="344" spans="1:14" x14ac:dyDescent="0.2">
      <c r="A344" s="54">
        <v>342</v>
      </c>
      <c r="B344">
        <v>17415</v>
      </c>
      <c r="C344">
        <v>343</v>
      </c>
      <c r="D344" t="s">
        <v>1201</v>
      </c>
      <c r="E344" t="s">
        <v>5834</v>
      </c>
      <c r="F344" t="s">
        <v>7395</v>
      </c>
      <c r="G344">
        <v>1</v>
      </c>
      <c r="H344" t="b">
        <v>1</v>
      </c>
      <c r="I344">
        <v>1</v>
      </c>
      <c r="J344">
        <v>1</v>
      </c>
      <c r="K344">
        <v>0</v>
      </c>
      <c r="L344">
        <v>0</v>
      </c>
      <c r="M344">
        <v>0</v>
      </c>
      <c r="N344">
        <v>0</v>
      </c>
    </row>
    <row r="345" spans="1:14" x14ac:dyDescent="0.2">
      <c r="A345" s="54">
        <v>343</v>
      </c>
      <c r="B345">
        <v>17416</v>
      </c>
      <c r="C345">
        <v>344</v>
      </c>
      <c r="D345" t="s">
        <v>1203</v>
      </c>
      <c r="E345" t="s">
        <v>6835</v>
      </c>
      <c r="F345" t="s">
        <v>7396</v>
      </c>
      <c r="G345">
        <v>1</v>
      </c>
      <c r="H345" t="b">
        <v>1</v>
      </c>
      <c r="I345">
        <v>1</v>
      </c>
      <c r="J345">
        <v>0</v>
      </c>
      <c r="K345">
        <v>0</v>
      </c>
      <c r="L345">
        <v>0</v>
      </c>
      <c r="M345">
        <v>1</v>
      </c>
      <c r="N345">
        <v>1</v>
      </c>
    </row>
    <row r="346" spans="1:14" x14ac:dyDescent="0.2">
      <c r="A346" s="54">
        <v>344</v>
      </c>
      <c r="B346">
        <v>17417</v>
      </c>
      <c r="C346">
        <v>345</v>
      </c>
      <c r="D346" t="s">
        <v>1205</v>
      </c>
      <c r="E346" t="s">
        <v>7041</v>
      </c>
      <c r="F346" t="s">
        <v>7397</v>
      </c>
      <c r="G346">
        <v>2</v>
      </c>
      <c r="H346" t="b">
        <v>1</v>
      </c>
      <c r="I346">
        <v>6</v>
      </c>
      <c r="J346">
        <v>0</v>
      </c>
      <c r="K346">
        <v>0</v>
      </c>
      <c r="L346">
        <v>1</v>
      </c>
      <c r="M346">
        <v>5</v>
      </c>
      <c r="N346">
        <v>1</v>
      </c>
    </row>
    <row r="347" spans="1:14" x14ac:dyDescent="0.2">
      <c r="A347" s="54">
        <v>345</v>
      </c>
      <c r="B347">
        <v>17417</v>
      </c>
      <c r="C347">
        <v>346</v>
      </c>
      <c r="D347" t="s">
        <v>1208</v>
      </c>
      <c r="E347" t="s">
        <v>7043</v>
      </c>
      <c r="F347" t="s">
        <v>7398</v>
      </c>
      <c r="G347">
        <v>4</v>
      </c>
      <c r="H347" t="b">
        <v>1</v>
      </c>
      <c r="I347">
        <v>3</v>
      </c>
      <c r="K347">
        <v>1</v>
      </c>
      <c r="L347">
        <v>1</v>
      </c>
      <c r="M347">
        <v>1</v>
      </c>
      <c r="N347">
        <v>2</v>
      </c>
    </row>
    <row r="348" spans="1:14" x14ac:dyDescent="0.2">
      <c r="A348" s="54">
        <v>346</v>
      </c>
      <c r="B348">
        <v>17418</v>
      </c>
      <c r="C348">
        <v>347</v>
      </c>
      <c r="D348" t="s">
        <v>1210</v>
      </c>
      <c r="E348" t="s">
        <v>6841</v>
      </c>
      <c r="F348" t="s">
        <v>7399</v>
      </c>
      <c r="G348">
        <v>1</v>
      </c>
      <c r="H348" t="b">
        <v>1</v>
      </c>
      <c r="I348">
        <v>1</v>
      </c>
      <c r="J348">
        <v>1</v>
      </c>
      <c r="K348">
        <v>0</v>
      </c>
      <c r="L348">
        <v>0</v>
      </c>
      <c r="M348">
        <v>0</v>
      </c>
      <c r="N348">
        <v>0</v>
      </c>
    </row>
    <row r="349" spans="1:14" x14ac:dyDescent="0.2">
      <c r="A349" s="54">
        <v>347</v>
      </c>
      <c r="B349">
        <v>17418</v>
      </c>
      <c r="C349">
        <v>348</v>
      </c>
      <c r="D349" t="s">
        <v>1212</v>
      </c>
      <c r="E349" t="s">
        <v>6843</v>
      </c>
      <c r="F349" t="s">
        <v>7400</v>
      </c>
      <c r="G349">
        <v>1</v>
      </c>
      <c r="H349" t="b">
        <v>1</v>
      </c>
      <c r="I349">
        <v>1</v>
      </c>
      <c r="J349">
        <v>1</v>
      </c>
      <c r="K349">
        <v>0</v>
      </c>
      <c r="L349">
        <v>0</v>
      </c>
      <c r="M349">
        <v>0</v>
      </c>
      <c r="N349">
        <v>0</v>
      </c>
    </row>
    <row r="350" spans="1:14" x14ac:dyDescent="0.2">
      <c r="A350" s="54">
        <v>348</v>
      </c>
      <c r="B350">
        <v>17418</v>
      </c>
      <c r="C350">
        <v>349</v>
      </c>
      <c r="D350" t="s">
        <v>1213</v>
      </c>
      <c r="E350" t="s">
        <v>5906</v>
      </c>
      <c r="F350" t="s">
        <v>7401</v>
      </c>
      <c r="G350">
        <v>1</v>
      </c>
      <c r="H350" t="b">
        <v>1</v>
      </c>
      <c r="I350">
        <v>1</v>
      </c>
      <c r="J350">
        <v>1</v>
      </c>
      <c r="K350">
        <v>0</v>
      </c>
      <c r="L350">
        <v>0</v>
      </c>
      <c r="M350">
        <v>0</v>
      </c>
      <c r="N350">
        <v>0</v>
      </c>
    </row>
    <row r="351" spans="1:14" x14ac:dyDescent="0.2">
      <c r="A351" s="54">
        <v>349</v>
      </c>
      <c r="B351">
        <v>17418</v>
      </c>
      <c r="C351">
        <v>350</v>
      </c>
      <c r="D351" t="s">
        <v>1214</v>
      </c>
      <c r="E351" t="s">
        <v>6841</v>
      </c>
      <c r="F351" t="s">
        <v>7402</v>
      </c>
      <c r="G351">
        <v>1</v>
      </c>
      <c r="H351" t="b">
        <v>1</v>
      </c>
      <c r="I351">
        <v>1</v>
      </c>
      <c r="J351">
        <v>1</v>
      </c>
      <c r="K351">
        <v>0</v>
      </c>
      <c r="L351">
        <v>0</v>
      </c>
      <c r="M351">
        <v>0</v>
      </c>
      <c r="N351">
        <v>0</v>
      </c>
    </row>
    <row r="352" spans="1:14" x14ac:dyDescent="0.2">
      <c r="A352" s="54">
        <v>350</v>
      </c>
      <c r="B352">
        <v>17418</v>
      </c>
      <c r="C352">
        <v>351</v>
      </c>
      <c r="D352" t="s">
        <v>1215</v>
      </c>
      <c r="E352" t="s">
        <v>6847</v>
      </c>
      <c r="F352" t="s">
        <v>7403</v>
      </c>
      <c r="G352">
        <v>1</v>
      </c>
      <c r="H352" t="b">
        <v>1</v>
      </c>
      <c r="I352">
        <v>1</v>
      </c>
      <c r="J352">
        <v>1</v>
      </c>
      <c r="K352">
        <v>0</v>
      </c>
      <c r="L352">
        <v>0</v>
      </c>
      <c r="M352">
        <v>0</v>
      </c>
      <c r="N352">
        <v>0</v>
      </c>
    </row>
    <row r="353" spans="1:14" x14ac:dyDescent="0.2">
      <c r="A353" s="54">
        <v>351</v>
      </c>
      <c r="B353">
        <v>17418</v>
      </c>
      <c r="C353">
        <v>352</v>
      </c>
      <c r="D353" t="s">
        <v>1216</v>
      </c>
      <c r="E353" t="s">
        <v>5880</v>
      </c>
      <c r="F353" t="s">
        <v>7404</v>
      </c>
      <c r="G353">
        <v>1</v>
      </c>
      <c r="H353" t="b">
        <v>1</v>
      </c>
      <c r="I353">
        <v>1</v>
      </c>
      <c r="J353">
        <v>1</v>
      </c>
      <c r="K353">
        <v>0</v>
      </c>
      <c r="L353">
        <v>0</v>
      </c>
      <c r="M353">
        <v>0</v>
      </c>
      <c r="N353">
        <v>0</v>
      </c>
    </row>
    <row r="354" spans="1:14" x14ac:dyDescent="0.2">
      <c r="A354" s="54">
        <v>352</v>
      </c>
      <c r="B354">
        <v>17418</v>
      </c>
      <c r="C354">
        <v>353</v>
      </c>
      <c r="D354" t="s">
        <v>1217</v>
      </c>
      <c r="E354" t="s">
        <v>6850</v>
      </c>
      <c r="F354" t="s">
        <v>7405</v>
      </c>
      <c r="G354">
        <v>1</v>
      </c>
      <c r="H354" t="b">
        <v>1</v>
      </c>
      <c r="I354">
        <v>1</v>
      </c>
      <c r="J354">
        <v>1</v>
      </c>
      <c r="K354">
        <v>0</v>
      </c>
      <c r="L354">
        <v>0</v>
      </c>
      <c r="M354">
        <v>0</v>
      </c>
      <c r="N354">
        <v>0</v>
      </c>
    </row>
    <row r="355" spans="1:14" x14ac:dyDescent="0.2">
      <c r="A355" s="54">
        <v>353</v>
      </c>
      <c r="B355">
        <v>17420</v>
      </c>
      <c r="C355">
        <v>354</v>
      </c>
      <c r="D355" t="s">
        <v>1218</v>
      </c>
      <c r="E355" t="s">
        <v>6852</v>
      </c>
      <c r="F355" t="s">
        <v>7406</v>
      </c>
      <c r="G355">
        <v>1</v>
      </c>
      <c r="H355" t="b">
        <v>1</v>
      </c>
      <c r="I355">
        <v>3</v>
      </c>
      <c r="J355">
        <v>3</v>
      </c>
      <c r="K355">
        <v>0</v>
      </c>
      <c r="L355">
        <v>0</v>
      </c>
      <c r="M355">
        <v>0</v>
      </c>
      <c r="N355">
        <v>0</v>
      </c>
    </row>
    <row r="356" spans="1:14" x14ac:dyDescent="0.2">
      <c r="A356" s="54">
        <v>354</v>
      </c>
      <c r="B356">
        <v>17420</v>
      </c>
      <c r="C356">
        <v>355</v>
      </c>
      <c r="D356" t="s">
        <v>1220</v>
      </c>
      <c r="E356" t="s">
        <v>6854</v>
      </c>
      <c r="F356" t="s">
        <v>7407</v>
      </c>
      <c r="G356">
        <v>1</v>
      </c>
      <c r="H356" t="b">
        <v>1</v>
      </c>
      <c r="I356">
        <v>2</v>
      </c>
      <c r="J356">
        <v>2</v>
      </c>
      <c r="K356">
        <v>0</v>
      </c>
      <c r="L356">
        <v>0</v>
      </c>
      <c r="M356">
        <v>0</v>
      </c>
      <c r="N356">
        <v>0</v>
      </c>
    </row>
    <row r="357" spans="1:14" x14ac:dyDescent="0.2">
      <c r="A357" s="54">
        <v>355</v>
      </c>
      <c r="B357">
        <v>17420</v>
      </c>
      <c r="C357">
        <v>356</v>
      </c>
      <c r="D357" t="s">
        <v>1221</v>
      </c>
      <c r="E357" t="s">
        <v>6856</v>
      </c>
      <c r="F357" t="s">
        <v>7408</v>
      </c>
      <c r="G357">
        <v>1</v>
      </c>
      <c r="H357" t="b">
        <v>1</v>
      </c>
      <c r="I357">
        <v>2</v>
      </c>
      <c r="J357">
        <v>2</v>
      </c>
      <c r="K357">
        <v>0</v>
      </c>
      <c r="L357">
        <v>0</v>
      </c>
      <c r="M357">
        <v>0</v>
      </c>
      <c r="N357">
        <v>1</v>
      </c>
    </row>
    <row r="358" spans="1:14" x14ac:dyDescent="0.2">
      <c r="A358" s="54">
        <v>356</v>
      </c>
      <c r="B358">
        <v>17420</v>
      </c>
      <c r="C358">
        <v>357</v>
      </c>
      <c r="D358" t="s">
        <v>1222</v>
      </c>
      <c r="E358" t="s">
        <v>6858</v>
      </c>
      <c r="F358" t="s">
        <v>7409</v>
      </c>
      <c r="G358">
        <v>1</v>
      </c>
      <c r="H358" t="b">
        <v>1</v>
      </c>
      <c r="I358">
        <v>5</v>
      </c>
      <c r="J358">
        <v>5</v>
      </c>
      <c r="K358">
        <v>0</v>
      </c>
      <c r="L358">
        <v>0</v>
      </c>
      <c r="M358">
        <v>0</v>
      </c>
      <c r="N358">
        <v>0</v>
      </c>
    </row>
    <row r="359" spans="1:14" x14ac:dyDescent="0.2">
      <c r="A359" s="54">
        <v>357</v>
      </c>
      <c r="B359">
        <v>17420</v>
      </c>
      <c r="C359">
        <v>358</v>
      </c>
      <c r="D359" t="s">
        <v>1223</v>
      </c>
      <c r="E359" t="s">
        <v>6860</v>
      </c>
      <c r="F359" t="s">
        <v>7410</v>
      </c>
      <c r="G359">
        <v>1</v>
      </c>
      <c r="H359" t="b">
        <v>1</v>
      </c>
      <c r="I359">
        <v>2</v>
      </c>
      <c r="J359">
        <v>2</v>
      </c>
      <c r="K359">
        <v>0</v>
      </c>
      <c r="L359">
        <v>0</v>
      </c>
      <c r="M359">
        <v>0</v>
      </c>
      <c r="N359">
        <v>0</v>
      </c>
    </row>
    <row r="360" spans="1:14" x14ac:dyDescent="0.2">
      <c r="A360" s="54">
        <v>358</v>
      </c>
      <c r="B360">
        <v>17420</v>
      </c>
      <c r="C360">
        <v>359</v>
      </c>
      <c r="D360" t="s">
        <v>1224</v>
      </c>
      <c r="E360" t="s">
        <v>6862</v>
      </c>
      <c r="F360" t="s">
        <v>7411</v>
      </c>
      <c r="G360">
        <v>1</v>
      </c>
      <c r="H360" t="b">
        <v>1</v>
      </c>
      <c r="I360">
        <v>5</v>
      </c>
      <c r="J360">
        <v>4</v>
      </c>
      <c r="K360">
        <v>0</v>
      </c>
      <c r="L360">
        <v>1</v>
      </c>
      <c r="M360">
        <v>0</v>
      </c>
      <c r="N360">
        <v>1</v>
      </c>
    </row>
    <row r="361" spans="1:14" x14ac:dyDescent="0.2">
      <c r="A361" s="54">
        <v>359</v>
      </c>
      <c r="B361">
        <v>17420</v>
      </c>
      <c r="C361">
        <v>360</v>
      </c>
      <c r="D361" t="s">
        <v>1225</v>
      </c>
      <c r="E361" t="s">
        <v>6864</v>
      </c>
      <c r="F361" t="s">
        <v>7412</v>
      </c>
      <c r="G361">
        <v>1</v>
      </c>
      <c r="H361" t="b">
        <v>1</v>
      </c>
      <c r="I361">
        <v>2</v>
      </c>
      <c r="J361">
        <v>1</v>
      </c>
      <c r="K361">
        <v>0</v>
      </c>
      <c r="L361">
        <v>1</v>
      </c>
      <c r="M361">
        <v>0</v>
      </c>
      <c r="N361">
        <v>0</v>
      </c>
    </row>
    <row r="362" spans="1:14" x14ac:dyDescent="0.2">
      <c r="A362" s="54">
        <v>360</v>
      </c>
      <c r="B362">
        <v>17421</v>
      </c>
      <c r="C362">
        <v>361</v>
      </c>
      <c r="D362" t="s">
        <v>1226</v>
      </c>
      <c r="E362" t="s">
        <v>7045</v>
      </c>
      <c r="F362" t="s">
        <v>7413</v>
      </c>
      <c r="G362">
        <v>4</v>
      </c>
      <c r="H362" t="b">
        <v>1</v>
      </c>
      <c r="I362">
        <v>5</v>
      </c>
      <c r="J362">
        <v>1</v>
      </c>
      <c r="K362">
        <v>2</v>
      </c>
      <c r="L362">
        <v>2</v>
      </c>
      <c r="M362">
        <v>0</v>
      </c>
      <c r="N362">
        <v>1</v>
      </c>
    </row>
    <row r="363" spans="1:14" x14ac:dyDescent="0.2">
      <c r="A363" s="54">
        <v>361</v>
      </c>
      <c r="B363">
        <v>17421</v>
      </c>
      <c r="C363">
        <v>362</v>
      </c>
      <c r="D363" t="s">
        <v>1228</v>
      </c>
      <c r="E363" t="s">
        <v>7047</v>
      </c>
      <c r="F363" t="s">
        <v>7414</v>
      </c>
      <c r="G363">
        <v>2</v>
      </c>
      <c r="H363" t="b">
        <v>1</v>
      </c>
      <c r="I363">
        <v>3</v>
      </c>
      <c r="J363">
        <v>1</v>
      </c>
      <c r="K363">
        <v>2</v>
      </c>
      <c r="L363">
        <v>0</v>
      </c>
      <c r="M363">
        <v>0</v>
      </c>
      <c r="N363">
        <v>0</v>
      </c>
    </row>
    <row r="364" spans="1:14" x14ac:dyDescent="0.2">
      <c r="A364" s="54">
        <v>362</v>
      </c>
      <c r="B364">
        <v>17421</v>
      </c>
      <c r="C364">
        <v>363</v>
      </c>
      <c r="D364" t="s">
        <v>1231</v>
      </c>
      <c r="E364" t="s">
        <v>6870</v>
      </c>
      <c r="F364" t="s">
        <v>7415</v>
      </c>
      <c r="G364">
        <v>1</v>
      </c>
      <c r="H364" t="b">
        <v>1</v>
      </c>
      <c r="I364">
        <v>2</v>
      </c>
      <c r="J364">
        <v>2</v>
      </c>
      <c r="L364">
        <v>0</v>
      </c>
      <c r="M364">
        <v>0</v>
      </c>
      <c r="N364">
        <v>1</v>
      </c>
    </row>
    <row r="365" spans="1:14" x14ac:dyDescent="0.2">
      <c r="A365" s="54">
        <v>363</v>
      </c>
      <c r="B365">
        <v>17421</v>
      </c>
      <c r="C365">
        <v>364</v>
      </c>
      <c r="D365" t="s">
        <v>1234</v>
      </c>
      <c r="E365" t="s">
        <v>6872</v>
      </c>
      <c r="F365" t="s">
        <v>7416</v>
      </c>
      <c r="G365">
        <v>1</v>
      </c>
      <c r="H365" t="b">
        <v>1</v>
      </c>
      <c r="I365">
        <v>2</v>
      </c>
      <c r="J365">
        <v>2</v>
      </c>
      <c r="K365">
        <v>0</v>
      </c>
      <c r="L365">
        <v>0</v>
      </c>
      <c r="M365">
        <v>0</v>
      </c>
      <c r="N365">
        <v>0</v>
      </c>
    </row>
    <row r="366" spans="1:14" x14ac:dyDescent="0.2">
      <c r="A366" s="54">
        <v>364</v>
      </c>
      <c r="B366">
        <v>17422</v>
      </c>
      <c r="C366">
        <v>365</v>
      </c>
      <c r="D366" t="s">
        <v>1235</v>
      </c>
      <c r="E366" t="s">
        <v>6874</v>
      </c>
      <c r="F366" t="s">
        <v>7417</v>
      </c>
      <c r="G366">
        <v>1</v>
      </c>
      <c r="H366" t="b">
        <v>1</v>
      </c>
      <c r="I366">
        <v>2</v>
      </c>
      <c r="J366">
        <v>1</v>
      </c>
      <c r="K366">
        <v>1</v>
      </c>
      <c r="L366">
        <v>0</v>
      </c>
      <c r="M366">
        <v>0</v>
      </c>
      <c r="N366">
        <v>0</v>
      </c>
    </row>
    <row r="367" spans="1:14" x14ac:dyDescent="0.2">
      <c r="A367" s="54">
        <v>365</v>
      </c>
      <c r="B367">
        <v>17422</v>
      </c>
      <c r="C367">
        <v>366</v>
      </c>
      <c r="D367" t="s">
        <v>1237</v>
      </c>
      <c r="E367" t="s">
        <v>6876</v>
      </c>
      <c r="F367" t="s">
        <v>7418</v>
      </c>
      <c r="G367">
        <v>1</v>
      </c>
      <c r="H367" t="b">
        <v>1</v>
      </c>
      <c r="I367">
        <v>1</v>
      </c>
      <c r="J367">
        <v>1</v>
      </c>
      <c r="K367">
        <v>0</v>
      </c>
      <c r="L367">
        <v>0</v>
      </c>
      <c r="M367">
        <v>0</v>
      </c>
      <c r="N36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problems</vt:lpstr>
      <vt:lpstr>testcases</vt:lpstr>
      <vt:lpstr>buggy_submissions</vt:lpstr>
      <vt:lpstr>correct_submissions</vt:lpstr>
      <vt:lpstr>gpt4_1</vt:lpstr>
      <vt:lpstr>gpt4_N</vt:lpstr>
      <vt:lpstr>gpt4_N_refined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Suryaansh  Jain</cp:lastModifiedBy>
  <dcterms:created xsi:type="dcterms:W3CDTF">2024-06-18T02:46:04Z</dcterms:created>
  <dcterms:modified xsi:type="dcterms:W3CDTF">2024-10-10T10:58:28Z</dcterms:modified>
</cp:coreProperties>
</file>